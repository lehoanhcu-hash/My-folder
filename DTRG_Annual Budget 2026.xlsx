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Báo cáo Consolidate\Dữ liệu Thọ Share\"/>
    </mc:Choice>
  </mc:AlternateContent>
  <xr:revisionPtr revIDLastSave="0" documentId="13_ncr:1_{C154D76E-824B-44E3-A63B-C749E53A028D}" xr6:coauthVersionLast="47" xr6:coauthVersionMax="47" xr10:uidLastSave="{00000000-0000-0000-0000-000000000000}"/>
  <bookViews>
    <workbookView xWindow="-110" yWindow="-110" windowWidth="19420" windowHeight="10300" tabRatio="918" xr2:uid="{1D33B650-343A-43CA-84CD-98657E25A17D}"/>
  </bookViews>
  <sheets>
    <sheet name="Chỉ tiêu" sheetId="99" r:id="rId1"/>
    <sheet name="PL" sheetId="95" r:id="rId2"/>
    <sheet name="BS" sheetId="96" r:id="rId3"/>
    <sheet name="&gt;&gt;&gt;PL" sheetId="89" r:id="rId4"/>
    <sheet name="SO SÁNH PL" sheetId="88" r:id="rId5"/>
    <sheet name="Consol PL-DTRG" sheetId="83" r:id="rId6"/>
    <sheet name="PL-KH26-DTR" sheetId="30" r:id="rId7"/>
    <sheet name="PL-KH26-DongLam" sheetId="82" r:id="rId8"/>
    <sheet name="PL-KH26-KhanhNga" sheetId="81" r:id="rId9"/>
    <sheet name="PL-KH26-DaiLoc" sheetId="80" r:id="rId10"/>
    <sheet name="PL-KH26-TanDaiPhat" sheetId="84" r:id="rId11"/>
    <sheet name="Consol PL-DTRG-Cũ" sheetId="86" r:id="rId12"/>
    <sheet name="&gt;&gt;&gt;BS" sheetId="90" r:id="rId13"/>
    <sheet name="Consol BS-DTRG" sheetId="97" r:id="rId14"/>
    <sheet name="BS-KH26-DTR-cũ" sheetId="91" state="hidden" r:id="rId15"/>
    <sheet name="BS-KH26-DTR" sheetId="98" r:id="rId16"/>
    <sheet name="BS-KH26-DongLam" sheetId="92" r:id="rId17"/>
    <sheet name="BS-KH26-KhanhNga" sheetId="93" r:id="rId18"/>
    <sheet name="BS-KH26-DaiLoc" sheetId="94" r:id="rId19"/>
  </sheets>
  <externalReferences>
    <externalReference r:id="rId20"/>
  </externalReferences>
  <definedNames>
    <definedName name="_xlnm._FilterDatabase" localSheetId="2" hidden="1">BS!$A$2:$AM$128</definedName>
    <definedName name="_xlnm._FilterDatabase" localSheetId="13" hidden="1">'Consol BS-DTRG'!$A$3:$DB$129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99" l="1" a="1"/>
  <c r="F34" i="99" s="1"/>
  <c r="E34" i="99" a="1"/>
  <c r="E34" i="99" s="1"/>
  <c r="S33" i="99" a="1"/>
  <c r="S33" i="99"/>
  <c r="F33" i="99" a="1"/>
  <c r="F33" i="99"/>
  <c r="E33" i="99" a="1"/>
  <c r="E33" i="99" s="1"/>
  <c r="A5" i="99"/>
  <c r="A6" i="99" s="1"/>
  <c r="A7" i="99" s="1"/>
  <c r="A8" i="99" s="1"/>
  <c r="A9" i="99" s="1"/>
  <c r="A10" i="99" s="1"/>
  <c r="A11" i="99" s="1"/>
  <c r="A12" i="99" s="1"/>
  <c r="A13" i="99" s="1"/>
  <c r="A14" i="99" s="1"/>
  <c r="A15" i="99" s="1"/>
  <c r="A16" i="99" s="1"/>
  <c r="A17" i="99" s="1"/>
  <c r="A18" i="99" s="1"/>
  <c r="A19" i="99" s="1"/>
  <c r="A20" i="99" s="1"/>
  <c r="A21" i="99" s="1"/>
  <c r="A22" i="99" s="1"/>
  <c r="A23" i="99" s="1"/>
  <c r="A24" i="99" s="1"/>
  <c r="A25" i="99" s="1"/>
  <c r="A26" i="99" s="1"/>
  <c r="A27" i="99" s="1"/>
  <c r="A28" i="99" s="1"/>
  <c r="A29" i="99" s="1"/>
  <c r="A30" i="99" s="1"/>
  <c r="R18" i="99"/>
  <c r="Q18" i="99"/>
  <c r="P18" i="99"/>
  <c r="O18" i="99"/>
  <c r="N18" i="99"/>
  <c r="M18" i="99"/>
  <c r="L18" i="99"/>
  <c r="K18" i="99"/>
  <c r="J18" i="99"/>
  <c r="I18" i="99"/>
  <c r="H18" i="99"/>
  <c r="G18" i="99"/>
  <c r="F18" i="99"/>
  <c r="E18" i="99"/>
  <c r="P48" i="95"/>
  <c r="O48" i="95"/>
  <c r="N48" i="95"/>
  <c r="M48" i="95"/>
  <c r="L48" i="95"/>
  <c r="K48" i="95"/>
  <c r="J48" i="95"/>
  <c r="I48" i="95"/>
  <c r="H48" i="95"/>
  <c r="G48" i="95"/>
  <c r="F48" i="95"/>
  <c r="E48" i="95"/>
  <c r="D48" i="95"/>
  <c r="AM48" i="95"/>
  <c r="AL48" i="95"/>
  <c r="AK48" i="95"/>
  <c r="AJ48" i="95"/>
  <c r="AI48" i="95"/>
  <c r="AH48" i="95"/>
  <c r="AG48" i="95"/>
  <c r="AF48" i="95"/>
  <c r="AE48" i="95"/>
  <c r="AD48" i="95"/>
  <c r="AC48" i="95"/>
  <c r="AB48" i="95"/>
  <c r="AA48" i="95"/>
  <c r="Z48" i="95"/>
  <c r="Y48" i="95"/>
  <c r="X48" i="95"/>
  <c r="W48" i="95"/>
  <c r="V48" i="95"/>
  <c r="U48" i="95"/>
  <c r="T48" i="95"/>
  <c r="S48" i="95"/>
  <c r="R48" i="95"/>
  <c r="Q48" i="95"/>
  <c r="S18" i="99" l="1"/>
  <c r="AM52" i="95" l="1"/>
  <c r="AL52" i="95"/>
  <c r="AK52" i="95"/>
  <c r="AJ52" i="95"/>
  <c r="AI52" i="95"/>
  <c r="AH52" i="95"/>
  <c r="AG52" i="95"/>
  <c r="AF52" i="95"/>
  <c r="AE52" i="95"/>
  <c r="AD52" i="95"/>
  <c r="AC52" i="95"/>
  <c r="AB52" i="95"/>
  <c r="AM51" i="95"/>
  <c r="AL51" i="95"/>
  <c r="AK51" i="95"/>
  <c r="AJ51" i="95"/>
  <c r="AI51" i="95"/>
  <c r="AH51" i="95"/>
  <c r="AG51" i="95"/>
  <c r="AF51" i="95"/>
  <c r="AE51" i="95"/>
  <c r="AD51" i="95"/>
  <c r="AC51" i="95"/>
  <c r="AB51" i="95"/>
  <c r="AM49" i="95"/>
  <c r="AL49" i="95"/>
  <c r="AK49" i="95"/>
  <c r="AJ49" i="95"/>
  <c r="AI49" i="95"/>
  <c r="AH49" i="95"/>
  <c r="AG49" i="95"/>
  <c r="AF49" i="95"/>
  <c r="AE49" i="95"/>
  <c r="AD49" i="95"/>
  <c r="AC49" i="95"/>
  <c r="AB49" i="95"/>
  <c r="AM50" i="95"/>
  <c r="AL50" i="95"/>
  <c r="AK50" i="95"/>
  <c r="AJ50" i="95"/>
  <c r="AI50" i="95"/>
  <c r="AH50" i="95"/>
  <c r="AG50" i="95"/>
  <c r="AF50" i="95"/>
  <c r="AE50" i="95"/>
  <c r="AD50" i="95"/>
  <c r="AC50" i="95"/>
  <c r="AB50" i="95"/>
  <c r="BE51" i="83"/>
  <c r="BR51" i="83" l="1"/>
  <c r="BQ51" i="83"/>
  <c r="BP51" i="83"/>
  <c r="BO51" i="83"/>
  <c r="BN51" i="83"/>
  <c r="BM51" i="83"/>
  <c r="BL51" i="83"/>
  <c r="BK51" i="83"/>
  <c r="BJ51" i="83"/>
  <c r="BI51" i="83"/>
  <c r="BH51" i="83"/>
  <c r="BG51" i="83"/>
  <c r="BS51" i="83"/>
  <c r="DH51" i="83" l="1"/>
  <c r="DG51" i="83"/>
  <c r="DF51" i="83"/>
  <c r="DE51" i="83"/>
  <c r="DD51" i="83"/>
  <c r="DC51" i="83"/>
  <c r="DB51" i="83"/>
  <c r="DA51" i="83"/>
  <c r="CZ51" i="83"/>
  <c r="CY51" i="83"/>
  <c r="CX51" i="83"/>
  <c r="CW51" i="83"/>
  <c r="DI51" i="83" s="1"/>
  <c r="CT51" i="83"/>
  <c r="CS51" i="83"/>
  <c r="CU51" i="83" s="1"/>
  <c r="CR51" i="83"/>
  <c r="CQ51" i="83"/>
  <c r="CP51" i="83"/>
  <c r="CO51" i="83"/>
  <c r="CN51" i="83"/>
  <c r="CM51" i="83"/>
  <c r="CL51" i="83"/>
  <c r="CK51" i="83"/>
  <c r="CJ51" i="83"/>
  <c r="CI51" i="83"/>
  <c r="DW51" i="83"/>
  <c r="CF51" i="83"/>
  <c r="CE51" i="83"/>
  <c r="CD51" i="83"/>
  <c r="CC51" i="83"/>
  <c r="CB51" i="83"/>
  <c r="CA51" i="83"/>
  <c r="BZ51" i="83"/>
  <c r="BY51" i="83"/>
  <c r="BX51" i="83"/>
  <c r="BW51" i="83"/>
  <c r="BV51" i="83"/>
  <c r="BU51" i="83"/>
  <c r="CG51" i="83" s="1"/>
  <c r="R14" i="99"/>
  <c r="Q14" i="99"/>
  <c r="P14" i="99"/>
  <c r="O14" i="99"/>
  <c r="N14" i="99"/>
  <c r="M14" i="99"/>
  <c r="L14" i="99"/>
  <c r="K14" i="99"/>
  <c r="J14" i="99"/>
  <c r="I14" i="99"/>
  <c r="H14" i="99"/>
  <c r="G14" i="99"/>
  <c r="F14" i="99"/>
  <c r="E14" i="99"/>
  <c r="R12" i="99"/>
  <c r="Q12" i="99"/>
  <c r="P12" i="99"/>
  <c r="O12" i="99"/>
  <c r="N12" i="99"/>
  <c r="M12" i="99"/>
  <c r="L12" i="99"/>
  <c r="K12" i="99"/>
  <c r="J12" i="99"/>
  <c r="I12" i="99"/>
  <c r="H12" i="99"/>
  <c r="G12" i="99"/>
  <c r="F12" i="99"/>
  <c r="E12" i="99"/>
  <c r="E29" i="99"/>
  <c r="E28" i="99"/>
  <c r="F29" i="99"/>
  <c r="F28" i="99"/>
  <c r="F8" i="99"/>
  <c r="E8" i="99"/>
  <c r="S12" i="99" l="1"/>
  <c r="F25" i="99" a="1"/>
  <c r="F25" i="99" s="1"/>
  <c r="E25" i="99" a="1"/>
  <c r="E25" i="99" s="1"/>
  <c r="F24" i="99"/>
  <c r="E24" i="99"/>
  <c r="R23" i="99" l="1" a="1"/>
  <c r="R23" i="99" s="1"/>
  <c r="S23" i="99" s="1"/>
  <c r="Q23" i="99" a="1"/>
  <c r="Q23" i="99" s="1"/>
  <c r="P23" i="99" a="1"/>
  <c r="P23" i="99" s="1"/>
  <c r="O23" i="99" a="1"/>
  <c r="O23" i="99" s="1"/>
  <c r="N23" i="99" a="1"/>
  <c r="N23" i="99" s="1"/>
  <c r="M23" i="99" a="1"/>
  <c r="M23" i="99" s="1"/>
  <c r="L23" i="99" a="1"/>
  <c r="L23" i="99" s="1"/>
  <c r="K23" i="99" a="1"/>
  <c r="K23" i="99" s="1"/>
  <c r="J23" i="99" a="1"/>
  <c r="J23" i="99" s="1"/>
  <c r="I23" i="99" a="1"/>
  <c r="I23" i="99" s="1"/>
  <c r="H23" i="99" a="1"/>
  <c r="H23" i="99" s="1"/>
  <c r="G23" i="99" a="1"/>
  <c r="G23" i="99" s="1"/>
  <c r="F23" i="99" a="1"/>
  <c r="F23" i="99" s="1"/>
  <c r="F22" i="99" s="1"/>
  <c r="E23" i="99" a="1"/>
  <c r="E23" i="99" s="1"/>
  <c r="E22" i="99" s="1"/>
  <c r="O127" i="96"/>
  <c r="N127" i="96"/>
  <c r="M127" i="96"/>
  <c r="L127" i="96"/>
  <c r="K127" i="96"/>
  <c r="J127" i="96"/>
  <c r="I127" i="96"/>
  <c r="H127" i="96"/>
  <c r="G127" i="96"/>
  <c r="F127" i="96"/>
  <c r="E127" i="96"/>
  <c r="D127" i="96"/>
  <c r="O126" i="96"/>
  <c r="N126" i="96"/>
  <c r="M126" i="96"/>
  <c r="L126" i="96"/>
  <c r="K126" i="96"/>
  <c r="J126" i="96"/>
  <c r="I126" i="96"/>
  <c r="H126" i="96"/>
  <c r="G126" i="96"/>
  <c r="F126" i="96"/>
  <c r="E126" i="96"/>
  <c r="D126" i="96"/>
  <c r="O124" i="96"/>
  <c r="N124" i="96"/>
  <c r="M124" i="96"/>
  <c r="L124" i="96"/>
  <c r="K124" i="96"/>
  <c r="J124" i="96"/>
  <c r="I124" i="96"/>
  <c r="H124" i="96"/>
  <c r="G124" i="96"/>
  <c r="F124" i="96"/>
  <c r="E124" i="96"/>
  <c r="D124" i="96"/>
  <c r="O123" i="96"/>
  <c r="N123" i="96"/>
  <c r="M123" i="96"/>
  <c r="L123" i="96"/>
  <c r="K123" i="96"/>
  <c r="J123" i="96"/>
  <c r="I123" i="96"/>
  <c r="H123" i="96"/>
  <c r="G123" i="96"/>
  <c r="F123" i="96"/>
  <c r="E123" i="96"/>
  <c r="D123" i="96"/>
  <c r="O122" i="96"/>
  <c r="N122" i="96"/>
  <c r="M122" i="96"/>
  <c r="L122" i="96"/>
  <c r="K122" i="96"/>
  <c r="J122" i="96"/>
  <c r="I122" i="96"/>
  <c r="H122" i="96"/>
  <c r="G122" i="96"/>
  <c r="F122" i="96"/>
  <c r="E122" i="96"/>
  <c r="D122" i="96"/>
  <c r="O121" i="96"/>
  <c r="N121" i="96"/>
  <c r="M121" i="96"/>
  <c r="L121" i="96"/>
  <c r="K121" i="96"/>
  <c r="J121" i="96"/>
  <c r="I121" i="96"/>
  <c r="H121" i="96"/>
  <c r="G121" i="96"/>
  <c r="F121" i="96"/>
  <c r="E121" i="96"/>
  <c r="D121" i="96"/>
  <c r="O120" i="96"/>
  <c r="N120" i="96"/>
  <c r="M120" i="96"/>
  <c r="L120" i="96"/>
  <c r="K120" i="96"/>
  <c r="J120" i="96"/>
  <c r="I120" i="96"/>
  <c r="H120" i="96"/>
  <c r="G120" i="96"/>
  <c r="F120" i="96"/>
  <c r="E120" i="96"/>
  <c r="D120" i="96"/>
  <c r="O119" i="96"/>
  <c r="N119" i="96"/>
  <c r="M119" i="96"/>
  <c r="L119" i="96"/>
  <c r="K119" i="96"/>
  <c r="J119" i="96"/>
  <c r="I119" i="96"/>
  <c r="H119" i="96"/>
  <c r="G119" i="96"/>
  <c r="F119" i="96"/>
  <c r="E119" i="96"/>
  <c r="D119" i="96"/>
  <c r="O118" i="96"/>
  <c r="N118" i="96"/>
  <c r="M118" i="96"/>
  <c r="L118" i="96"/>
  <c r="K118" i="96"/>
  <c r="J118" i="96"/>
  <c r="I118" i="96"/>
  <c r="H118" i="96"/>
  <c r="G118" i="96"/>
  <c r="F118" i="96"/>
  <c r="E118" i="96"/>
  <c r="D118" i="96"/>
  <c r="O117" i="96"/>
  <c r="N117" i="96"/>
  <c r="M117" i="96"/>
  <c r="L117" i="96"/>
  <c r="K117" i="96"/>
  <c r="J117" i="96"/>
  <c r="I117" i="96"/>
  <c r="H117" i="96"/>
  <c r="G117" i="96"/>
  <c r="F117" i="96"/>
  <c r="E117" i="96"/>
  <c r="D117" i="96"/>
  <c r="O116" i="96"/>
  <c r="N116" i="96"/>
  <c r="M116" i="96"/>
  <c r="L116" i="96"/>
  <c r="K116" i="96"/>
  <c r="J116" i="96"/>
  <c r="I116" i="96"/>
  <c r="H116" i="96"/>
  <c r="G116" i="96"/>
  <c r="F116" i="96"/>
  <c r="E116" i="96"/>
  <c r="D116" i="96"/>
  <c r="O115" i="96"/>
  <c r="N115" i="96"/>
  <c r="M115" i="96"/>
  <c r="L115" i="96"/>
  <c r="K115" i="96"/>
  <c r="J115" i="96"/>
  <c r="I115" i="96"/>
  <c r="H115" i="96"/>
  <c r="G115" i="96"/>
  <c r="F115" i="96"/>
  <c r="E115" i="96"/>
  <c r="D115" i="96"/>
  <c r="O112" i="96"/>
  <c r="N112" i="96"/>
  <c r="M112" i="96"/>
  <c r="L112" i="96"/>
  <c r="K112" i="96"/>
  <c r="J112" i="96"/>
  <c r="I112" i="96"/>
  <c r="H112" i="96"/>
  <c r="G112" i="96"/>
  <c r="F112" i="96"/>
  <c r="E112" i="96"/>
  <c r="D112" i="96"/>
  <c r="O111" i="96"/>
  <c r="N111" i="96"/>
  <c r="M111" i="96"/>
  <c r="L111" i="96"/>
  <c r="K111" i="96"/>
  <c r="J111" i="96"/>
  <c r="I111" i="96"/>
  <c r="H111" i="96"/>
  <c r="G111" i="96"/>
  <c r="F111" i="96"/>
  <c r="E111" i="96"/>
  <c r="D111" i="96"/>
  <c r="O110" i="96"/>
  <c r="N110" i="96"/>
  <c r="M110" i="96"/>
  <c r="L110" i="96"/>
  <c r="K110" i="96"/>
  <c r="J110" i="96"/>
  <c r="I110" i="96"/>
  <c r="H110" i="96"/>
  <c r="G110" i="96"/>
  <c r="F110" i="96"/>
  <c r="E110" i="96"/>
  <c r="D110" i="96"/>
  <c r="O109" i="96"/>
  <c r="N109" i="96"/>
  <c r="M109" i="96"/>
  <c r="L109" i="96"/>
  <c r="K109" i="96"/>
  <c r="J109" i="96"/>
  <c r="I109" i="96"/>
  <c r="H109" i="96"/>
  <c r="G109" i="96"/>
  <c r="F109" i="96"/>
  <c r="E109" i="96"/>
  <c r="D109" i="96"/>
  <c r="O108" i="96"/>
  <c r="N108" i="96"/>
  <c r="M108" i="96"/>
  <c r="L108" i="96"/>
  <c r="K108" i="96"/>
  <c r="J108" i="96"/>
  <c r="I108" i="96"/>
  <c r="H108" i="96"/>
  <c r="G108" i="96"/>
  <c r="F108" i="96"/>
  <c r="E108" i="96"/>
  <c r="D108" i="96"/>
  <c r="O107" i="96"/>
  <c r="N107" i="96"/>
  <c r="M107" i="96"/>
  <c r="L107" i="96"/>
  <c r="K107" i="96"/>
  <c r="J107" i="96"/>
  <c r="I107" i="96"/>
  <c r="H107" i="96"/>
  <c r="G107" i="96"/>
  <c r="F107" i="96"/>
  <c r="E107" i="96"/>
  <c r="D107" i="96"/>
  <c r="O106" i="96"/>
  <c r="N106" i="96"/>
  <c r="M106" i="96"/>
  <c r="L106" i="96"/>
  <c r="K106" i="96"/>
  <c r="J106" i="96"/>
  <c r="I106" i="96"/>
  <c r="H106" i="96"/>
  <c r="G106" i="96"/>
  <c r="F106" i="96"/>
  <c r="E106" i="96"/>
  <c r="D106" i="96"/>
  <c r="O105" i="96"/>
  <c r="N105" i="96"/>
  <c r="M105" i="96"/>
  <c r="L105" i="96"/>
  <c r="K105" i="96"/>
  <c r="J105" i="96"/>
  <c r="I105" i="96"/>
  <c r="H105" i="96"/>
  <c r="G105" i="96"/>
  <c r="F105" i="96"/>
  <c r="E105" i="96"/>
  <c r="D105" i="96"/>
  <c r="O104" i="96"/>
  <c r="N104" i="96"/>
  <c r="M104" i="96"/>
  <c r="L104" i="96"/>
  <c r="K104" i="96"/>
  <c r="J104" i="96"/>
  <c r="I104" i="96"/>
  <c r="H104" i="96"/>
  <c r="G104" i="96"/>
  <c r="F104" i="96"/>
  <c r="E104" i="96"/>
  <c r="D104" i="96"/>
  <c r="O103" i="96"/>
  <c r="N103" i="96"/>
  <c r="M103" i="96"/>
  <c r="L103" i="96"/>
  <c r="K103" i="96"/>
  <c r="J103" i="96"/>
  <c r="I103" i="96"/>
  <c r="H103" i="96"/>
  <c r="G103" i="96"/>
  <c r="F103" i="96"/>
  <c r="E103" i="96"/>
  <c r="D103" i="96"/>
  <c r="O102" i="96"/>
  <c r="N102" i="96"/>
  <c r="M102" i="96"/>
  <c r="L102" i="96"/>
  <c r="K102" i="96"/>
  <c r="J102" i="96"/>
  <c r="I102" i="96"/>
  <c r="H102" i="96"/>
  <c r="G102" i="96"/>
  <c r="F102" i="96"/>
  <c r="E102" i="96"/>
  <c r="D102" i="96"/>
  <c r="O101" i="96"/>
  <c r="N101" i="96"/>
  <c r="M101" i="96"/>
  <c r="L101" i="96"/>
  <c r="K101" i="96"/>
  <c r="J101" i="96"/>
  <c r="I101" i="96"/>
  <c r="H101" i="96"/>
  <c r="G101" i="96"/>
  <c r="F101" i="96"/>
  <c r="E101" i="96"/>
  <c r="D101" i="96"/>
  <c r="O100" i="96"/>
  <c r="N100" i="96"/>
  <c r="M100" i="96"/>
  <c r="L100" i="96"/>
  <c r="K100" i="96"/>
  <c r="J100" i="96"/>
  <c r="I100" i="96"/>
  <c r="H100" i="96"/>
  <c r="G100" i="96"/>
  <c r="F100" i="96"/>
  <c r="E100" i="96"/>
  <c r="D100" i="96"/>
  <c r="O99" i="96"/>
  <c r="N99" i="96"/>
  <c r="M99" i="96"/>
  <c r="L99" i="96"/>
  <c r="K99" i="96"/>
  <c r="J99" i="96"/>
  <c r="I99" i="96"/>
  <c r="H99" i="96"/>
  <c r="G99" i="96"/>
  <c r="F99" i="96"/>
  <c r="E99" i="96"/>
  <c r="D99" i="96"/>
  <c r="O97" i="96"/>
  <c r="N97" i="96"/>
  <c r="M97" i="96"/>
  <c r="L97" i="96"/>
  <c r="K97" i="96"/>
  <c r="J97" i="96"/>
  <c r="I97" i="96"/>
  <c r="H97" i="96"/>
  <c r="G97" i="96"/>
  <c r="F97" i="96"/>
  <c r="E97" i="96"/>
  <c r="D97" i="96"/>
  <c r="O96" i="96"/>
  <c r="N96" i="96"/>
  <c r="M96" i="96"/>
  <c r="L96" i="96"/>
  <c r="K96" i="96"/>
  <c r="J96" i="96"/>
  <c r="I96" i="96"/>
  <c r="H96" i="96"/>
  <c r="G96" i="96"/>
  <c r="F96" i="96"/>
  <c r="E96" i="96"/>
  <c r="D96" i="96"/>
  <c r="O95" i="96"/>
  <c r="N95" i="96"/>
  <c r="M95" i="96"/>
  <c r="L95" i="96"/>
  <c r="K95" i="96"/>
  <c r="J95" i="96"/>
  <c r="I95" i="96"/>
  <c r="H95" i="96"/>
  <c r="G95" i="96"/>
  <c r="F95" i="96"/>
  <c r="E95" i="96"/>
  <c r="D95" i="96"/>
  <c r="O94" i="96"/>
  <c r="N94" i="96"/>
  <c r="M94" i="96"/>
  <c r="L94" i="96"/>
  <c r="K94" i="96"/>
  <c r="J94" i="96"/>
  <c r="I94" i="96"/>
  <c r="H94" i="96"/>
  <c r="G94" i="96"/>
  <c r="F94" i="96"/>
  <c r="E94" i="96"/>
  <c r="D94" i="96"/>
  <c r="O93" i="96"/>
  <c r="N93" i="96"/>
  <c r="M93" i="96"/>
  <c r="L93" i="96"/>
  <c r="K93" i="96"/>
  <c r="J93" i="96"/>
  <c r="I93" i="96"/>
  <c r="H93" i="96"/>
  <c r="G93" i="96"/>
  <c r="F93" i="96"/>
  <c r="E93" i="96"/>
  <c r="D93" i="96"/>
  <c r="O92" i="96"/>
  <c r="N92" i="96"/>
  <c r="M92" i="96"/>
  <c r="L92" i="96"/>
  <c r="K92" i="96"/>
  <c r="J92" i="96"/>
  <c r="I92" i="96"/>
  <c r="H92" i="96"/>
  <c r="G92" i="96"/>
  <c r="F92" i="96"/>
  <c r="E92" i="96"/>
  <c r="D92" i="96"/>
  <c r="O91" i="96"/>
  <c r="N91" i="96"/>
  <c r="M91" i="96"/>
  <c r="L91" i="96"/>
  <c r="K91" i="96"/>
  <c r="J91" i="96"/>
  <c r="I91" i="96"/>
  <c r="H91" i="96"/>
  <c r="G91" i="96"/>
  <c r="F91" i="96"/>
  <c r="E91" i="96"/>
  <c r="D91" i="96"/>
  <c r="O90" i="96"/>
  <c r="N90" i="96"/>
  <c r="M90" i="96"/>
  <c r="L90" i="96"/>
  <c r="K90" i="96"/>
  <c r="J90" i="96"/>
  <c r="I90" i="96"/>
  <c r="H90" i="96"/>
  <c r="G90" i="96"/>
  <c r="F90" i="96"/>
  <c r="E90" i="96"/>
  <c r="D90" i="96"/>
  <c r="O89" i="96"/>
  <c r="N89" i="96"/>
  <c r="M89" i="96"/>
  <c r="L89" i="96"/>
  <c r="K89" i="96"/>
  <c r="J89" i="96"/>
  <c r="I89" i="96"/>
  <c r="H89" i="96"/>
  <c r="G89" i="96"/>
  <c r="F89" i="96"/>
  <c r="E89" i="96"/>
  <c r="D89" i="96"/>
  <c r="O88" i="96"/>
  <c r="N88" i="96"/>
  <c r="M88" i="96"/>
  <c r="L88" i="96"/>
  <c r="K88" i="96"/>
  <c r="J88" i="96"/>
  <c r="I88" i="96"/>
  <c r="H88" i="96"/>
  <c r="G88" i="96"/>
  <c r="F88" i="96"/>
  <c r="E88" i="96"/>
  <c r="D88" i="96"/>
  <c r="O87" i="96"/>
  <c r="N87" i="96"/>
  <c r="M87" i="96"/>
  <c r="L87" i="96"/>
  <c r="K87" i="96"/>
  <c r="J87" i="96"/>
  <c r="I87" i="96"/>
  <c r="H87" i="96"/>
  <c r="G87" i="96"/>
  <c r="F87" i="96"/>
  <c r="E87" i="96"/>
  <c r="D87" i="96"/>
  <c r="O86" i="96"/>
  <c r="N86" i="96"/>
  <c r="M86" i="96"/>
  <c r="L86" i="96"/>
  <c r="K86" i="96"/>
  <c r="J86" i="96"/>
  <c r="I86" i="96"/>
  <c r="H86" i="96"/>
  <c r="G86" i="96"/>
  <c r="F86" i="96"/>
  <c r="E86" i="96"/>
  <c r="D86" i="96"/>
  <c r="O85" i="96"/>
  <c r="N85" i="96"/>
  <c r="M85" i="96"/>
  <c r="L85" i="96"/>
  <c r="K85" i="96"/>
  <c r="J85" i="96"/>
  <c r="I85" i="96"/>
  <c r="H85" i="96"/>
  <c r="G85" i="96"/>
  <c r="F85" i="96"/>
  <c r="E85" i="96"/>
  <c r="D85" i="96"/>
  <c r="O84" i="96"/>
  <c r="N84" i="96"/>
  <c r="M84" i="96"/>
  <c r="L84" i="96"/>
  <c r="K84" i="96"/>
  <c r="J84" i="96"/>
  <c r="I84" i="96"/>
  <c r="H84" i="96"/>
  <c r="G84" i="96"/>
  <c r="F84" i="96"/>
  <c r="E84" i="96"/>
  <c r="D84" i="96"/>
  <c r="O83" i="96"/>
  <c r="N83" i="96"/>
  <c r="M83" i="96"/>
  <c r="L83" i="96"/>
  <c r="K83" i="96"/>
  <c r="J83" i="96"/>
  <c r="I83" i="96"/>
  <c r="H83" i="96"/>
  <c r="G83" i="96"/>
  <c r="F83" i="96"/>
  <c r="E83" i="96"/>
  <c r="D83" i="96"/>
  <c r="O79" i="96"/>
  <c r="N79" i="96"/>
  <c r="M79" i="96"/>
  <c r="L79" i="96"/>
  <c r="K79" i="96"/>
  <c r="J79" i="96"/>
  <c r="I79" i="96"/>
  <c r="H79" i="96"/>
  <c r="G79" i="96"/>
  <c r="F79" i="96"/>
  <c r="E79" i="96"/>
  <c r="D79" i="96"/>
  <c r="O78" i="96"/>
  <c r="N78" i="96"/>
  <c r="M78" i="96"/>
  <c r="L78" i="96"/>
  <c r="K78" i="96"/>
  <c r="J78" i="96"/>
  <c r="I78" i="96"/>
  <c r="H78" i="96"/>
  <c r="G78" i="96"/>
  <c r="F78" i="96"/>
  <c r="E78" i="96"/>
  <c r="D78" i="96"/>
  <c r="O77" i="96"/>
  <c r="N77" i="96"/>
  <c r="M77" i="96"/>
  <c r="L77" i="96"/>
  <c r="K77" i="96"/>
  <c r="J77" i="96"/>
  <c r="I77" i="96"/>
  <c r="H77" i="96"/>
  <c r="G77" i="96"/>
  <c r="F77" i="96"/>
  <c r="E77" i="96"/>
  <c r="D77" i="96"/>
  <c r="O76" i="96"/>
  <c r="N76" i="96"/>
  <c r="M76" i="96"/>
  <c r="L76" i="96"/>
  <c r="K76" i="96"/>
  <c r="J76" i="96"/>
  <c r="I76" i="96"/>
  <c r="H76" i="96"/>
  <c r="G76" i="96"/>
  <c r="F76" i="96"/>
  <c r="E76" i="96"/>
  <c r="D76" i="96"/>
  <c r="O74" i="96"/>
  <c r="N74" i="96"/>
  <c r="M74" i="96"/>
  <c r="L74" i="96"/>
  <c r="K74" i="96"/>
  <c r="J74" i="96"/>
  <c r="I74" i="96"/>
  <c r="H74" i="96"/>
  <c r="G74" i="96"/>
  <c r="F74" i="96"/>
  <c r="E74" i="96"/>
  <c r="D74" i="96"/>
  <c r="O73" i="96"/>
  <c r="N73" i="96"/>
  <c r="M73" i="96"/>
  <c r="L73" i="96"/>
  <c r="K73" i="96"/>
  <c r="J73" i="96"/>
  <c r="I73" i="96"/>
  <c r="H73" i="96"/>
  <c r="G73" i="96"/>
  <c r="F73" i="96"/>
  <c r="E73" i="96"/>
  <c r="D73" i="96"/>
  <c r="O72" i="96"/>
  <c r="N72" i="96"/>
  <c r="M72" i="96"/>
  <c r="L72" i="96"/>
  <c r="K72" i="96"/>
  <c r="J72" i="96"/>
  <c r="I72" i="96"/>
  <c r="H72" i="96"/>
  <c r="G72" i="96"/>
  <c r="F72" i="96"/>
  <c r="E72" i="96"/>
  <c r="D72" i="96"/>
  <c r="O71" i="96"/>
  <c r="N71" i="96"/>
  <c r="M71" i="96"/>
  <c r="L71" i="96"/>
  <c r="K71" i="96"/>
  <c r="J71" i="96"/>
  <c r="I71" i="96"/>
  <c r="H71" i="96"/>
  <c r="G71" i="96"/>
  <c r="F71" i="96"/>
  <c r="E71" i="96"/>
  <c r="D71" i="96"/>
  <c r="O70" i="96"/>
  <c r="N70" i="96"/>
  <c r="M70" i="96"/>
  <c r="L70" i="96"/>
  <c r="K70" i="96"/>
  <c r="J70" i="96"/>
  <c r="I70" i="96"/>
  <c r="H70" i="96"/>
  <c r="G70" i="96"/>
  <c r="F70" i="96"/>
  <c r="E70" i="96"/>
  <c r="D70" i="96"/>
  <c r="O69" i="96"/>
  <c r="N69" i="96"/>
  <c r="M69" i="96"/>
  <c r="L69" i="96"/>
  <c r="K69" i="96"/>
  <c r="J69" i="96"/>
  <c r="I69" i="96"/>
  <c r="H69" i="96"/>
  <c r="G69" i="96"/>
  <c r="F69" i="96"/>
  <c r="E69" i="96"/>
  <c r="D69" i="96"/>
  <c r="O67" i="96"/>
  <c r="N67" i="96"/>
  <c r="M67" i="96"/>
  <c r="L67" i="96"/>
  <c r="K67" i="96"/>
  <c r="J67" i="96"/>
  <c r="I67" i="96"/>
  <c r="H67" i="96"/>
  <c r="G67" i="96"/>
  <c r="F67" i="96"/>
  <c r="E67" i="96"/>
  <c r="D67" i="96"/>
  <c r="O66" i="96"/>
  <c r="N66" i="96"/>
  <c r="M66" i="96"/>
  <c r="L66" i="96"/>
  <c r="K66" i="96"/>
  <c r="J66" i="96"/>
  <c r="I66" i="96"/>
  <c r="H66" i="96"/>
  <c r="G66" i="96"/>
  <c r="F66" i="96"/>
  <c r="E66" i="96"/>
  <c r="D66" i="96"/>
  <c r="O64" i="96"/>
  <c r="N64" i="96"/>
  <c r="M64" i="96"/>
  <c r="L64" i="96"/>
  <c r="K64" i="96"/>
  <c r="J64" i="96"/>
  <c r="I64" i="96"/>
  <c r="H64" i="96"/>
  <c r="G64" i="96"/>
  <c r="F64" i="96"/>
  <c r="E64" i="96"/>
  <c r="D64" i="96"/>
  <c r="O63" i="96"/>
  <c r="N63" i="96"/>
  <c r="M63" i="96"/>
  <c r="L63" i="96"/>
  <c r="K63" i="96"/>
  <c r="J63" i="96"/>
  <c r="I63" i="96"/>
  <c r="H63" i="96"/>
  <c r="G63" i="96"/>
  <c r="F63" i="96"/>
  <c r="E63" i="96"/>
  <c r="D63" i="96"/>
  <c r="O61" i="96"/>
  <c r="N61" i="96"/>
  <c r="M61" i="96"/>
  <c r="L61" i="96"/>
  <c r="K61" i="96"/>
  <c r="J61" i="96"/>
  <c r="I61" i="96"/>
  <c r="H61" i="96"/>
  <c r="G61" i="96"/>
  <c r="F61" i="96"/>
  <c r="E61" i="96"/>
  <c r="D61" i="96"/>
  <c r="O60" i="96"/>
  <c r="N60" i="96"/>
  <c r="M60" i="96"/>
  <c r="L60" i="96"/>
  <c r="K60" i="96"/>
  <c r="J60" i="96"/>
  <c r="I60" i="96"/>
  <c r="H60" i="96"/>
  <c r="G60" i="96"/>
  <c r="F60" i="96"/>
  <c r="E60" i="96"/>
  <c r="D60" i="96"/>
  <c r="O59" i="96"/>
  <c r="N59" i="96"/>
  <c r="M59" i="96"/>
  <c r="L59" i="96"/>
  <c r="K59" i="96"/>
  <c r="J59" i="96"/>
  <c r="I59" i="96"/>
  <c r="H59" i="96"/>
  <c r="G59" i="96"/>
  <c r="F59" i="96"/>
  <c r="E59" i="96"/>
  <c r="D59" i="96"/>
  <c r="O58" i="96"/>
  <c r="N58" i="96"/>
  <c r="M58" i="96"/>
  <c r="L58" i="96"/>
  <c r="K58" i="96"/>
  <c r="J58" i="96"/>
  <c r="I58" i="96"/>
  <c r="H58" i="96"/>
  <c r="G58" i="96"/>
  <c r="F58" i="96"/>
  <c r="E58" i="96"/>
  <c r="D58" i="96"/>
  <c r="O57" i="96"/>
  <c r="N57" i="96"/>
  <c r="M57" i="96"/>
  <c r="L57" i="96"/>
  <c r="K57" i="96"/>
  <c r="J57" i="96"/>
  <c r="I57" i="96"/>
  <c r="H57" i="96"/>
  <c r="G57" i="96"/>
  <c r="F57" i="96"/>
  <c r="E57" i="96"/>
  <c r="D57" i="96"/>
  <c r="O55" i="96"/>
  <c r="N55" i="96"/>
  <c r="M55" i="96"/>
  <c r="L55" i="96"/>
  <c r="K55" i="96"/>
  <c r="J55" i="96"/>
  <c r="I55" i="96"/>
  <c r="H55" i="96"/>
  <c r="G55" i="96"/>
  <c r="F55" i="96"/>
  <c r="E55" i="96"/>
  <c r="D55" i="96"/>
  <c r="O52" i="96"/>
  <c r="N52" i="96"/>
  <c r="M52" i="96"/>
  <c r="L52" i="96"/>
  <c r="K52" i="96"/>
  <c r="J52" i="96"/>
  <c r="I52" i="96"/>
  <c r="H52" i="96"/>
  <c r="G52" i="96"/>
  <c r="F52" i="96"/>
  <c r="E52" i="96"/>
  <c r="D52" i="96"/>
  <c r="O51" i="96"/>
  <c r="N51" i="96"/>
  <c r="M51" i="96"/>
  <c r="L51" i="96"/>
  <c r="K51" i="96"/>
  <c r="J51" i="96"/>
  <c r="I51" i="96"/>
  <c r="H51" i="96"/>
  <c r="G51" i="96"/>
  <c r="F51" i="96"/>
  <c r="E51" i="96"/>
  <c r="D51" i="96"/>
  <c r="O49" i="96"/>
  <c r="N49" i="96"/>
  <c r="M49" i="96"/>
  <c r="L49" i="96"/>
  <c r="K49" i="96"/>
  <c r="J49" i="96"/>
  <c r="I49" i="96"/>
  <c r="H49" i="96"/>
  <c r="G49" i="96"/>
  <c r="F49" i="96"/>
  <c r="E49" i="96"/>
  <c r="D49" i="96"/>
  <c r="O48" i="96"/>
  <c r="N48" i="96"/>
  <c r="M48" i="96"/>
  <c r="L48" i="96"/>
  <c r="K48" i="96"/>
  <c r="J48" i="96"/>
  <c r="I48" i="96"/>
  <c r="H48" i="96"/>
  <c r="G48" i="96"/>
  <c r="F48" i="96"/>
  <c r="E48" i="96"/>
  <c r="D48" i="96"/>
  <c r="O46" i="96"/>
  <c r="N46" i="96"/>
  <c r="M46" i="96"/>
  <c r="L46" i="96"/>
  <c r="K46" i="96"/>
  <c r="J46" i="96"/>
  <c r="I46" i="96"/>
  <c r="H46" i="96"/>
  <c r="G46" i="96"/>
  <c r="F46" i="96"/>
  <c r="E46" i="96"/>
  <c r="D46" i="96"/>
  <c r="O45" i="96"/>
  <c r="N45" i="96"/>
  <c r="M45" i="96"/>
  <c r="L45" i="96"/>
  <c r="K45" i="96"/>
  <c r="J45" i="96"/>
  <c r="I45" i="96"/>
  <c r="H45" i="96"/>
  <c r="G45" i="96"/>
  <c r="F45" i="96"/>
  <c r="E45" i="96"/>
  <c r="D45" i="96"/>
  <c r="O42" i="96"/>
  <c r="N42" i="96"/>
  <c r="M42" i="96"/>
  <c r="L42" i="96"/>
  <c r="K42" i="96"/>
  <c r="J42" i="96"/>
  <c r="I42" i="96"/>
  <c r="H42" i="96"/>
  <c r="G42" i="96"/>
  <c r="F42" i="96"/>
  <c r="E42" i="96"/>
  <c r="D42" i="96"/>
  <c r="O41" i="96"/>
  <c r="N41" i="96"/>
  <c r="M41" i="96"/>
  <c r="L41" i="96"/>
  <c r="K41" i="96"/>
  <c r="J41" i="96"/>
  <c r="I41" i="96"/>
  <c r="H41" i="96"/>
  <c r="G41" i="96"/>
  <c r="F41" i="96"/>
  <c r="E41" i="96"/>
  <c r="D41" i="96"/>
  <c r="O40" i="96"/>
  <c r="N40" i="96"/>
  <c r="M40" i="96"/>
  <c r="L40" i="96"/>
  <c r="K40" i="96"/>
  <c r="J40" i="96"/>
  <c r="I40" i="96"/>
  <c r="H40" i="96"/>
  <c r="G40" i="96"/>
  <c r="F40" i="96"/>
  <c r="E40" i="96"/>
  <c r="D40" i="96"/>
  <c r="O39" i="96"/>
  <c r="N39" i="96"/>
  <c r="M39" i="96"/>
  <c r="L39" i="96"/>
  <c r="K39" i="96"/>
  <c r="J39" i="96"/>
  <c r="I39" i="96"/>
  <c r="H39" i="96"/>
  <c r="G39" i="96"/>
  <c r="F39" i="96"/>
  <c r="E39" i="96"/>
  <c r="D39" i="96"/>
  <c r="O38" i="96"/>
  <c r="N38" i="96"/>
  <c r="M38" i="96"/>
  <c r="L38" i="96"/>
  <c r="K38" i="96"/>
  <c r="J38" i="96"/>
  <c r="I38" i="96"/>
  <c r="H38" i="96"/>
  <c r="G38" i="96"/>
  <c r="F38" i="96"/>
  <c r="E38" i="96"/>
  <c r="D38" i="96"/>
  <c r="O37" i="96"/>
  <c r="N37" i="96"/>
  <c r="M37" i="96"/>
  <c r="L37" i="96"/>
  <c r="K37" i="96"/>
  <c r="J37" i="96"/>
  <c r="I37" i="96"/>
  <c r="H37" i="96"/>
  <c r="G37" i="96"/>
  <c r="F37" i="96"/>
  <c r="E37" i="96"/>
  <c r="D37" i="96"/>
  <c r="O34" i="96"/>
  <c r="N34" i="96"/>
  <c r="M34" i="96"/>
  <c r="L34" i="96"/>
  <c r="K34" i="96"/>
  <c r="J34" i="96"/>
  <c r="I34" i="96"/>
  <c r="H34" i="96"/>
  <c r="G34" i="96"/>
  <c r="F34" i="96"/>
  <c r="E34" i="96"/>
  <c r="D34" i="96"/>
  <c r="O33" i="96"/>
  <c r="N33" i="96"/>
  <c r="M33" i="96"/>
  <c r="L33" i="96"/>
  <c r="K33" i="96"/>
  <c r="J33" i="96"/>
  <c r="I33" i="96"/>
  <c r="H33" i="96"/>
  <c r="G33" i="96"/>
  <c r="F33" i="96"/>
  <c r="E33" i="96"/>
  <c r="D33" i="96"/>
  <c r="O32" i="96"/>
  <c r="N32" i="96"/>
  <c r="M32" i="96"/>
  <c r="L32" i="96"/>
  <c r="K32" i="96"/>
  <c r="J32" i="96"/>
  <c r="I32" i="96"/>
  <c r="H32" i="96"/>
  <c r="G32" i="96"/>
  <c r="F32" i="96"/>
  <c r="E32" i="96"/>
  <c r="D32" i="96"/>
  <c r="O31" i="96"/>
  <c r="N31" i="96"/>
  <c r="M31" i="96"/>
  <c r="L31" i="96"/>
  <c r="K31" i="96"/>
  <c r="J31" i="96"/>
  <c r="I31" i="96"/>
  <c r="H31" i="96"/>
  <c r="G31" i="96"/>
  <c r="F31" i="96"/>
  <c r="E31" i="96"/>
  <c r="D31" i="96"/>
  <c r="O30" i="96"/>
  <c r="N30" i="96"/>
  <c r="M30" i="96"/>
  <c r="L30" i="96"/>
  <c r="K30" i="96"/>
  <c r="J30" i="96"/>
  <c r="I30" i="96"/>
  <c r="H30" i="96"/>
  <c r="G30" i="96"/>
  <c r="F30" i="96"/>
  <c r="E30" i="96"/>
  <c r="D30" i="96"/>
  <c r="O28" i="96"/>
  <c r="N28" i="96"/>
  <c r="M28" i="96"/>
  <c r="L28" i="96"/>
  <c r="K28" i="96"/>
  <c r="J28" i="96"/>
  <c r="I28" i="96"/>
  <c r="H28" i="96"/>
  <c r="G28" i="96"/>
  <c r="F28" i="96"/>
  <c r="E28" i="96"/>
  <c r="D28" i="96"/>
  <c r="O27" i="96"/>
  <c r="N27" i="96"/>
  <c r="M27" i="96"/>
  <c r="L27" i="96"/>
  <c r="K27" i="96"/>
  <c r="J27" i="96"/>
  <c r="I27" i="96"/>
  <c r="H27" i="96"/>
  <c r="G27" i="96"/>
  <c r="F27" i="96"/>
  <c r="E27" i="96"/>
  <c r="D27" i="96"/>
  <c r="O26" i="96"/>
  <c r="N26" i="96"/>
  <c r="M26" i="96"/>
  <c r="L26" i="96"/>
  <c r="K26" i="96"/>
  <c r="J26" i="96"/>
  <c r="I26" i="96"/>
  <c r="H26" i="96"/>
  <c r="G26" i="96"/>
  <c r="F26" i="96"/>
  <c r="E26" i="96"/>
  <c r="D26" i="96"/>
  <c r="O24" i="96"/>
  <c r="N24" i="96"/>
  <c r="M24" i="96"/>
  <c r="L24" i="96"/>
  <c r="K24" i="96"/>
  <c r="J24" i="96"/>
  <c r="I24" i="96"/>
  <c r="H24" i="96"/>
  <c r="G24" i="96"/>
  <c r="F24" i="96"/>
  <c r="E24" i="96"/>
  <c r="D24" i="96"/>
  <c r="O23" i="96"/>
  <c r="N23" i="96"/>
  <c r="M23" i="96"/>
  <c r="L23" i="96"/>
  <c r="K23" i="96"/>
  <c r="J23" i="96"/>
  <c r="I23" i="96"/>
  <c r="H23" i="96"/>
  <c r="G23" i="96"/>
  <c r="F23" i="96"/>
  <c r="E23" i="96"/>
  <c r="D23" i="96"/>
  <c r="O21" i="96"/>
  <c r="N21" i="96"/>
  <c r="M21" i="96"/>
  <c r="L21" i="96"/>
  <c r="K21" i="96"/>
  <c r="J21" i="96"/>
  <c r="I21" i="96"/>
  <c r="H21" i="96"/>
  <c r="G21" i="96"/>
  <c r="F21" i="96"/>
  <c r="E21" i="96"/>
  <c r="D21" i="96"/>
  <c r="O20" i="96"/>
  <c r="N20" i="96"/>
  <c r="M20" i="96"/>
  <c r="L20" i="96"/>
  <c r="K20" i="96"/>
  <c r="J20" i="96"/>
  <c r="I20" i="96"/>
  <c r="H20" i="96"/>
  <c r="G20" i="96"/>
  <c r="F20" i="96"/>
  <c r="E20" i="96"/>
  <c r="D20" i="96"/>
  <c r="O19" i="96"/>
  <c r="N19" i="96"/>
  <c r="M19" i="96"/>
  <c r="L19" i="96"/>
  <c r="K19" i="96"/>
  <c r="J19" i="96"/>
  <c r="I19" i="96"/>
  <c r="H19" i="96"/>
  <c r="G19" i="96"/>
  <c r="F19" i="96"/>
  <c r="E19" i="96"/>
  <c r="D19" i="96"/>
  <c r="O18" i="96"/>
  <c r="N18" i="96"/>
  <c r="M18" i="96"/>
  <c r="L18" i="96"/>
  <c r="K18" i="96"/>
  <c r="J18" i="96"/>
  <c r="I18" i="96"/>
  <c r="H18" i="96"/>
  <c r="G18" i="96"/>
  <c r="F18" i="96"/>
  <c r="E18" i="96"/>
  <c r="D18" i="96"/>
  <c r="O17" i="96"/>
  <c r="N17" i="96"/>
  <c r="M17" i="96"/>
  <c r="L17" i="96"/>
  <c r="K17" i="96"/>
  <c r="J17" i="96"/>
  <c r="I17" i="96"/>
  <c r="H17" i="96"/>
  <c r="G17" i="96"/>
  <c r="F17" i="96"/>
  <c r="E17" i="96"/>
  <c r="D17" i="96"/>
  <c r="O16" i="96"/>
  <c r="N16" i="96"/>
  <c r="M16" i="96"/>
  <c r="L16" i="96"/>
  <c r="K16" i="96"/>
  <c r="J16" i="96"/>
  <c r="I16" i="96"/>
  <c r="H16" i="96"/>
  <c r="G16" i="96"/>
  <c r="F16" i="96"/>
  <c r="E16" i="96"/>
  <c r="D16" i="96"/>
  <c r="O15" i="96"/>
  <c r="N15" i="96"/>
  <c r="M15" i="96"/>
  <c r="L15" i="96"/>
  <c r="K15" i="96"/>
  <c r="J15" i="96"/>
  <c r="I15" i="96"/>
  <c r="H15" i="96"/>
  <c r="G15" i="96"/>
  <c r="F15" i="96"/>
  <c r="E15" i="96"/>
  <c r="D15" i="96"/>
  <c r="O13" i="96"/>
  <c r="N13" i="96"/>
  <c r="M13" i="96"/>
  <c r="L13" i="96"/>
  <c r="K13" i="96"/>
  <c r="J13" i="96"/>
  <c r="I13" i="96"/>
  <c r="H13" i="96"/>
  <c r="G13" i="96"/>
  <c r="F13" i="96"/>
  <c r="E13" i="96"/>
  <c r="D13" i="96"/>
  <c r="O12" i="96"/>
  <c r="N12" i="96"/>
  <c r="M12" i="96"/>
  <c r="L12" i="96"/>
  <c r="K12" i="96"/>
  <c r="J12" i="96"/>
  <c r="I12" i="96"/>
  <c r="H12" i="96"/>
  <c r="G12" i="96"/>
  <c r="F12" i="96"/>
  <c r="E12" i="96"/>
  <c r="D12" i="96"/>
  <c r="O11" i="96"/>
  <c r="N11" i="96"/>
  <c r="M11" i="96"/>
  <c r="L11" i="96"/>
  <c r="K11" i="96"/>
  <c r="J11" i="96"/>
  <c r="I11" i="96"/>
  <c r="H11" i="96"/>
  <c r="G11" i="96"/>
  <c r="F11" i="96"/>
  <c r="E11" i="96"/>
  <c r="D11" i="96"/>
  <c r="O10" i="96"/>
  <c r="N10" i="96"/>
  <c r="M10" i="96"/>
  <c r="L10" i="96"/>
  <c r="K10" i="96"/>
  <c r="J10" i="96"/>
  <c r="I10" i="96"/>
  <c r="H10" i="96"/>
  <c r="G10" i="96"/>
  <c r="F10" i="96"/>
  <c r="E10" i="96"/>
  <c r="D10" i="96"/>
  <c r="O9" i="96"/>
  <c r="N9" i="96"/>
  <c r="M9" i="96"/>
  <c r="L9" i="96"/>
  <c r="K9" i="96"/>
  <c r="J9" i="96"/>
  <c r="I9" i="96"/>
  <c r="H9" i="96"/>
  <c r="G9" i="96"/>
  <c r="F9" i="96"/>
  <c r="E9" i="96"/>
  <c r="D9" i="96"/>
  <c r="O8" i="96"/>
  <c r="N8" i="96"/>
  <c r="M8" i="96"/>
  <c r="L8" i="96"/>
  <c r="K8" i="96"/>
  <c r="J8" i="96"/>
  <c r="I8" i="96"/>
  <c r="H8" i="96"/>
  <c r="G8" i="96"/>
  <c r="F8" i="96"/>
  <c r="E8" i="96"/>
  <c r="D8" i="96"/>
  <c r="O6" i="96"/>
  <c r="N6" i="96"/>
  <c r="M6" i="96"/>
  <c r="L6" i="96"/>
  <c r="K6" i="96"/>
  <c r="J6" i="96"/>
  <c r="I6" i="96"/>
  <c r="H6" i="96"/>
  <c r="G6" i="96"/>
  <c r="F6" i="96"/>
  <c r="E6" i="96"/>
  <c r="D6" i="96"/>
  <c r="O5" i="96"/>
  <c r="N5" i="96"/>
  <c r="M5" i="96"/>
  <c r="L5" i="96"/>
  <c r="K5" i="96"/>
  <c r="J5" i="96"/>
  <c r="I5" i="96"/>
  <c r="H5" i="96"/>
  <c r="G5" i="96"/>
  <c r="F5" i="96"/>
  <c r="E5" i="96"/>
  <c r="D5" i="96"/>
  <c r="AA127" i="96"/>
  <c r="Z127" i="96"/>
  <c r="Y127" i="96"/>
  <c r="X127" i="96"/>
  <c r="W127" i="96"/>
  <c r="V127" i="96"/>
  <c r="U127" i="96"/>
  <c r="T127" i="96"/>
  <c r="S127" i="96"/>
  <c r="R127" i="96"/>
  <c r="Q127" i="96"/>
  <c r="P127" i="96"/>
  <c r="AA126" i="96"/>
  <c r="Z126" i="96"/>
  <c r="Y126" i="96"/>
  <c r="X126" i="96"/>
  <c r="W126" i="96"/>
  <c r="V126" i="96"/>
  <c r="U126" i="96"/>
  <c r="T126" i="96"/>
  <c r="S126" i="96"/>
  <c r="R126" i="96"/>
  <c r="Q126" i="96"/>
  <c r="P126" i="96"/>
  <c r="AA124" i="96"/>
  <c r="Z124" i="96"/>
  <c r="Y124" i="96"/>
  <c r="X124" i="96"/>
  <c r="W124" i="96"/>
  <c r="V124" i="96"/>
  <c r="U124" i="96"/>
  <c r="T124" i="96"/>
  <c r="S124" i="96"/>
  <c r="R124" i="96"/>
  <c r="Q124" i="96"/>
  <c r="P124" i="96"/>
  <c r="AA123" i="96"/>
  <c r="Z123" i="96"/>
  <c r="Y123" i="96"/>
  <c r="X123" i="96"/>
  <c r="W123" i="96"/>
  <c r="V123" i="96"/>
  <c r="U123" i="96"/>
  <c r="T123" i="96"/>
  <c r="S123" i="96"/>
  <c r="R123" i="96"/>
  <c r="Q123" i="96"/>
  <c r="P123" i="96"/>
  <c r="AA122" i="96"/>
  <c r="Z122" i="96"/>
  <c r="Y122" i="96"/>
  <c r="X122" i="96"/>
  <c r="W122" i="96"/>
  <c r="V122" i="96"/>
  <c r="U122" i="96"/>
  <c r="T122" i="96"/>
  <c r="S122" i="96"/>
  <c r="R122" i="96"/>
  <c r="Q122" i="96"/>
  <c r="P122" i="96"/>
  <c r="AA121" i="96"/>
  <c r="Z121" i="96"/>
  <c r="Y121" i="96"/>
  <c r="X121" i="96"/>
  <c r="W121" i="96"/>
  <c r="V121" i="96"/>
  <c r="U121" i="96"/>
  <c r="T121" i="96"/>
  <c r="S121" i="96"/>
  <c r="R121" i="96"/>
  <c r="Q121" i="96"/>
  <c r="P121" i="96"/>
  <c r="AA120" i="96"/>
  <c r="Z120" i="96"/>
  <c r="Y120" i="96"/>
  <c r="X120" i="96"/>
  <c r="W120" i="96"/>
  <c r="V120" i="96"/>
  <c r="U120" i="96"/>
  <c r="T120" i="96"/>
  <c r="S120" i="96"/>
  <c r="R120" i="96"/>
  <c r="Q120" i="96"/>
  <c r="P120" i="96"/>
  <c r="AA119" i="96"/>
  <c r="Z119" i="96"/>
  <c r="Y119" i="96"/>
  <c r="X119" i="96"/>
  <c r="W119" i="96"/>
  <c r="V119" i="96"/>
  <c r="U119" i="96"/>
  <c r="T119" i="96"/>
  <c r="S119" i="96"/>
  <c r="R119" i="96"/>
  <c r="Q119" i="96"/>
  <c r="P119" i="96"/>
  <c r="AA118" i="96"/>
  <c r="Z118" i="96"/>
  <c r="Y118" i="96"/>
  <c r="X118" i="96"/>
  <c r="W118" i="96"/>
  <c r="V118" i="96"/>
  <c r="U118" i="96"/>
  <c r="T118" i="96"/>
  <c r="S118" i="96"/>
  <c r="R118" i="96"/>
  <c r="Q118" i="96"/>
  <c r="P118" i="96"/>
  <c r="AA117" i="96"/>
  <c r="Z117" i="96"/>
  <c r="Y117" i="96"/>
  <c r="X117" i="96"/>
  <c r="W117" i="96"/>
  <c r="V117" i="96"/>
  <c r="U117" i="96"/>
  <c r="T117" i="96"/>
  <c r="S117" i="96"/>
  <c r="R117" i="96"/>
  <c r="Q117" i="96"/>
  <c r="P117" i="96"/>
  <c r="AA116" i="96"/>
  <c r="Z116" i="96"/>
  <c r="Y116" i="96"/>
  <c r="X116" i="96"/>
  <c r="W116" i="96"/>
  <c r="V116" i="96"/>
  <c r="U116" i="96"/>
  <c r="T116" i="96"/>
  <c r="S116" i="96"/>
  <c r="R116" i="96"/>
  <c r="Q116" i="96"/>
  <c r="P116" i="96"/>
  <c r="AA115" i="96"/>
  <c r="Z115" i="96"/>
  <c r="Y115" i="96"/>
  <c r="X115" i="96"/>
  <c r="W115" i="96"/>
  <c r="V115" i="96"/>
  <c r="U115" i="96"/>
  <c r="T115" i="96"/>
  <c r="S115" i="96"/>
  <c r="R115" i="96"/>
  <c r="Q115" i="96"/>
  <c r="P115" i="96"/>
  <c r="AA112" i="96"/>
  <c r="Z112" i="96"/>
  <c r="Y112" i="96"/>
  <c r="X112" i="96"/>
  <c r="W112" i="96"/>
  <c r="V112" i="96"/>
  <c r="U112" i="96"/>
  <c r="T112" i="96"/>
  <c r="S112" i="96"/>
  <c r="R112" i="96"/>
  <c r="Q112" i="96"/>
  <c r="P112" i="96"/>
  <c r="AA111" i="96"/>
  <c r="Z111" i="96"/>
  <c r="Y111" i="96"/>
  <c r="X111" i="96"/>
  <c r="W111" i="96"/>
  <c r="V111" i="96"/>
  <c r="U111" i="96"/>
  <c r="T111" i="96"/>
  <c r="S111" i="96"/>
  <c r="R111" i="96"/>
  <c r="Q111" i="96"/>
  <c r="P111" i="96"/>
  <c r="AA110" i="96"/>
  <c r="Z110" i="96"/>
  <c r="Y110" i="96"/>
  <c r="X110" i="96"/>
  <c r="W110" i="96"/>
  <c r="V110" i="96"/>
  <c r="U110" i="96"/>
  <c r="T110" i="96"/>
  <c r="S110" i="96"/>
  <c r="R110" i="96"/>
  <c r="Q110" i="96"/>
  <c r="P110" i="96"/>
  <c r="AA109" i="96"/>
  <c r="Z109" i="96"/>
  <c r="Y109" i="96"/>
  <c r="X109" i="96"/>
  <c r="W109" i="96"/>
  <c r="V109" i="96"/>
  <c r="U109" i="96"/>
  <c r="T109" i="96"/>
  <c r="S109" i="96"/>
  <c r="R109" i="96"/>
  <c r="Q109" i="96"/>
  <c r="P109" i="96"/>
  <c r="AA108" i="96"/>
  <c r="Z108" i="96"/>
  <c r="Y108" i="96"/>
  <c r="X108" i="96"/>
  <c r="W108" i="96"/>
  <c r="V108" i="96"/>
  <c r="U108" i="96"/>
  <c r="T108" i="96"/>
  <c r="S108" i="96"/>
  <c r="R108" i="96"/>
  <c r="Q108" i="96"/>
  <c r="P108" i="96"/>
  <c r="AA107" i="96"/>
  <c r="Z107" i="96"/>
  <c r="Y107" i="96"/>
  <c r="X107" i="96"/>
  <c r="W107" i="96"/>
  <c r="V107" i="96"/>
  <c r="U107" i="96"/>
  <c r="T107" i="96"/>
  <c r="S107" i="96"/>
  <c r="R107" i="96"/>
  <c r="Q107" i="96"/>
  <c r="P107" i="96"/>
  <c r="AA106" i="96"/>
  <c r="Z106" i="96"/>
  <c r="Y106" i="96"/>
  <c r="X106" i="96"/>
  <c r="W106" i="96"/>
  <c r="V106" i="96"/>
  <c r="U106" i="96"/>
  <c r="T106" i="96"/>
  <c r="S106" i="96"/>
  <c r="R106" i="96"/>
  <c r="Q106" i="96"/>
  <c r="P106" i="96"/>
  <c r="AA105" i="96"/>
  <c r="Z105" i="96"/>
  <c r="Y105" i="96"/>
  <c r="X105" i="96"/>
  <c r="W105" i="96"/>
  <c r="V105" i="96"/>
  <c r="U105" i="96"/>
  <c r="T105" i="96"/>
  <c r="S105" i="96"/>
  <c r="R105" i="96"/>
  <c r="Q105" i="96"/>
  <c r="P105" i="96"/>
  <c r="AA104" i="96"/>
  <c r="Z104" i="96"/>
  <c r="Y104" i="96"/>
  <c r="X104" i="96"/>
  <c r="W104" i="96"/>
  <c r="V104" i="96"/>
  <c r="U104" i="96"/>
  <c r="T104" i="96"/>
  <c r="S104" i="96"/>
  <c r="R104" i="96"/>
  <c r="Q104" i="96"/>
  <c r="P104" i="96"/>
  <c r="AA103" i="96"/>
  <c r="Z103" i="96"/>
  <c r="Y103" i="96"/>
  <c r="X103" i="96"/>
  <c r="W103" i="96"/>
  <c r="V103" i="96"/>
  <c r="U103" i="96"/>
  <c r="T103" i="96"/>
  <c r="S103" i="96"/>
  <c r="R103" i="96"/>
  <c r="Q103" i="96"/>
  <c r="P103" i="96"/>
  <c r="AA102" i="96"/>
  <c r="Z102" i="96"/>
  <c r="Y102" i="96"/>
  <c r="X102" i="96"/>
  <c r="W102" i="96"/>
  <c r="V102" i="96"/>
  <c r="U102" i="96"/>
  <c r="T102" i="96"/>
  <c r="S102" i="96"/>
  <c r="R102" i="96"/>
  <c r="Q102" i="96"/>
  <c r="P102" i="96"/>
  <c r="AA101" i="96"/>
  <c r="Z101" i="96"/>
  <c r="Y101" i="96"/>
  <c r="X101" i="96"/>
  <c r="W101" i="96"/>
  <c r="V101" i="96"/>
  <c r="U101" i="96"/>
  <c r="T101" i="96"/>
  <c r="S101" i="96"/>
  <c r="R101" i="96"/>
  <c r="Q101" i="96"/>
  <c r="P101" i="96"/>
  <c r="AA100" i="96"/>
  <c r="Z100" i="96"/>
  <c r="Y100" i="96"/>
  <c r="X100" i="96"/>
  <c r="W100" i="96"/>
  <c r="V100" i="96"/>
  <c r="U100" i="96"/>
  <c r="T100" i="96"/>
  <c r="S100" i="96"/>
  <c r="R100" i="96"/>
  <c r="Q100" i="96"/>
  <c r="P100" i="96"/>
  <c r="AA99" i="96"/>
  <c r="Z99" i="96"/>
  <c r="Y99" i="96"/>
  <c r="X99" i="96"/>
  <c r="W99" i="96"/>
  <c r="V99" i="96"/>
  <c r="U99" i="96"/>
  <c r="T99" i="96"/>
  <c r="S99" i="96"/>
  <c r="R99" i="96"/>
  <c r="Q99" i="96"/>
  <c r="P99" i="96"/>
  <c r="AA97" i="96"/>
  <c r="Z97" i="96"/>
  <c r="Y97" i="96"/>
  <c r="X97" i="96"/>
  <c r="W97" i="96"/>
  <c r="V97" i="96"/>
  <c r="U97" i="96"/>
  <c r="T97" i="96"/>
  <c r="S97" i="96"/>
  <c r="R97" i="96"/>
  <c r="Q97" i="96"/>
  <c r="P97" i="96"/>
  <c r="AA96" i="96"/>
  <c r="Z96" i="96"/>
  <c r="Y96" i="96"/>
  <c r="X96" i="96"/>
  <c r="W96" i="96"/>
  <c r="V96" i="96"/>
  <c r="U96" i="96"/>
  <c r="T96" i="96"/>
  <c r="S96" i="96"/>
  <c r="R96" i="96"/>
  <c r="Q96" i="96"/>
  <c r="P96" i="96"/>
  <c r="AA95" i="96"/>
  <c r="Z95" i="96"/>
  <c r="Y95" i="96"/>
  <c r="X95" i="96"/>
  <c r="W95" i="96"/>
  <c r="V95" i="96"/>
  <c r="U95" i="96"/>
  <c r="T95" i="96"/>
  <c r="S95" i="96"/>
  <c r="R95" i="96"/>
  <c r="Q95" i="96"/>
  <c r="P95" i="96"/>
  <c r="AA94" i="96"/>
  <c r="Z94" i="96"/>
  <c r="Y94" i="96"/>
  <c r="X94" i="96"/>
  <c r="W94" i="96"/>
  <c r="V94" i="96"/>
  <c r="U94" i="96"/>
  <c r="T94" i="96"/>
  <c r="S94" i="96"/>
  <c r="R94" i="96"/>
  <c r="Q94" i="96"/>
  <c r="P94" i="96"/>
  <c r="AA93" i="96"/>
  <c r="Z93" i="96"/>
  <c r="Y93" i="96"/>
  <c r="X93" i="96"/>
  <c r="W93" i="96"/>
  <c r="V93" i="96"/>
  <c r="U93" i="96"/>
  <c r="T93" i="96"/>
  <c r="S93" i="96"/>
  <c r="R93" i="96"/>
  <c r="Q93" i="96"/>
  <c r="P93" i="96"/>
  <c r="AA92" i="96"/>
  <c r="Z92" i="96"/>
  <c r="Y92" i="96"/>
  <c r="X92" i="96"/>
  <c r="W92" i="96"/>
  <c r="V92" i="96"/>
  <c r="U92" i="96"/>
  <c r="T92" i="96"/>
  <c r="S92" i="96"/>
  <c r="R92" i="96"/>
  <c r="Q92" i="96"/>
  <c r="P92" i="96"/>
  <c r="AA91" i="96"/>
  <c r="Z91" i="96"/>
  <c r="Y91" i="96"/>
  <c r="X91" i="96"/>
  <c r="W91" i="96"/>
  <c r="V91" i="96"/>
  <c r="U91" i="96"/>
  <c r="T91" i="96"/>
  <c r="S91" i="96"/>
  <c r="R91" i="96"/>
  <c r="Q91" i="96"/>
  <c r="P91" i="96"/>
  <c r="AA90" i="96"/>
  <c r="Z90" i="96"/>
  <c r="Y90" i="96"/>
  <c r="X90" i="96"/>
  <c r="W90" i="96"/>
  <c r="V90" i="96"/>
  <c r="U90" i="96"/>
  <c r="T90" i="96"/>
  <c r="S90" i="96"/>
  <c r="R90" i="96"/>
  <c r="Q90" i="96"/>
  <c r="P90" i="96"/>
  <c r="AA89" i="96"/>
  <c r="Z89" i="96"/>
  <c r="Y89" i="96"/>
  <c r="X89" i="96"/>
  <c r="W89" i="96"/>
  <c r="V89" i="96"/>
  <c r="U89" i="96"/>
  <c r="T89" i="96"/>
  <c r="S89" i="96"/>
  <c r="R89" i="96"/>
  <c r="Q89" i="96"/>
  <c r="P89" i="96"/>
  <c r="AA88" i="96"/>
  <c r="Z88" i="96"/>
  <c r="Y88" i="96"/>
  <c r="X88" i="96"/>
  <c r="W88" i="96"/>
  <c r="V88" i="96"/>
  <c r="U88" i="96"/>
  <c r="T88" i="96"/>
  <c r="S88" i="96"/>
  <c r="R88" i="96"/>
  <c r="Q88" i="96"/>
  <c r="P88" i="96"/>
  <c r="AA87" i="96"/>
  <c r="Z87" i="96"/>
  <c r="Y87" i="96"/>
  <c r="X87" i="96"/>
  <c r="W87" i="96"/>
  <c r="V87" i="96"/>
  <c r="U87" i="96"/>
  <c r="T87" i="96"/>
  <c r="S87" i="96"/>
  <c r="R87" i="96"/>
  <c r="Q87" i="96"/>
  <c r="P87" i="96"/>
  <c r="AA86" i="96"/>
  <c r="Z86" i="96"/>
  <c r="Y86" i="96"/>
  <c r="X86" i="96"/>
  <c r="W86" i="96"/>
  <c r="V86" i="96"/>
  <c r="U86" i="96"/>
  <c r="T86" i="96"/>
  <c r="S86" i="96"/>
  <c r="R86" i="96"/>
  <c r="Q86" i="96"/>
  <c r="P86" i="96"/>
  <c r="AA85" i="96"/>
  <c r="Z85" i="96"/>
  <c r="Y85" i="96"/>
  <c r="X85" i="96"/>
  <c r="W85" i="96"/>
  <c r="V85" i="96"/>
  <c r="U85" i="96"/>
  <c r="T85" i="96"/>
  <c r="S85" i="96"/>
  <c r="R85" i="96"/>
  <c r="Q85" i="96"/>
  <c r="P85" i="96"/>
  <c r="AA84" i="96"/>
  <c r="Z84" i="96"/>
  <c r="Y84" i="96"/>
  <c r="X84" i="96"/>
  <c r="W84" i="96"/>
  <c r="V84" i="96"/>
  <c r="U84" i="96"/>
  <c r="T84" i="96"/>
  <c r="S84" i="96"/>
  <c r="R84" i="96"/>
  <c r="Q84" i="96"/>
  <c r="P84" i="96"/>
  <c r="AA83" i="96"/>
  <c r="Z83" i="96"/>
  <c r="Y83" i="96"/>
  <c r="X83" i="96"/>
  <c r="W83" i="96"/>
  <c r="V83" i="96"/>
  <c r="U83" i="96"/>
  <c r="T83" i="96"/>
  <c r="S83" i="96"/>
  <c r="R83" i="96"/>
  <c r="Q83" i="96"/>
  <c r="P83" i="96"/>
  <c r="AA79" i="96"/>
  <c r="Z79" i="96"/>
  <c r="Y79" i="96"/>
  <c r="X79" i="96"/>
  <c r="W79" i="96"/>
  <c r="V79" i="96"/>
  <c r="U79" i="96"/>
  <c r="T79" i="96"/>
  <c r="S79" i="96"/>
  <c r="R79" i="96"/>
  <c r="Q79" i="96"/>
  <c r="P79" i="96"/>
  <c r="AA78" i="96"/>
  <c r="Z78" i="96"/>
  <c r="Y78" i="96"/>
  <c r="X78" i="96"/>
  <c r="W78" i="96"/>
  <c r="V78" i="96"/>
  <c r="U78" i="96"/>
  <c r="T78" i="96"/>
  <c r="S78" i="96"/>
  <c r="R78" i="96"/>
  <c r="Q78" i="96"/>
  <c r="P78" i="96"/>
  <c r="AA77" i="96"/>
  <c r="Z77" i="96"/>
  <c r="Y77" i="96"/>
  <c r="X77" i="96"/>
  <c r="W77" i="96"/>
  <c r="V77" i="96"/>
  <c r="U77" i="96"/>
  <c r="T77" i="96"/>
  <c r="S77" i="96"/>
  <c r="R77" i="96"/>
  <c r="Q77" i="96"/>
  <c r="P77" i="96"/>
  <c r="AA76" i="96"/>
  <c r="Z76" i="96"/>
  <c r="Y76" i="96"/>
  <c r="X76" i="96"/>
  <c r="W76" i="96"/>
  <c r="V76" i="96"/>
  <c r="U76" i="96"/>
  <c r="T76" i="96"/>
  <c r="S76" i="96"/>
  <c r="R76" i="96"/>
  <c r="Q76" i="96"/>
  <c r="P76" i="96"/>
  <c r="AA74" i="96"/>
  <c r="Z74" i="96"/>
  <c r="Y74" i="96"/>
  <c r="X74" i="96"/>
  <c r="W74" i="96"/>
  <c r="V74" i="96"/>
  <c r="U74" i="96"/>
  <c r="T74" i="96"/>
  <c r="S74" i="96"/>
  <c r="R74" i="96"/>
  <c r="Q74" i="96"/>
  <c r="P74" i="96"/>
  <c r="AA73" i="96"/>
  <c r="Z73" i="96"/>
  <c r="Y73" i="96"/>
  <c r="X73" i="96"/>
  <c r="W73" i="96"/>
  <c r="V73" i="96"/>
  <c r="U73" i="96"/>
  <c r="T73" i="96"/>
  <c r="S73" i="96"/>
  <c r="R73" i="96"/>
  <c r="Q73" i="96"/>
  <c r="P73" i="96"/>
  <c r="AA72" i="96"/>
  <c r="Z72" i="96"/>
  <c r="Y72" i="96"/>
  <c r="X72" i="96"/>
  <c r="W72" i="96"/>
  <c r="V72" i="96"/>
  <c r="U72" i="96"/>
  <c r="T72" i="96"/>
  <c r="S72" i="96"/>
  <c r="R72" i="96"/>
  <c r="Q72" i="96"/>
  <c r="P72" i="96"/>
  <c r="AA71" i="96"/>
  <c r="Z71" i="96"/>
  <c r="Y71" i="96"/>
  <c r="X71" i="96"/>
  <c r="W71" i="96"/>
  <c r="V71" i="96"/>
  <c r="U71" i="96"/>
  <c r="T71" i="96"/>
  <c r="S71" i="96"/>
  <c r="R71" i="96"/>
  <c r="Q71" i="96"/>
  <c r="P71" i="96"/>
  <c r="AA70" i="96"/>
  <c r="Z70" i="96"/>
  <c r="Y70" i="96"/>
  <c r="X70" i="96"/>
  <c r="W70" i="96"/>
  <c r="V70" i="96"/>
  <c r="U70" i="96"/>
  <c r="T70" i="96"/>
  <c r="S70" i="96"/>
  <c r="R70" i="96"/>
  <c r="Q70" i="96"/>
  <c r="P70" i="96"/>
  <c r="AA69" i="96"/>
  <c r="Z69" i="96"/>
  <c r="Y69" i="96"/>
  <c r="X69" i="96"/>
  <c r="W69" i="96"/>
  <c r="V69" i="96"/>
  <c r="U69" i="96"/>
  <c r="T69" i="96"/>
  <c r="S69" i="96"/>
  <c r="R69" i="96"/>
  <c r="Q69" i="96"/>
  <c r="P69" i="96"/>
  <c r="AA67" i="96"/>
  <c r="Z67" i="96"/>
  <c r="Y67" i="96"/>
  <c r="X67" i="96"/>
  <c r="W67" i="96"/>
  <c r="V67" i="96"/>
  <c r="U67" i="96"/>
  <c r="T67" i="96"/>
  <c r="S67" i="96"/>
  <c r="R67" i="96"/>
  <c r="Q67" i="96"/>
  <c r="P67" i="96"/>
  <c r="AA66" i="96"/>
  <c r="Z66" i="96"/>
  <c r="Y66" i="96"/>
  <c r="X66" i="96"/>
  <c r="W66" i="96"/>
  <c r="V66" i="96"/>
  <c r="U66" i="96"/>
  <c r="T66" i="96"/>
  <c r="S66" i="96"/>
  <c r="R66" i="96"/>
  <c r="Q66" i="96"/>
  <c r="P66" i="96"/>
  <c r="AA64" i="96"/>
  <c r="Z64" i="96"/>
  <c r="Y64" i="96"/>
  <c r="X64" i="96"/>
  <c r="W64" i="96"/>
  <c r="V64" i="96"/>
  <c r="U64" i="96"/>
  <c r="T64" i="96"/>
  <c r="S64" i="96"/>
  <c r="R64" i="96"/>
  <c r="Q64" i="96"/>
  <c r="P64" i="96"/>
  <c r="AA63" i="96"/>
  <c r="Z63" i="96"/>
  <c r="Y63" i="96"/>
  <c r="X63" i="96"/>
  <c r="W63" i="96"/>
  <c r="V63" i="96"/>
  <c r="U63" i="96"/>
  <c r="T63" i="96"/>
  <c r="S63" i="96"/>
  <c r="R63" i="96"/>
  <c r="Q63" i="96"/>
  <c r="P63" i="96"/>
  <c r="AA61" i="96"/>
  <c r="Z61" i="96"/>
  <c r="Y61" i="96"/>
  <c r="X61" i="96"/>
  <c r="W61" i="96"/>
  <c r="V61" i="96"/>
  <c r="U61" i="96"/>
  <c r="T61" i="96"/>
  <c r="S61" i="96"/>
  <c r="R61" i="96"/>
  <c r="Q61" i="96"/>
  <c r="P61" i="96"/>
  <c r="AA60" i="96"/>
  <c r="Z60" i="96"/>
  <c r="Y60" i="96"/>
  <c r="X60" i="96"/>
  <c r="W60" i="96"/>
  <c r="V60" i="96"/>
  <c r="U60" i="96"/>
  <c r="T60" i="96"/>
  <c r="S60" i="96"/>
  <c r="R60" i="96"/>
  <c r="Q60" i="96"/>
  <c r="P60" i="96"/>
  <c r="AA59" i="96"/>
  <c r="Z59" i="96"/>
  <c r="Y59" i="96"/>
  <c r="X59" i="96"/>
  <c r="W59" i="96"/>
  <c r="V59" i="96"/>
  <c r="U59" i="96"/>
  <c r="T59" i="96"/>
  <c r="S59" i="96"/>
  <c r="R59" i="96"/>
  <c r="Q59" i="96"/>
  <c r="P59" i="96"/>
  <c r="AA58" i="96"/>
  <c r="Z58" i="96"/>
  <c r="Y58" i="96"/>
  <c r="X58" i="96"/>
  <c r="W58" i="96"/>
  <c r="V58" i="96"/>
  <c r="U58" i="96"/>
  <c r="T58" i="96"/>
  <c r="S58" i="96"/>
  <c r="R58" i="96"/>
  <c r="Q58" i="96"/>
  <c r="P58" i="96"/>
  <c r="AA57" i="96"/>
  <c r="Z57" i="96"/>
  <c r="Y57" i="96"/>
  <c r="X57" i="96"/>
  <c r="W57" i="96"/>
  <c r="V57" i="96"/>
  <c r="U57" i="96"/>
  <c r="T57" i="96"/>
  <c r="S57" i="96"/>
  <c r="R57" i="96"/>
  <c r="Q57" i="96"/>
  <c r="P57" i="96"/>
  <c r="AA55" i="96"/>
  <c r="Z55" i="96"/>
  <c r="Y55" i="96"/>
  <c r="X55" i="96"/>
  <c r="W55" i="96"/>
  <c r="V55" i="96"/>
  <c r="U55" i="96"/>
  <c r="T55" i="96"/>
  <c r="S55" i="96"/>
  <c r="R55" i="96"/>
  <c r="Q55" i="96"/>
  <c r="P55" i="96"/>
  <c r="AA52" i="96"/>
  <c r="Z52" i="96"/>
  <c r="Y52" i="96"/>
  <c r="X52" i="96"/>
  <c r="W52" i="96"/>
  <c r="V52" i="96"/>
  <c r="U52" i="96"/>
  <c r="T52" i="96"/>
  <c r="S52" i="96"/>
  <c r="R52" i="96"/>
  <c r="Q52" i="96"/>
  <c r="P52" i="96"/>
  <c r="AA51" i="96"/>
  <c r="Z51" i="96"/>
  <c r="Y51" i="96"/>
  <c r="X51" i="96"/>
  <c r="W51" i="96"/>
  <c r="V51" i="96"/>
  <c r="U51" i="96"/>
  <c r="T51" i="96"/>
  <c r="S51" i="96"/>
  <c r="R51" i="96"/>
  <c r="Q51" i="96"/>
  <c r="P51" i="96"/>
  <c r="AA49" i="96"/>
  <c r="Z49" i="96"/>
  <c r="Y49" i="96"/>
  <c r="X49" i="96"/>
  <c r="W49" i="96"/>
  <c r="V49" i="96"/>
  <c r="U49" i="96"/>
  <c r="T49" i="96"/>
  <c r="S49" i="96"/>
  <c r="R49" i="96"/>
  <c r="Q49" i="96"/>
  <c r="P49" i="96"/>
  <c r="AA48" i="96"/>
  <c r="Z48" i="96"/>
  <c r="Y48" i="96"/>
  <c r="X48" i="96"/>
  <c r="W48" i="96"/>
  <c r="V48" i="96"/>
  <c r="U48" i="96"/>
  <c r="T48" i="96"/>
  <c r="S48" i="96"/>
  <c r="R48" i="96"/>
  <c r="Q48" i="96"/>
  <c r="P48" i="96"/>
  <c r="AA46" i="96"/>
  <c r="Z46" i="96"/>
  <c r="Y46" i="96"/>
  <c r="X46" i="96"/>
  <c r="W46" i="96"/>
  <c r="V46" i="96"/>
  <c r="U46" i="96"/>
  <c r="T46" i="96"/>
  <c r="S46" i="96"/>
  <c r="R46" i="96"/>
  <c r="Q46" i="96"/>
  <c r="P46" i="96"/>
  <c r="AA45" i="96"/>
  <c r="Z45" i="96"/>
  <c r="Y45" i="96"/>
  <c r="X45" i="96"/>
  <c r="W45" i="96"/>
  <c r="V45" i="96"/>
  <c r="U45" i="96"/>
  <c r="T45" i="96"/>
  <c r="S45" i="96"/>
  <c r="R45" i="96"/>
  <c r="Q45" i="96"/>
  <c r="P45" i="96"/>
  <c r="AA42" i="96"/>
  <c r="Z42" i="96"/>
  <c r="Y42" i="96"/>
  <c r="X42" i="96"/>
  <c r="W42" i="96"/>
  <c r="V42" i="96"/>
  <c r="U42" i="96"/>
  <c r="T42" i="96"/>
  <c r="S42" i="96"/>
  <c r="R42" i="96"/>
  <c r="Q42" i="96"/>
  <c r="P42" i="96"/>
  <c r="AA41" i="96"/>
  <c r="Z41" i="96"/>
  <c r="Y41" i="96"/>
  <c r="X41" i="96"/>
  <c r="W41" i="96"/>
  <c r="V41" i="96"/>
  <c r="U41" i="96"/>
  <c r="T41" i="96"/>
  <c r="S41" i="96"/>
  <c r="R41" i="96"/>
  <c r="Q41" i="96"/>
  <c r="P41" i="96"/>
  <c r="AA40" i="96"/>
  <c r="Z40" i="96"/>
  <c r="Y40" i="96"/>
  <c r="X40" i="96"/>
  <c r="W40" i="96"/>
  <c r="V40" i="96"/>
  <c r="U40" i="96"/>
  <c r="T40" i="96"/>
  <c r="S40" i="96"/>
  <c r="R40" i="96"/>
  <c r="Q40" i="96"/>
  <c r="P40" i="96"/>
  <c r="AA39" i="96"/>
  <c r="Z39" i="96"/>
  <c r="Y39" i="96"/>
  <c r="X39" i="96"/>
  <c r="W39" i="96"/>
  <c r="V39" i="96"/>
  <c r="U39" i="96"/>
  <c r="T39" i="96"/>
  <c r="S39" i="96"/>
  <c r="R39" i="96"/>
  <c r="Q39" i="96"/>
  <c r="P39" i="96"/>
  <c r="AA38" i="96"/>
  <c r="Z38" i="96"/>
  <c r="Y38" i="96"/>
  <c r="X38" i="96"/>
  <c r="W38" i="96"/>
  <c r="V38" i="96"/>
  <c r="U38" i="96"/>
  <c r="T38" i="96"/>
  <c r="S38" i="96"/>
  <c r="R38" i="96"/>
  <c r="Q38" i="96"/>
  <c r="P38" i="96"/>
  <c r="AA37" i="96"/>
  <c r="Z37" i="96"/>
  <c r="Y37" i="96"/>
  <c r="X37" i="96"/>
  <c r="W37" i="96"/>
  <c r="V37" i="96"/>
  <c r="U37" i="96"/>
  <c r="T37" i="96"/>
  <c r="S37" i="96"/>
  <c r="R37" i="96"/>
  <c r="Q37" i="96"/>
  <c r="P37" i="96"/>
  <c r="AA34" i="96"/>
  <c r="Z34" i="96"/>
  <c r="Y34" i="96"/>
  <c r="X34" i="96"/>
  <c r="W34" i="96"/>
  <c r="V34" i="96"/>
  <c r="U34" i="96"/>
  <c r="T34" i="96"/>
  <c r="S34" i="96"/>
  <c r="R34" i="96"/>
  <c r="Q34" i="96"/>
  <c r="P34" i="96"/>
  <c r="AA33" i="96"/>
  <c r="Z33" i="96"/>
  <c r="Y33" i="96"/>
  <c r="X33" i="96"/>
  <c r="W33" i="96"/>
  <c r="V33" i="96"/>
  <c r="U33" i="96"/>
  <c r="T33" i="96"/>
  <c r="S33" i="96"/>
  <c r="R33" i="96"/>
  <c r="Q33" i="96"/>
  <c r="P33" i="96"/>
  <c r="AA32" i="96"/>
  <c r="Z32" i="96"/>
  <c r="Y32" i="96"/>
  <c r="X32" i="96"/>
  <c r="W32" i="96"/>
  <c r="V32" i="96"/>
  <c r="U32" i="96"/>
  <c r="T32" i="96"/>
  <c r="S32" i="96"/>
  <c r="R32" i="96"/>
  <c r="Q32" i="96"/>
  <c r="P32" i="96"/>
  <c r="AA31" i="96"/>
  <c r="Z31" i="96"/>
  <c r="Y31" i="96"/>
  <c r="X31" i="96"/>
  <c r="W31" i="96"/>
  <c r="V31" i="96"/>
  <c r="U31" i="96"/>
  <c r="T31" i="96"/>
  <c r="S31" i="96"/>
  <c r="R31" i="96"/>
  <c r="Q31" i="96"/>
  <c r="P31" i="96"/>
  <c r="AA30" i="96"/>
  <c r="Z30" i="96"/>
  <c r="Y30" i="96"/>
  <c r="X30" i="96"/>
  <c r="W30" i="96"/>
  <c r="V30" i="96"/>
  <c r="U30" i="96"/>
  <c r="T30" i="96"/>
  <c r="S30" i="96"/>
  <c r="R30" i="96"/>
  <c r="Q30" i="96"/>
  <c r="P30" i="96"/>
  <c r="AA28" i="96"/>
  <c r="Z28" i="96"/>
  <c r="Y28" i="96"/>
  <c r="X28" i="96"/>
  <c r="W28" i="96"/>
  <c r="V28" i="96"/>
  <c r="U28" i="96"/>
  <c r="T28" i="96"/>
  <c r="S28" i="96"/>
  <c r="R28" i="96"/>
  <c r="Q28" i="96"/>
  <c r="P28" i="96"/>
  <c r="AA27" i="96"/>
  <c r="Z27" i="96"/>
  <c r="Y27" i="96"/>
  <c r="X27" i="96"/>
  <c r="W27" i="96"/>
  <c r="V27" i="96"/>
  <c r="U27" i="96"/>
  <c r="T27" i="96"/>
  <c r="S27" i="96"/>
  <c r="R27" i="96"/>
  <c r="Q27" i="96"/>
  <c r="P27" i="96"/>
  <c r="AA26" i="96"/>
  <c r="Z26" i="96"/>
  <c r="Y26" i="96"/>
  <c r="X26" i="96"/>
  <c r="W26" i="96"/>
  <c r="V26" i="96"/>
  <c r="U26" i="96"/>
  <c r="T26" i="96"/>
  <c r="S26" i="96"/>
  <c r="R26" i="96"/>
  <c r="Q26" i="96"/>
  <c r="P26" i="96"/>
  <c r="AA24" i="96"/>
  <c r="Z24" i="96"/>
  <c r="Y24" i="96"/>
  <c r="X24" i="96"/>
  <c r="W24" i="96"/>
  <c r="V24" i="96"/>
  <c r="U24" i="96"/>
  <c r="T24" i="96"/>
  <c r="S24" i="96"/>
  <c r="R24" i="96"/>
  <c r="Q24" i="96"/>
  <c r="P24" i="96"/>
  <c r="AA23" i="96"/>
  <c r="Z23" i="96"/>
  <c r="Y23" i="96"/>
  <c r="X23" i="96"/>
  <c r="W23" i="96"/>
  <c r="V23" i="96"/>
  <c r="U23" i="96"/>
  <c r="T23" i="96"/>
  <c r="S23" i="96"/>
  <c r="R23" i="96"/>
  <c r="Q23" i="96"/>
  <c r="P23" i="96"/>
  <c r="AA21" i="96"/>
  <c r="Z21" i="96"/>
  <c r="Y21" i="96"/>
  <c r="X21" i="96"/>
  <c r="W21" i="96"/>
  <c r="V21" i="96"/>
  <c r="U21" i="96"/>
  <c r="T21" i="96"/>
  <c r="S21" i="96"/>
  <c r="R21" i="96"/>
  <c r="Q21" i="96"/>
  <c r="P21" i="96"/>
  <c r="AA20" i="96"/>
  <c r="Z20" i="96"/>
  <c r="Y20" i="96"/>
  <c r="X20" i="96"/>
  <c r="W20" i="96"/>
  <c r="V20" i="96"/>
  <c r="U20" i="96"/>
  <c r="T20" i="96"/>
  <c r="S20" i="96"/>
  <c r="R20" i="96"/>
  <c r="Q20" i="96"/>
  <c r="P20" i="96"/>
  <c r="AA19" i="96"/>
  <c r="Z19" i="96"/>
  <c r="Y19" i="96"/>
  <c r="X19" i="96"/>
  <c r="W19" i="96"/>
  <c r="V19" i="96"/>
  <c r="U19" i="96"/>
  <c r="T19" i="96"/>
  <c r="S19" i="96"/>
  <c r="R19" i="96"/>
  <c r="Q19" i="96"/>
  <c r="P19" i="96"/>
  <c r="AA18" i="96"/>
  <c r="Z18" i="96"/>
  <c r="Y18" i="96"/>
  <c r="X18" i="96"/>
  <c r="W18" i="96"/>
  <c r="V18" i="96"/>
  <c r="U18" i="96"/>
  <c r="T18" i="96"/>
  <c r="S18" i="96"/>
  <c r="R18" i="96"/>
  <c r="Q18" i="96"/>
  <c r="P18" i="96"/>
  <c r="AA17" i="96"/>
  <c r="Z17" i="96"/>
  <c r="Y17" i="96"/>
  <c r="X17" i="96"/>
  <c r="W17" i="96"/>
  <c r="V17" i="96"/>
  <c r="U17" i="96"/>
  <c r="T17" i="96"/>
  <c r="S17" i="96"/>
  <c r="R17" i="96"/>
  <c r="Q17" i="96"/>
  <c r="P17" i="96"/>
  <c r="AA16" i="96"/>
  <c r="Z16" i="96"/>
  <c r="Y16" i="96"/>
  <c r="X16" i="96"/>
  <c r="W16" i="96"/>
  <c r="V16" i="96"/>
  <c r="U16" i="96"/>
  <c r="T16" i="96"/>
  <c r="S16" i="96"/>
  <c r="R16" i="96"/>
  <c r="Q16" i="96"/>
  <c r="P16" i="96"/>
  <c r="AA15" i="96"/>
  <c r="Z15" i="96"/>
  <c r="Y15" i="96"/>
  <c r="X15" i="96"/>
  <c r="W15" i="96"/>
  <c r="V15" i="96"/>
  <c r="U15" i="96"/>
  <c r="T15" i="96"/>
  <c r="S15" i="96"/>
  <c r="R15" i="96"/>
  <c r="Q15" i="96"/>
  <c r="P15" i="96"/>
  <c r="AA13" i="96"/>
  <c r="Z13" i="96"/>
  <c r="Y13" i="96"/>
  <c r="X13" i="96"/>
  <c r="W13" i="96"/>
  <c r="V13" i="96"/>
  <c r="U13" i="96"/>
  <c r="T13" i="96"/>
  <c r="S13" i="96"/>
  <c r="R13" i="96"/>
  <c r="Q13" i="96"/>
  <c r="P13" i="96"/>
  <c r="AA12" i="96"/>
  <c r="Z12" i="96"/>
  <c r="Y12" i="96"/>
  <c r="X12" i="96"/>
  <c r="W12" i="96"/>
  <c r="V12" i="96"/>
  <c r="U12" i="96"/>
  <c r="T12" i="96"/>
  <c r="S12" i="96"/>
  <c r="R12" i="96"/>
  <c r="Q12" i="96"/>
  <c r="P12" i="96"/>
  <c r="AA11" i="96"/>
  <c r="Z11" i="96"/>
  <c r="Y11" i="96"/>
  <c r="X11" i="96"/>
  <c r="W11" i="96"/>
  <c r="V11" i="96"/>
  <c r="U11" i="96"/>
  <c r="T11" i="96"/>
  <c r="S11" i="96"/>
  <c r="R11" i="96"/>
  <c r="Q11" i="96"/>
  <c r="P11" i="96"/>
  <c r="AA10" i="96"/>
  <c r="Z10" i="96"/>
  <c r="Y10" i="96"/>
  <c r="X10" i="96"/>
  <c r="W10" i="96"/>
  <c r="V10" i="96"/>
  <c r="U10" i="96"/>
  <c r="T10" i="96"/>
  <c r="S10" i="96"/>
  <c r="R10" i="96"/>
  <c r="Q10" i="96"/>
  <c r="P10" i="96"/>
  <c r="AA9" i="96"/>
  <c r="Z9" i="96"/>
  <c r="Y9" i="96"/>
  <c r="X9" i="96"/>
  <c r="W9" i="96"/>
  <c r="V9" i="96"/>
  <c r="U9" i="96"/>
  <c r="T9" i="96"/>
  <c r="S9" i="96"/>
  <c r="R9" i="96"/>
  <c r="Q9" i="96"/>
  <c r="P9" i="96"/>
  <c r="AA8" i="96"/>
  <c r="Z8" i="96"/>
  <c r="Y8" i="96"/>
  <c r="X8" i="96"/>
  <c r="W8" i="96"/>
  <c r="V8" i="96"/>
  <c r="U8" i="96"/>
  <c r="T8" i="96"/>
  <c r="S8" i="96"/>
  <c r="R8" i="96"/>
  <c r="Q8" i="96"/>
  <c r="P8" i="96"/>
  <c r="AA6" i="96"/>
  <c r="Z6" i="96"/>
  <c r="Y6" i="96"/>
  <c r="X6" i="96"/>
  <c r="W6" i="96"/>
  <c r="V6" i="96"/>
  <c r="U6" i="96"/>
  <c r="T6" i="96"/>
  <c r="S6" i="96"/>
  <c r="R6" i="96"/>
  <c r="Q6" i="96"/>
  <c r="P6" i="96"/>
  <c r="AA5" i="96"/>
  <c r="Z5" i="96"/>
  <c r="Y5" i="96"/>
  <c r="X5" i="96"/>
  <c r="W5" i="96"/>
  <c r="V5" i="96"/>
  <c r="U5" i="96"/>
  <c r="T5" i="96"/>
  <c r="S5" i="96"/>
  <c r="R5" i="96"/>
  <c r="Q5" i="96"/>
  <c r="P5" i="96"/>
  <c r="AM126" i="96"/>
  <c r="AL126" i="96"/>
  <c r="AK126" i="96"/>
  <c r="AJ126" i="96"/>
  <c r="AI126" i="96"/>
  <c r="AH126" i="96"/>
  <c r="AG126" i="96"/>
  <c r="AF126" i="96"/>
  <c r="AE126" i="96"/>
  <c r="AD126" i="96"/>
  <c r="AC126" i="96"/>
  <c r="AB126" i="96"/>
  <c r="AM124" i="96"/>
  <c r="AL124" i="96"/>
  <c r="AK124" i="96"/>
  <c r="AJ124" i="96"/>
  <c r="AI124" i="96"/>
  <c r="AH124" i="96"/>
  <c r="AG124" i="96"/>
  <c r="AF124" i="96"/>
  <c r="AE124" i="96"/>
  <c r="AD124" i="96"/>
  <c r="AC124" i="96"/>
  <c r="AB124" i="96"/>
  <c r="AM123" i="96"/>
  <c r="AL123" i="96"/>
  <c r="AK123" i="96"/>
  <c r="AJ123" i="96"/>
  <c r="AI123" i="96"/>
  <c r="AH123" i="96"/>
  <c r="AG123" i="96"/>
  <c r="AF123" i="96"/>
  <c r="AE123" i="96"/>
  <c r="AD123" i="96"/>
  <c r="AC123" i="96"/>
  <c r="AB123" i="96"/>
  <c r="AM122" i="96"/>
  <c r="AL122" i="96"/>
  <c r="AK122" i="96"/>
  <c r="AJ122" i="96"/>
  <c r="AI122" i="96"/>
  <c r="AH122" i="96"/>
  <c r="AG122" i="96"/>
  <c r="AF122" i="96"/>
  <c r="AE122" i="96"/>
  <c r="AD122" i="96"/>
  <c r="AC122" i="96"/>
  <c r="AB122" i="96"/>
  <c r="AM121" i="96"/>
  <c r="AL121" i="96"/>
  <c r="AK121" i="96"/>
  <c r="AJ121" i="96"/>
  <c r="AI121" i="96"/>
  <c r="AH121" i="96"/>
  <c r="AG121" i="96"/>
  <c r="AF121" i="96"/>
  <c r="AE121" i="96"/>
  <c r="AD121" i="96"/>
  <c r="AC121" i="96"/>
  <c r="AB121" i="96"/>
  <c r="AM120" i="96"/>
  <c r="AL120" i="96"/>
  <c r="AK120" i="96"/>
  <c r="AJ120" i="96"/>
  <c r="AI120" i="96"/>
  <c r="AH120" i="96"/>
  <c r="AG120" i="96"/>
  <c r="AF120" i="96"/>
  <c r="AE120" i="96"/>
  <c r="AD120" i="96"/>
  <c r="AC120" i="96"/>
  <c r="AB120" i="96"/>
  <c r="AM119" i="96"/>
  <c r="AL119" i="96"/>
  <c r="AK119" i="96"/>
  <c r="AJ119" i="96"/>
  <c r="AI119" i="96"/>
  <c r="AH119" i="96"/>
  <c r="AG119" i="96"/>
  <c r="AF119" i="96"/>
  <c r="AE119" i="96"/>
  <c r="AD119" i="96"/>
  <c r="AC119" i="96"/>
  <c r="AB119" i="96"/>
  <c r="AM118" i="96"/>
  <c r="AL118" i="96"/>
  <c r="AK118" i="96"/>
  <c r="AJ118" i="96"/>
  <c r="AI118" i="96"/>
  <c r="AH118" i="96"/>
  <c r="AG118" i="96"/>
  <c r="AF118" i="96"/>
  <c r="AE118" i="96"/>
  <c r="AD118" i="96"/>
  <c r="AC118" i="96"/>
  <c r="AB118" i="96"/>
  <c r="AM117" i="96"/>
  <c r="AL117" i="96"/>
  <c r="AK117" i="96"/>
  <c r="AJ117" i="96"/>
  <c r="AI117" i="96"/>
  <c r="AH117" i="96"/>
  <c r="AG117" i="96"/>
  <c r="AF117" i="96"/>
  <c r="AE117" i="96"/>
  <c r="AD117" i="96"/>
  <c r="AC117" i="96"/>
  <c r="AB117" i="96"/>
  <c r="AM116" i="96"/>
  <c r="AL116" i="96"/>
  <c r="AK116" i="96"/>
  <c r="AJ116" i="96"/>
  <c r="AI116" i="96"/>
  <c r="AH116" i="96"/>
  <c r="AG116" i="96"/>
  <c r="AF116" i="96"/>
  <c r="AE116" i="96"/>
  <c r="AD116" i="96"/>
  <c r="AC116" i="96"/>
  <c r="AB116" i="96"/>
  <c r="AM115" i="96"/>
  <c r="AL115" i="96"/>
  <c r="AK115" i="96"/>
  <c r="AJ115" i="96"/>
  <c r="AI115" i="96"/>
  <c r="AH115" i="96"/>
  <c r="AG115" i="96"/>
  <c r="AF115" i="96"/>
  <c r="AE115" i="96"/>
  <c r="AD115" i="96"/>
  <c r="AC115" i="96"/>
  <c r="AB115" i="96"/>
  <c r="AM112" i="96"/>
  <c r="AL112" i="96"/>
  <c r="AK112" i="96"/>
  <c r="AJ112" i="96"/>
  <c r="AI112" i="96"/>
  <c r="AH112" i="96"/>
  <c r="AG112" i="96"/>
  <c r="AF112" i="96"/>
  <c r="AE112" i="96"/>
  <c r="AD112" i="96"/>
  <c r="AC112" i="96"/>
  <c r="AB112" i="96"/>
  <c r="AM111" i="96"/>
  <c r="AL111" i="96"/>
  <c r="AK111" i="96"/>
  <c r="AJ111" i="96"/>
  <c r="AI111" i="96"/>
  <c r="AH111" i="96"/>
  <c r="AG111" i="96"/>
  <c r="AF111" i="96"/>
  <c r="AE111" i="96"/>
  <c r="AD111" i="96"/>
  <c r="AC111" i="96"/>
  <c r="AB111" i="96"/>
  <c r="AM110" i="96"/>
  <c r="AL110" i="96"/>
  <c r="AK110" i="96"/>
  <c r="AJ110" i="96"/>
  <c r="AI110" i="96"/>
  <c r="AH110" i="96"/>
  <c r="AG110" i="96"/>
  <c r="AF110" i="96"/>
  <c r="AE110" i="96"/>
  <c r="AD110" i="96"/>
  <c r="AC110" i="96"/>
  <c r="AB110" i="96"/>
  <c r="AM109" i="96"/>
  <c r="AL109" i="96"/>
  <c r="AK109" i="96"/>
  <c r="AJ109" i="96"/>
  <c r="AI109" i="96"/>
  <c r="AH109" i="96"/>
  <c r="AG109" i="96"/>
  <c r="AF109" i="96"/>
  <c r="AE109" i="96"/>
  <c r="AD109" i="96"/>
  <c r="AC109" i="96"/>
  <c r="AB109" i="96"/>
  <c r="AM108" i="96"/>
  <c r="AL108" i="96"/>
  <c r="AK108" i="96"/>
  <c r="AJ108" i="96"/>
  <c r="AI108" i="96"/>
  <c r="AH108" i="96"/>
  <c r="AG108" i="96"/>
  <c r="AF108" i="96"/>
  <c r="AE108" i="96"/>
  <c r="AD108" i="96"/>
  <c r="AC108" i="96"/>
  <c r="AB108" i="96"/>
  <c r="AM107" i="96"/>
  <c r="AL107" i="96"/>
  <c r="AK107" i="96"/>
  <c r="AJ107" i="96"/>
  <c r="AI107" i="96"/>
  <c r="AH107" i="96"/>
  <c r="AG107" i="96"/>
  <c r="AF107" i="96"/>
  <c r="AE107" i="96"/>
  <c r="AD107" i="96"/>
  <c r="AC107" i="96"/>
  <c r="AB107" i="96"/>
  <c r="AM106" i="96"/>
  <c r="AL106" i="96"/>
  <c r="AK106" i="96"/>
  <c r="AJ106" i="96"/>
  <c r="AI106" i="96"/>
  <c r="AH106" i="96"/>
  <c r="AG106" i="96"/>
  <c r="AF106" i="96"/>
  <c r="AE106" i="96"/>
  <c r="AD106" i="96"/>
  <c r="AC106" i="96"/>
  <c r="AB106" i="96"/>
  <c r="AM105" i="96"/>
  <c r="AL105" i="96"/>
  <c r="AK105" i="96"/>
  <c r="AJ105" i="96"/>
  <c r="AI105" i="96"/>
  <c r="AH105" i="96"/>
  <c r="AG105" i="96"/>
  <c r="AF105" i="96"/>
  <c r="AE105" i="96"/>
  <c r="AD105" i="96"/>
  <c r="AC105" i="96"/>
  <c r="AB105" i="96"/>
  <c r="AM104" i="96"/>
  <c r="AL104" i="96"/>
  <c r="AK104" i="96"/>
  <c r="AJ104" i="96"/>
  <c r="AI104" i="96"/>
  <c r="AH104" i="96"/>
  <c r="AG104" i="96"/>
  <c r="AF104" i="96"/>
  <c r="AE104" i="96"/>
  <c r="AD104" i="96"/>
  <c r="AC104" i="96"/>
  <c r="AB104" i="96"/>
  <c r="AM103" i="96"/>
  <c r="AL103" i="96"/>
  <c r="AK103" i="96"/>
  <c r="AJ103" i="96"/>
  <c r="AI103" i="96"/>
  <c r="AH103" i="96"/>
  <c r="AG103" i="96"/>
  <c r="AF103" i="96"/>
  <c r="AE103" i="96"/>
  <c r="AD103" i="96"/>
  <c r="AC103" i="96"/>
  <c r="AB103" i="96"/>
  <c r="AM102" i="96"/>
  <c r="AL102" i="96"/>
  <c r="AK102" i="96"/>
  <c r="AJ102" i="96"/>
  <c r="AI102" i="96"/>
  <c r="AH102" i="96"/>
  <c r="AG102" i="96"/>
  <c r="AF102" i="96"/>
  <c r="AE102" i="96"/>
  <c r="AD102" i="96"/>
  <c r="AC102" i="96"/>
  <c r="AB102" i="96"/>
  <c r="AM101" i="96"/>
  <c r="AL101" i="96"/>
  <c r="AK101" i="96"/>
  <c r="AJ101" i="96"/>
  <c r="AI101" i="96"/>
  <c r="AH101" i="96"/>
  <c r="AG101" i="96"/>
  <c r="AF101" i="96"/>
  <c r="AE101" i="96"/>
  <c r="AD101" i="96"/>
  <c r="AC101" i="96"/>
  <c r="AB101" i="96"/>
  <c r="AM100" i="96"/>
  <c r="AL100" i="96"/>
  <c r="AK100" i="96"/>
  <c r="AJ100" i="96"/>
  <c r="AI100" i="96"/>
  <c r="AH100" i="96"/>
  <c r="AG100" i="96"/>
  <c r="AF100" i="96"/>
  <c r="AE100" i="96"/>
  <c r="AD100" i="96"/>
  <c r="AC100" i="96"/>
  <c r="AB100" i="96"/>
  <c r="AM99" i="96"/>
  <c r="AL99" i="96"/>
  <c r="AK99" i="96"/>
  <c r="AJ99" i="96"/>
  <c r="AI99" i="96"/>
  <c r="AH99" i="96"/>
  <c r="AG99" i="96"/>
  <c r="AF99" i="96"/>
  <c r="AE99" i="96"/>
  <c r="AD99" i="96"/>
  <c r="AC99" i="96"/>
  <c r="AB99" i="96"/>
  <c r="AM97" i="96"/>
  <c r="AL97" i="96"/>
  <c r="AK97" i="96"/>
  <c r="AJ97" i="96"/>
  <c r="AI97" i="96"/>
  <c r="AH97" i="96"/>
  <c r="AG97" i="96"/>
  <c r="AF97" i="96"/>
  <c r="AE97" i="96"/>
  <c r="AD97" i="96"/>
  <c r="AC97" i="96"/>
  <c r="AB97" i="96"/>
  <c r="AM96" i="96"/>
  <c r="AL96" i="96"/>
  <c r="AK96" i="96"/>
  <c r="AJ96" i="96"/>
  <c r="AI96" i="96"/>
  <c r="AH96" i="96"/>
  <c r="AG96" i="96"/>
  <c r="AF96" i="96"/>
  <c r="AE96" i="96"/>
  <c r="AD96" i="96"/>
  <c r="AC96" i="96"/>
  <c r="AB96" i="96"/>
  <c r="AM95" i="96"/>
  <c r="AL95" i="96"/>
  <c r="AK95" i="96"/>
  <c r="AJ95" i="96"/>
  <c r="AI95" i="96"/>
  <c r="AH95" i="96"/>
  <c r="AG95" i="96"/>
  <c r="AF95" i="96"/>
  <c r="AE95" i="96"/>
  <c r="AD95" i="96"/>
  <c r="AC95" i="96"/>
  <c r="AB95" i="96"/>
  <c r="AM94" i="96"/>
  <c r="AL94" i="96"/>
  <c r="AK94" i="96"/>
  <c r="AJ94" i="96"/>
  <c r="AI94" i="96"/>
  <c r="AH94" i="96"/>
  <c r="AG94" i="96"/>
  <c r="AF94" i="96"/>
  <c r="AE94" i="96"/>
  <c r="AD94" i="96"/>
  <c r="AC94" i="96"/>
  <c r="AB94" i="96"/>
  <c r="AM93" i="96"/>
  <c r="AL93" i="96"/>
  <c r="AK93" i="96"/>
  <c r="AJ93" i="96"/>
  <c r="AI93" i="96"/>
  <c r="AH93" i="96"/>
  <c r="AG93" i="96"/>
  <c r="AF93" i="96"/>
  <c r="AE93" i="96"/>
  <c r="AD93" i="96"/>
  <c r="AC93" i="96"/>
  <c r="AB93" i="96"/>
  <c r="AM92" i="96"/>
  <c r="AL92" i="96"/>
  <c r="AK92" i="96"/>
  <c r="AJ92" i="96"/>
  <c r="AI92" i="96"/>
  <c r="AH92" i="96"/>
  <c r="AG92" i="96"/>
  <c r="AF92" i="96"/>
  <c r="AE92" i="96"/>
  <c r="AD92" i="96"/>
  <c r="AC92" i="96"/>
  <c r="AB92" i="96"/>
  <c r="AM91" i="96"/>
  <c r="AL91" i="96"/>
  <c r="AK91" i="96"/>
  <c r="AJ91" i="96"/>
  <c r="AI91" i="96"/>
  <c r="AH91" i="96"/>
  <c r="AG91" i="96"/>
  <c r="AF91" i="96"/>
  <c r="AE91" i="96"/>
  <c r="AD91" i="96"/>
  <c r="AC91" i="96"/>
  <c r="AB91" i="96"/>
  <c r="AM90" i="96"/>
  <c r="AL90" i="96"/>
  <c r="AK90" i="96"/>
  <c r="AJ90" i="96"/>
  <c r="AI90" i="96"/>
  <c r="AH90" i="96"/>
  <c r="AG90" i="96"/>
  <c r="AF90" i="96"/>
  <c r="AE90" i="96"/>
  <c r="AD90" i="96"/>
  <c r="AC90" i="96"/>
  <c r="AB90" i="96"/>
  <c r="AM89" i="96"/>
  <c r="AL89" i="96"/>
  <c r="AK89" i="96"/>
  <c r="AJ89" i="96"/>
  <c r="AI89" i="96"/>
  <c r="AH89" i="96"/>
  <c r="AG89" i="96"/>
  <c r="AF89" i="96"/>
  <c r="AE89" i="96"/>
  <c r="AD89" i="96"/>
  <c r="AC89" i="96"/>
  <c r="AB89" i="96"/>
  <c r="AM88" i="96"/>
  <c r="AL88" i="96"/>
  <c r="AK88" i="96"/>
  <c r="AJ88" i="96"/>
  <c r="AI88" i="96"/>
  <c r="AH88" i="96"/>
  <c r="AG88" i="96"/>
  <c r="AF88" i="96"/>
  <c r="AE88" i="96"/>
  <c r="AD88" i="96"/>
  <c r="AC88" i="96"/>
  <c r="AB88" i="96"/>
  <c r="AM87" i="96"/>
  <c r="AL87" i="96"/>
  <c r="AK87" i="96"/>
  <c r="AJ87" i="96"/>
  <c r="AI87" i="96"/>
  <c r="AH87" i="96"/>
  <c r="AG87" i="96"/>
  <c r="AF87" i="96"/>
  <c r="AE87" i="96"/>
  <c r="AD87" i="96"/>
  <c r="AC87" i="96"/>
  <c r="AB87" i="96"/>
  <c r="AM86" i="96"/>
  <c r="AL86" i="96"/>
  <c r="AK86" i="96"/>
  <c r="AJ86" i="96"/>
  <c r="AI86" i="96"/>
  <c r="AH86" i="96"/>
  <c r="AG86" i="96"/>
  <c r="AF86" i="96"/>
  <c r="AE86" i="96"/>
  <c r="AD86" i="96"/>
  <c r="AC86" i="96"/>
  <c r="AB86" i="96"/>
  <c r="AM85" i="96"/>
  <c r="AL85" i="96"/>
  <c r="AK85" i="96"/>
  <c r="AJ85" i="96"/>
  <c r="AI85" i="96"/>
  <c r="AH85" i="96"/>
  <c r="AG85" i="96"/>
  <c r="AF85" i="96"/>
  <c r="AE85" i="96"/>
  <c r="AD85" i="96"/>
  <c r="AC85" i="96"/>
  <c r="AB85" i="96"/>
  <c r="AM84" i="96"/>
  <c r="AL84" i="96"/>
  <c r="AK84" i="96"/>
  <c r="AJ84" i="96"/>
  <c r="AI84" i="96"/>
  <c r="AH84" i="96"/>
  <c r="AG84" i="96"/>
  <c r="AF84" i="96"/>
  <c r="AE84" i="96"/>
  <c r="AD84" i="96"/>
  <c r="AC84" i="96"/>
  <c r="AB84" i="96"/>
  <c r="AM83" i="96"/>
  <c r="AL83" i="96"/>
  <c r="AK83" i="96"/>
  <c r="AJ83" i="96"/>
  <c r="AI83" i="96"/>
  <c r="AH83" i="96"/>
  <c r="AG83" i="96"/>
  <c r="AF83" i="96"/>
  <c r="AE83" i="96"/>
  <c r="AD83" i="96"/>
  <c r="AC83" i="96"/>
  <c r="AB83" i="96"/>
  <c r="AM79" i="96"/>
  <c r="AL79" i="96"/>
  <c r="AK79" i="96"/>
  <c r="AJ79" i="96"/>
  <c r="AI79" i="96"/>
  <c r="AH79" i="96"/>
  <c r="AG79" i="96"/>
  <c r="AF79" i="96"/>
  <c r="AE79" i="96"/>
  <c r="AD79" i="96"/>
  <c r="AC79" i="96"/>
  <c r="AB79" i="96"/>
  <c r="AM78" i="96"/>
  <c r="AL78" i="96"/>
  <c r="AK78" i="96"/>
  <c r="AJ78" i="96"/>
  <c r="AI78" i="96"/>
  <c r="AH78" i="96"/>
  <c r="AG78" i="96"/>
  <c r="AF78" i="96"/>
  <c r="AE78" i="96"/>
  <c r="AD78" i="96"/>
  <c r="AC78" i="96"/>
  <c r="AB78" i="96"/>
  <c r="AM77" i="96"/>
  <c r="AL77" i="96"/>
  <c r="AK77" i="96"/>
  <c r="AJ77" i="96"/>
  <c r="AI77" i="96"/>
  <c r="AH77" i="96"/>
  <c r="AG77" i="96"/>
  <c r="AF77" i="96"/>
  <c r="AE77" i="96"/>
  <c r="AD77" i="96"/>
  <c r="AC77" i="96"/>
  <c r="AB77" i="96"/>
  <c r="AM76" i="96"/>
  <c r="AL76" i="96"/>
  <c r="AK76" i="96"/>
  <c r="AJ76" i="96"/>
  <c r="AI76" i="96"/>
  <c r="AH76" i="96"/>
  <c r="AG76" i="96"/>
  <c r="AF76" i="96"/>
  <c r="AE76" i="96"/>
  <c r="AD76" i="96"/>
  <c r="AC76" i="96"/>
  <c r="AB76" i="96"/>
  <c r="AM74" i="96"/>
  <c r="AL74" i="96"/>
  <c r="AK74" i="96"/>
  <c r="AJ74" i="96"/>
  <c r="AI74" i="96"/>
  <c r="AH74" i="96"/>
  <c r="AG74" i="96"/>
  <c r="AF74" i="96"/>
  <c r="AE74" i="96"/>
  <c r="AD74" i="96"/>
  <c r="AC74" i="96"/>
  <c r="AB74" i="96"/>
  <c r="AM73" i="96"/>
  <c r="AL73" i="96"/>
  <c r="AK73" i="96"/>
  <c r="AJ73" i="96"/>
  <c r="AI73" i="96"/>
  <c r="AH73" i="96"/>
  <c r="AG73" i="96"/>
  <c r="AF73" i="96"/>
  <c r="AE73" i="96"/>
  <c r="AD73" i="96"/>
  <c r="AC73" i="96"/>
  <c r="AB73" i="96"/>
  <c r="AM72" i="96"/>
  <c r="AL72" i="96"/>
  <c r="AK72" i="96"/>
  <c r="AJ72" i="96"/>
  <c r="AI72" i="96"/>
  <c r="AH72" i="96"/>
  <c r="AG72" i="96"/>
  <c r="AF72" i="96"/>
  <c r="AE72" i="96"/>
  <c r="AD72" i="96"/>
  <c r="AC72" i="96"/>
  <c r="AB72" i="96"/>
  <c r="AM71" i="96"/>
  <c r="AL71" i="96"/>
  <c r="AK71" i="96"/>
  <c r="AJ71" i="96"/>
  <c r="AI71" i="96"/>
  <c r="AH71" i="96"/>
  <c r="AG71" i="96"/>
  <c r="AF71" i="96"/>
  <c r="AE71" i="96"/>
  <c r="AD71" i="96"/>
  <c r="AC71" i="96"/>
  <c r="AB71" i="96"/>
  <c r="AM70" i="96"/>
  <c r="AL70" i="96"/>
  <c r="AK70" i="96"/>
  <c r="AJ70" i="96"/>
  <c r="AI70" i="96"/>
  <c r="AH70" i="96"/>
  <c r="AG70" i="96"/>
  <c r="AF70" i="96"/>
  <c r="AE70" i="96"/>
  <c r="AD70" i="96"/>
  <c r="AC70" i="96"/>
  <c r="AB70" i="96"/>
  <c r="AM69" i="96"/>
  <c r="AL69" i="96"/>
  <c r="AK69" i="96"/>
  <c r="AJ69" i="96"/>
  <c r="AI69" i="96"/>
  <c r="AH69" i="96"/>
  <c r="AG69" i="96"/>
  <c r="AF69" i="96"/>
  <c r="AE69" i="96"/>
  <c r="AD69" i="96"/>
  <c r="AC69" i="96"/>
  <c r="AB69" i="96"/>
  <c r="AM67" i="96"/>
  <c r="AL67" i="96"/>
  <c r="AK67" i="96"/>
  <c r="AJ67" i="96"/>
  <c r="AI67" i="96"/>
  <c r="AH67" i="96"/>
  <c r="AG67" i="96"/>
  <c r="AF67" i="96"/>
  <c r="AE67" i="96"/>
  <c r="AD67" i="96"/>
  <c r="AC67" i="96"/>
  <c r="AB67" i="96"/>
  <c r="AM66" i="96"/>
  <c r="AL66" i="96"/>
  <c r="AK66" i="96"/>
  <c r="AJ66" i="96"/>
  <c r="AI66" i="96"/>
  <c r="AH66" i="96"/>
  <c r="AG66" i="96"/>
  <c r="AF66" i="96"/>
  <c r="AE66" i="96"/>
  <c r="AD66" i="96"/>
  <c r="AC66" i="96"/>
  <c r="AB66" i="96"/>
  <c r="AM64" i="96"/>
  <c r="AL64" i="96"/>
  <c r="AK64" i="96"/>
  <c r="AJ64" i="96"/>
  <c r="AI64" i="96"/>
  <c r="AH64" i="96"/>
  <c r="AG64" i="96"/>
  <c r="AF64" i="96"/>
  <c r="AE64" i="96"/>
  <c r="AD64" i="96"/>
  <c r="AC64" i="96"/>
  <c r="AB64" i="96"/>
  <c r="AM63" i="96"/>
  <c r="AL63" i="96"/>
  <c r="AK63" i="96"/>
  <c r="AJ63" i="96"/>
  <c r="AI63" i="96"/>
  <c r="AH63" i="96"/>
  <c r="AG63" i="96"/>
  <c r="AF63" i="96"/>
  <c r="AE63" i="96"/>
  <c r="AD63" i="96"/>
  <c r="AC63" i="96"/>
  <c r="AB63" i="96"/>
  <c r="AM61" i="96"/>
  <c r="AL61" i="96"/>
  <c r="AK61" i="96"/>
  <c r="AJ61" i="96"/>
  <c r="AI61" i="96"/>
  <c r="AH61" i="96"/>
  <c r="AG61" i="96"/>
  <c r="AF61" i="96"/>
  <c r="AE61" i="96"/>
  <c r="AD61" i="96"/>
  <c r="AC61" i="96"/>
  <c r="AB61" i="96"/>
  <c r="AM60" i="96"/>
  <c r="AL60" i="96"/>
  <c r="AK60" i="96"/>
  <c r="AJ60" i="96"/>
  <c r="AI60" i="96"/>
  <c r="AH60" i="96"/>
  <c r="AG60" i="96"/>
  <c r="AF60" i="96"/>
  <c r="AE60" i="96"/>
  <c r="AD60" i="96"/>
  <c r="AC60" i="96"/>
  <c r="AB60" i="96"/>
  <c r="AM59" i="96"/>
  <c r="AL59" i="96"/>
  <c r="AK59" i="96"/>
  <c r="AJ59" i="96"/>
  <c r="AI59" i="96"/>
  <c r="AH59" i="96"/>
  <c r="AG59" i="96"/>
  <c r="AF59" i="96"/>
  <c r="AE59" i="96"/>
  <c r="AD59" i="96"/>
  <c r="AC59" i="96"/>
  <c r="AB59" i="96"/>
  <c r="AM58" i="96"/>
  <c r="AL58" i="96"/>
  <c r="AK58" i="96"/>
  <c r="AJ58" i="96"/>
  <c r="AI58" i="96"/>
  <c r="AH58" i="96"/>
  <c r="AG58" i="96"/>
  <c r="AF58" i="96"/>
  <c r="AE58" i="96"/>
  <c r="AD58" i="96"/>
  <c r="AC58" i="96"/>
  <c r="AB58" i="96"/>
  <c r="AM57" i="96"/>
  <c r="AL57" i="96"/>
  <c r="AK57" i="96"/>
  <c r="AJ57" i="96"/>
  <c r="AI57" i="96"/>
  <c r="AH57" i="96"/>
  <c r="AG57" i="96"/>
  <c r="AF57" i="96"/>
  <c r="AE57" i="96"/>
  <c r="AD57" i="96"/>
  <c r="AC57" i="96"/>
  <c r="AB57" i="96"/>
  <c r="AM55" i="96"/>
  <c r="AL55" i="96"/>
  <c r="AK55" i="96"/>
  <c r="AJ55" i="96"/>
  <c r="AI55" i="96"/>
  <c r="AH55" i="96"/>
  <c r="AG55" i="96"/>
  <c r="AF55" i="96"/>
  <c r="AE55" i="96"/>
  <c r="AD55" i="96"/>
  <c r="AC55" i="96"/>
  <c r="AB55" i="96"/>
  <c r="AM52" i="96"/>
  <c r="AL52" i="96"/>
  <c r="AK52" i="96"/>
  <c r="AJ52" i="96"/>
  <c r="AI52" i="96"/>
  <c r="AH52" i="96"/>
  <c r="AG52" i="96"/>
  <c r="AF52" i="96"/>
  <c r="AE52" i="96"/>
  <c r="AD52" i="96"/>
  <c r="AC52" i="96"/>
  <c r="AB52" i="96"/>
  <c r="AM51" i="96"/>
  <c r="AL51" i="96"/>
  <c r="AK51" i="96"/>
  <c r="AJ51" i="96"/>
  <c r="AI51" i="96"/>
  <c r="AH51" i="96"/>
  <c r="AG51" i="96"/>
  <c r="AF51" i="96"/>
  <c r="AE51" i="96"/>
  <c r="AD51" i="96"/>
  <c r="AC51" i="96"/>
  <c r="AB51" i="96"/>
  <c r="AM49" i="96"/>
  <c r="AL49" i="96"/>
  <c r="AK49" i="96"/>
  <c r="AJ49" i="96"/>
  <c r="AI49" i="96"/>
  <c r="AH49" i="96"/>
  <c r="AG49" i="96"/>
  <c r="AF49" i="96"/>
  <c r="AE49" i="96"/>
  <c r="AD49" i="96"/>
  <c r="AC49" i="96"/>
  <c r="AB49" i="96"/>
  <c r="AM48" i="96"/>
  <c r="AL48" i="96"/>
  <c r="AK48" i="96"/>
  <c r="AJ48" i="96"/>
  <c r="AI48" i="96"/>
  <c r="AH48" i="96"/>
  <c r="AG48" i="96"/>
  <c r="AF48" i="96"/>
  <c r="AE48" i="96"/>
  <c r="AD48" i="96"/>
  <c r="AC48" i="96"/>
  <c r="AB48" i="96"/>
  <c r="AM46" i="96"/>
  <c r="AL46" i="96"/>
  <c r="AK46" i="96"/>
  <c r="AJ46" i="96"/>
  <c r="AI46" i="96"/>
  <c r="AH46" i="96"/>
  <c r="AG46" i="96"/>
  <c r="AF46" i="96"/>
  <c r="AE46" i="96"/>
  <c r="AD46" i="96"/>
  <c r="AC46" i="96"/>
  <c r="AB46" i="96"/>
  <c r="AM45" i="96"/>
  <c r="AL45" i="96"/>
  <c r="AK45" i="96"/>
  <c r="AJ45" i="96"/>
  <c r="AI45" i="96"/>
  <c r="AH45" i="96"/>
  <c r="AG45" i="96"/>
  <c r="AF45" i="96"/>
  <c r="AE45" i="96"/>
  <c r="AD45" i="96"/>
  <c r="AC45" i="96"/>
  <c r="AB45" i="96"/>
  <c r="AM42" i="96"/>
  <c r="AL42" i="96"/>
  <c r="AK42" i="96"/>
  <c r="AJ42" i="96"/>
  <c r="AI42" i="96"/>
  <c r="AH42" i="96"/>
  <c r="AG42" i="96"/>
  <c r="AF42" i="96"/>
  <c r="AE42" i="96"/>
  <c r="AD42" i="96"/>
  <c r="AC42" i="96"/>
  <c r="AB42" i="96"/>
  <c r="AM41" i="96"/>
  <c r="AL41" i="96"/>
  <c r="AK41" i="96"/>
  <c r="AJ41" i="96"/>
  <c r="AI41" i="96"/>
  <c r="AH41" i="96"/>
  <c r="AG41" i="96"/>
  <c r="AF41" i="96"/>
  <c r="AE41" i="96"/>
  <c r="AD41" i="96"/>
  <c r="AC41" i="96"/>
  <c r="AB41" i="96"/>
  <c r="AM40" i="96"/>
  <c r="AL40" i="96"/>
  <c r="AK40" i="96"/>
  <c r="AJ40" i="96"/>
  <c r="AI40" i="96"/>
  <c r="AH40" i="96"/>
  <c r="AG40" i="96"/>
  <c r="AF40" i="96"/>
  <c r="AE40" i="96"/>
  <c r="AD40" i="96"/>
  <c r="AC40" i="96"/>
  <c r="AB40" i="96"/>
  <c r="AM39" i="96"/>
  <c r="AL39" i="96"/>
  <c r="AK39" i="96"/>
  <c r="AJ39" i="96"/>
  <c r="AI39" i="96"/>
  <c r="AH39" i="96"/>
  <c r="AG39" i="96"/>
  <c r="AF39" i="96"/>
  <c r="AE39" i="96"/>
  <c r="AD39" i="96"/>
  <c r="AC39" i="96"/>
  <c r="AB39" i="96"/>
  <c r="AM38" i="96"/>
  <c r="AL38" i="96"/>
  <c r="AK38" i="96"/>
  <c r="AJ38" i="96"/>
  <c r="AI38" i="96"/>
  <c r="AH38" i="96"/>
  <c r="AG38" i="96"/>
  <c r="AF38" i="96"/>
  <c r="AE38" i="96"/>
  <c r="AD38" i="96"/>
  <c r="AC38" i="96"/>
  <c r="AB38" i="96"/>
  <c r="AM37" i="96"/>
  <c r="AL37" i="96"/>
  <c r="AK37" i="96"/>
  <c r="AJ37" i="96"/>
  <c r="AI37" i="96"/>
  <c r="AH37" i="96"/>
  <c r="AG37" i="96"/>
  <c r="AF37" i="96"/>
  <c r="AE37" i="96"/>
  <c r="AD37" i="96"/>
  <c r="AC37" i="96"/>
  <c r="AB37" i="96"/>
  <c r="AM34" i="96"/>
  <c r="AL34" i="96"/>
  <c r="AK34" i="96"/>
  <c r="AJ34" i="96"/>
  <c r="AI34" i="96"/>
  <c r="AH34" i="96"/>
  <c r="AG34" i="96"/>
  <c r="AF34" i="96"/>
  <c r="AE34" i="96"/>
  <c r="AD34" i="96"/>
  <c r="AC34" i="96"/>
  <c r="AB34" i="96"/>
  <c r="AM33" i="96"/>
  <c r="AL33" i="96"/>
  <c r="AK33" i="96"/>
  <c r="AJ33" i="96"/>
  <c r="AI33" i="96"/>
  <c r="AH33" i="96"/>
  <c r="AG33" i="96"/>
  <c r="AF33" i="96"/>
  <c r="AE33" i="96"/>
  <c r="AD33" i="96"/>
  <c r="AC33" i="96"/>
  <c r="AB33" i="96"/>
  <c r="AM32" i="96"/>
  <c r="AL32" i="96"/>
  <c r="AK32" i="96"/>
  <c r="AJ32" i="96"/>
  <c r="AI32" i="96"/>
  <c r="AH32" i="96"/>
  <c r="AG32" i="96"/>
  <c r="AF32" i="96"/>
  <c r="AE32" i="96"/>
  <c r="AD32" i="96"/>
  <c r="AC32" i="96"/>
  <c r="AB32" i="96"/>
  <c r="AM31" i="96"/>
  <c r="AL31" i="96"/>
  <c r="AK31" i="96"/>
  <c r="AJ31" i="96"/>
  <c r="AI31" i="96"/>
  <c r="AH31" i="96"/>
  <c r="AG31" i="96"/>
  <c r="AF31" i="96"/>
  <c r="AE31" i="96"/>
  <c r="AD31" i="96"/>
  <c r="AC31" i="96"/>
  <c r="AB31" i="96"/>
  <c r="AM30" i="96"/>
  <c r="AL30" i="96"/>
  <c r="AK30" i="96"/>
  <c r="AJ30" i="96"/>
  <c r="AI30" i="96"/>
  <c r="AH30" i="96"/>
  <c r="AG30" i="96"/>
  <c r="AF30" i="96"/>
  <c r="AE30" i="96"/>
  <c r="AD30" i="96"/>
  <c r="AC30" i="96"/>
  <c r="AB30" i="96"/>
  <c r="AM28" i="96"/>
  <c r="AL28" i="96"/>
  <c r="AK28" i="96"/>
  <c r="AJ28" i="96"/>
  <c r="AI28" i="96"/>
  <c r="AH28" i="96"/>
  <c r="AG28" i="96"/>
  <c r="AF28" i="96"/>
  <c r="AE28" i="96"/>
  <c r="AD28" i="96"/>
  <c r="AC28" i="96"/>
  <c r="AB28" i="96"/>
  <c r="AM27" i="96"/>
  <c r="AL27" i="96"/>
  <c r="AK27" i="96"/>
  <c r="AJ27" i="96"/>
  <c r="AI27" i="96"/>
  <c r="AH27" i="96"/>
  <c r="AG27" i="96"/>
  <c r="AF27" i="96"/>
  <c r="AE27" i="96"/>
  <c r="AD27" i="96"/>
  <c r="AC27" i="96"/>
  <c r="AB27" i="96"/>
  <c r="AM26" i="96"/>
  <c r="AL26" i="96"/>
  <c r="AK26" i="96"/>
  <c r="AJ26" i="96"/>
  <c r="AI26" i="96"/>
  <c r="AH26" i="96"/>
  <c r="AG26" i="96"/>
  <c r="AF26" i="96"/>
  <c r="AE26" i="96"/>
  <c r="AD26" i="96"/>
  <c r="AC26" i="96"/>
  <c r="AB26" i="96"/>
  <c r="AM24" i="96"/>
  <c r="AL24" i="96"/>
  <c r="AK24" i="96"/>
  <c r="AJ24" i="96"/>
  <c r="AI24" i="96"/>
  <c r="AH24" i="96"/>
  <c r="AG24" i="96"/>
  <c r="AF24" i="96"/>
  <c r="AE24" i="96"/>
  <c r="AD24" i="96"/>
  <c r="AC24" i="96"/>
  <c r="AB24" i="96"/>
  <c r="AM21" i="96"/>
  <c r="AL21" i="96"/>
  <c r="AK21" i="96"/>
  <c r="AJ21" i="96"/>
  <c r="AI21" i="96"/>
  <c r="AH21" i="96"/>
  <c r="AG21" i="96"/>
  <c r="AF21" i="96"/>
  <c r="AE21" i="96"/>
  <c r="AD21" i="96"/>
  <c r="AC21" i="96"/>
  <c r="AB21" i="96"/>
  <c r="AM20" i="96"/>
  <c r="AL20" i="96"/>
  <c r="AK20" i="96"/>
  <c r="AJ20" i="96"/>
  <c r="AI20" i="96"/>
  <c r="AH20" i="96"/>
  <c r="AG20" i="96"/>
  <c r="AF20" i="96"/>
  <c r="AE20" i="96"/>
  <c r="AD20" i="96"/>
  <c r="AC20" i="96"/>
  <c r="AB20" i="96"/>
  <c r="AM19" i="96"/>
  <c r="AL19" i="96"/>
  <c r="AK19" i="96"/>
  <c r="AJ19" i="96"/>
  <c r="AI19" i="96"/>
  <c r="AH19" i="96"/>
  <c r="AG19" i="96"/>
  <c r="AF19" i="96"/>
  <c r="AE19" i="96"/>
  <c r="AD19" i="96"/>
  <c r="AC19" i="96"/>
  <c r="AB19" i="96"/>
  <c r="AM18" i="96"/>
  <c r="AL18" i="96"/>
  <c r="AK18" i="96"/>
  <c r="AJ18" i="96"/>
  <c r="AI18" i="96"/>
  <c r="AH18" i="96"/>
  <c r="AG18" i="96"/>
  <c r="AF18" i="96"/>
  <c r="AE18" i="96"/>
  <c r="AD18" i="96"/>
  <c r="AC18" i="96"/>
  <c r="AB18" i="96"/>
  <c r="AM17" i="96"/>
  <c r="AL17" i="96"/>
  <c r="AK17" i="96"/>
  <c r="AJ17" i="96"/>
  <c r="AI17" i="96"/>
  <c r="AH17" i="96"/>
  <c r="AG17" i="96"/>
  <c r="AF17" i="96"/>
  <c r="AE17" i="96"/>
  <c r="AD17" i="96"/>
  <c r="AC17" i="96"/>
  <c r="AB17" i="96"/>
  <c r="AM16" i="96"/>
  <c r="AL16" i="96"/>
  <c r="AK16" i="96"/>
  <c r="AJ16" i="96"/>
  <c r="AI16" i="96"/>
  <c r="AH16" i="96"/>
  <c r="AG16" i="96"/>
  <c r="AF16" i="96"/>
  <c r="AE16" i="96"/>
  <c r="AD16" i="96"/>
  <c r="AC16" i="96"/>
  <c r="AB16" i="96"/>
  <c r="AM15" i="96"/>
  <c r="AL15" i="96"/>
  <c r="AK15" i="96"/>
  <c r="AJ15" i="96"/>
  <c r="AI15" i="96"/>
  <c r="AH15" i="96"/>
  <c r="AG15" i="96"/>
  <c r="AF15" i="96"/>
  <c r="AE15" i="96"/>
  <c r="AD15" i="96"/>
  <c r="AC15" i="96"/>
  <c r="AB15" i="96"/>
  <c r="AM13" i="96"/>
  <c r="AL13" i="96"/>
  <c r="AK13" i="96"/>
  <c r="AJ13" i="96"/>
  <c r="AI13" i="96"/>
  <c r="AH13" i="96"/>
  <c r="AG13" i="96"/>
  <c r="AF13" i="96"/>
  <c r="AE13" i="96"/>
  <c r="AD13" i="96"/>
  <c r="AC13" i="96"/>
  <c r="AB13" i="96"/>
  <c r="AM12" i="96"/>
  <c r="AL12" i="96"/>
  <c r="AK12" i="96"/>
  <c r="AJ12" i="96"/>
  <c r="AI12" i="96"/>
  <c r="AH12" i="96"/>
  <c r="AG12" i="96"/>
  <c r="AF12" i="96"/>
  <c r="AE12" i="96"/>
  <c r="AD12" i="96"/>
  <c r="AC12" i="96"/>
  <c r="AB12" i="96"/>
  <c r="AM11" i="96"/>
  <c r="AL11" i="96"/>
  <c r="AK11" i="96"/>
  <c r="AJ11" i="96"/>
  <c r="AI11" i="96"/>
  <c r="AH11" i="96"/>
  <c r="AG11" i="96"/>
  <c r="AF11" i="96"/>
  <c r="AE11" i="96"/>
  <c r="AD11" i="96"/>
  <c r="AC11" i="96"/>
  <c r="AB11" i="96"/>
  <c r="AM10" i="96"/>
  <c r="AL10" i="96"/>
  <c r="AK10" i="96"/>
  <c r="AJ10" i="96"/>
  <c r="AI10" i="96"/>
  <c r="AH10" i="96"/>
  <c r="AG10" i="96"/>
  <c r="AF10" i="96"/>
  <c r="AE10" i="96"/>
  <c r="AD10" i="96"/>
  <c r="AC10" i="96"/>
  <c r="AB10" i="96"/>
  <c r="AM9" i="96"/>
  <c r="AL9" i="96"/>
  <c r="AK9" i="96"/>
  <c r="AJ9" i="96"/>
  <c r="AI9" i="96"/>
  <c r="AH9" i="96"/>
  <c r="AG9" i="96"/>
  <c r="AF9" i="96"/>
  <c r="AE9" i="96"/>
  <c r="AD9" i="96"/>
  <c r="AC9" i="96"/>
  <c r="AB9" i="96"/>
  <c r="AM8" i="96"/>
  <c r="AL8" i="96"/>
  <c r="AK8" i="96"/>
  <c r="AJ8" i="96"/>
  <c r="AI8" i="96"/>
  <c r="AH8" i="96"/>
  <c r="AG8" i="96"/>
  <c r="AF8" i="96"/>
  <c r="AE8" i="96"/>
  <c r="AD8" i="96"/>
  <c r="AC8" i="96"/>
  <c r="AB8" i="96"/>
  <c r="AM6" i="96"/>
  <c r="AL6" i="96"/>
  <c r="AK6" i="96"/>
  <c r="AJ6" i="96"/>
  <c r="AI6" i="96"/>
  <c r="AH6" i="96"/>
  <c r="AG6" i="96"/>
  <c r="AF6" i="96"/>
  <c r="AE6" i="96"/>
  <c r="AD6" i="96"/>
  <c r="AC6" i="96"/>
  <c r="AB6" i="96"/>
  <c r="AM5" i="96"/>
  <c r="AL5" i="96"/>
  <c r="AK5" i="96"/>
  <c r="AJ5" i="96"/>
  <c r="AI5" i="96"/>
  <c r="AH5" i="96"/>
  <c r="AG5" i="96"/>
  <c r="AF5" i="96"/>
  <c r="AE5" i="96"/>
  <c r="AD5" i="96"/>
  <c r="AC5" i="96"/>
  <c r="CB6" i="97"/>
  <c r="CA6" i="97"/>
  <c r="BZ6" i="97"/>
  <c r="BY6" i="97"/>
  <c r="BX6" i="97"/>
  <c r="BW6" i="97"/>
  <c r="BV6" i="97"/>
  <c r="BU6" i="97"/>
  <c r="BT6" i="97"/>
  <c r="P56" i="93"/>
  <c r="X53" i="93"/>
  <c r="W53" i="93"/>
  <c r="V53" i="93"/>
  <c r="U53" i="93"/>
  <c r="T53" i="93"/>
  <c r="S53" i="93"/>
  <c r="R53" i="93"/>
  <c r="Q53" i="93"/>
  <c r="O53" i="93"/>
  <c r="N53" i="93"/>
  <c r="M53" i="93"/>
  <c r="P53" i="93"/>
  <c r="DH45" i="83" l="1"/>
  <c r="DG45" i="83"/>
  <c r="DF45" i="83"/>
  <c r="DE45" i="83"/>
  <c r="DD45" i="83"/>
  <c r="DC45" i="83"/>
  <c r="DB45" i="83"/>
  <c r="DA45" i="83"/>
  <c r="CZ45" i="83"/>
  <c r="CY45" i="83"/>
  <c r="CX45" i="83"/>
  <c r="CW45" i="83"/>
  <c r="CF45" i="83"/>
  <c r="CE45" i="83"/>
  <c r="CD45" i="83"/>
  <c r="CC45" i="83"/>
  <c r="CB45" i="83"/>
  <c r="CA45" i="83"/>
  <c r="BZ45" i="83"/>
  <c r="BY45" i="83"/>
  <c r="BX45" i="83"/>
  <c r="BW45" i="83"/>
  <c r="BV45" i="83"/>
  <c r="BU45" i="83"/>
  <c r="CT45" i="83"/>
  <c r="CS45" i="83"/>
  <c r="CR45" i="83"/>
  <c r="CQ45" i="83"/>
  <c r="CP45" i="83"/>
  <c r="CO45" i="83"/>
  <c r="CN45" i="83"/>
  <c r="CM45" i="83"/>
  <c r="CL45" i="83"/>
  <c r="CK45" i="83"/>
  <c r="CJ45" i="83"/>
  <c r="CI45" i="83"/>
  <c r="S56" i="81"/>
  <c r="S60" i="81" s="1"/>
  <c r="R56" i="81"/>
  <c r="R60" i="81" s="1"/>
  <c r="Q56" i="81"/>
  <c r="Q60" i="81" s="1"/>
  <c r="P56" i="81"/>
  <c r="P60" i="81" s="1"/>
  <c r="O56" i="81"/>
  <c r="O60" i="81" s="1"/>
  <c r="N56" i="81"/>
  <c r="N60" i="81" s="1"/>
  <c r="M56" i="81"/>
  <c r="M60" i="81" s="1"/>
  <c r="L56" i="81"/>
  <c r="L60" i="81" s="1"/>
  <c r="K56" i="81"/>
  <c r="K60" i="81" s="1"/>
  <c r="J56" i="81"/>
  <c r="J60" i="81" s="1"/>
  <c r="I56" i="81"/>
  <c r="I60" i="81" s="1"/>
  <c r="H56" i="81"/>
  <c r="H60" i="81" s="1"/>
  <c r="G56" i="81"/>
  <c r="G60" i="81" s="1"/>
  <c r="F56" i="81"/>
  <c r="F60" i="81" s="1"/>
  <c r="E56" i="81"/>
  <c r="E60" i="81" s="1"/>
  <c r="D56" i="81"/>
  <c r="D60" i="81" s="1"/>
  <c r="X54" i="81"/>
  <c r="X51" i="81"/>
  <c r="X49" i="81"/>
  <c r="S48" i="81"/>
  <c r="X48" i="81"/>
  <c r="X47" i="81"/>
  <c r="X46" i="81"/>
  <c r="S46" i="81"/>
  <c r="X45" i="81"/>
  <c r="S45" i="81"/>
  <c r="X44" i="81"/>
  <c r="S44" i="81"/>
  <c r="X43" i="81"/>
  <c r="X42" i="81"/>
  <c r="S42" i="81"/>
  <c r="X41" i="81"/>
  <c r="X40" i="81"/>
  <c r="X39" i="81"/>
  <c r="X38" i="81"/>
  <c r="N34" i="81"/>
  <c r="X37" i="81"/>
  <c r="Q34" i="81"/>
  <c r="S36" i="81"/>
  <c r="L34" i="81"/>
  <c r="X36" i="81"/>
  <c r="X35" i="81"/>
  <c r="R34" i="81"/>
  <c r="P34" i="81"/>
  <c r="O34" i="81"/>
  <c r="M34" i="81"/>
  <c r="K34" i="81"/>
  <c r="G34" i="81"/>
  <c r="X34" i="81"/>
  <c r="J34" i="81"/>
  <c r="I34" i="81"/>
  <c r="H34" i="81"/>
  <c r="F62" i="81"/>
  <c r="X32" i="81"/>
  <c r="X31" i="81"/>
  <c r="E62" i="81"/>
  <c r="S28" i="81"/>
  <c r="U28" i="81" s="1"/>
  <c r="X25" i="81"/>
  <c r="O23" i="81"/>
  <c r="N23" i="81"/>
  <c r="M23" i="81"/>
  <c r="J23" i="81"/>
  <c r="S23" i="81" s="1"/>
  <c r="X24" i="81"/>
  <c r="R23" i="81"/>
  <c r="Q23" i="81"/>
  <c r="P23" i="81"/>
  <c r="L23" i="81"/>
  <c r="K23" i="81"/>
  <c r="I23" i="81"/>
  <c r="H23" i="81"/>
  <c r="G23" i="81"/>
  <c r="X23" i="81"/>
  <c r="X22" i="81"/>
  <c r="S21" i="81"/>
  <c r="U21" i="81" s="1"/>
  <c r="X21" i="81"/>
  <c r="X20" i="81"/>
  <c r="H19" i="81"/>
  <c r="G19" i="81"/>
  <c r="S18" i="81"/>
  <c r="X18" i="81"/>
  <c r="S17" i="81"/>
  <c r="L19" i="81"/>
  <c r="X16" i="81"/>
  <c r="X14" i="81"/>
  <c r="X13" i="81"/>
  <c r="M9" i="81"/>
  <c r="S13" i="81"/>
  <c r="S12" i="81"/>
  <c r="X12" i="81"/>
  <c r="Q9" i="81"/>
  <c r="P9" i="81"/>
  <c r="S11" i="81"/>
  <c r="N9" i="81"/>
  <c r="X11" i="81"/>
  <c r="R9" i="81"/>
  <c r="O9" i="81"/>
  <c r="J9" i="81"/>
  <c r="I9" i="81"/>
  <c r="X10" i="81"/>
  <c r="X9" i="81"/>
  <c r="L9" i="81"/>
  <c r="K9" i="81"/>
  <c r="H9" i="81"/>
  <c r="G9" i="81"/>
  <c r="F50" i="81"/>
  <c r="X50" i="81" s="1"/>
  <c r="S8" i="81"/>
  <c r="Q5" i="81"/>
  <c r="K5" i="81"/>
  <c r="S7" i="81"/>
  <c r="R5" i="81"/>
  <c r="N5" i="81"/>
  <c r="L5" i="81"/>
  <c r="I5" i="81"/>
  <c r="H5" i="81"/>
  <c r="S6" i="81"/>
  <c r="U6" i="81" s="1"/>
  <c r="P5" i="81"/>
  <c r="O5" i="81"/>
  <c r="M5" i="81"/>
  <c r="J5" i="81"/>
  <c r="G5" i="81"/>
  <c r="D58" i="81"/>
  <c r="D59" i="81" l="1"/>
  <c r="D57" i="81"/>
  <c r="I19" i="81"/>
  <c r="J19" i="81"/>
  <c r="S9" i="81"/>
  <c r="P19" i="81"/>
  <c r="E63" i="81"/>
  <c r="E61" i="81"/>
  <c r="S5" i="81"/>
  <c r="F63" i="81"/>
  <c r="F61" i="81"/>
  <c r="N19" i="81"/>
  <c r="Q19" i="81"/>
  <c r="R19" i="81"/>
  <c r="S34" i="81"/>
  <c r="E58" i="81"/>
  <c r="F58" i="81"/>
  <c r="F53" i="81"/>
  <c r="X53" i="81" s="1"/>
  <c r="F33" i="81"/>
  <c r="X33" i="81" s="1"/>
  <c r="S37" i="81"/>
  <c r="M19" i="81"/>
  <c r="S24" i="81"/>
  <c r="U24" i="81" s="1"/>
  <c r="S39" i="81"/>
  <c r="U39" i="81" s="1"/>
  <c r="D62" i="81"/>
  <c r="O19" i="81"/>
  <c r="F15" i="81"/>
  <c r="S20" i="81"/>
  <c r="U20" i="81" s="1"/>
  <c r="S10" i="81"/>
  <c r="U10" i="81" s="1"/>
  <c r="S16" i="81"/>
  <c r="S29" i="81"/>
  <c r="U29" i="81" s="1"/>
  <c r="S35" i="81"/>
  <c r="K19" i="81"/>
  <c r="F26" i="81"/>
  <c r="X26" i="81" s="1"/>
  <c r="F59" i="81" l="1"/>
  <c r="F57" i="81"/>
  <c r="E59" i="81"/>
  <c r="E57" i="81"/>
  <c r="S19" i="81"/>
  <c r="U16" i="81"/>
  <c r="D61" i="81"/>
  <c r="D63" i="81"/>
  <c r="R27" i="81" l="1"/>
  <c r="Q27" i="81" l="1"/>
  <c r="M27" i="81" l="1"/>
  <c r="P27" i="81"/>
  <c r="O27" i="81"/>
  <c r="N27" i="81"/>
  <c r="L27" i="81"/>
  <c r="I27" i="81"/>
  <c r="K27" i="81"/>
  <c r="H27" i="81"/>
  <c r="J27" i="81"/>
  <c r="S40" i="81" l="1"/>
  <c r="U40" i="81" s="1"/>
  <c r="S30" i="81"/>
  <c r="U30" i="81" s="1"/>
  <c r="G27" i="81"/>
  <c r="S27" i="81" l="1"/>
  <c r="G38" i="81" l="1"/>
  <c r="Q15" i="81" l="1"/>
  <c r="Q14" i="81" s="1"/>
  <c r="Q25" i="81" s="1"/>
  <c r="R15" i="81"/>
  <c r="R14" i="81" s="1"/>
  <c r="R25" i="81" s="1"/>
  <c r="I15" i="81"/>
  <c r="I14" i="81" s="1"/>
  <c r="I25" i="81" s="1"/>
  <c r="J15" i="81"/>
  <c r="J14" i="81" s="1"/>
  <c r="J25" i="81" s="1"/>
  <c r="K15" i="81"/>
  <c r="K14" i="81" s="1"/>
  <c r="K25" i="81" s="1"/>
  <c r="H15" i="81"/>
  <c r="H14" i="81" s="1"/>
  <c r="H25" i="81" s="1"/>
  <c r="P15" i="81"/>
  <c r="P14" i="81" s="1"/>
  <c r="P25" i="81" s="1"/>
  <c r="L15" i="81"/>
  <c r="L14" i="81" s="1"/>
  <c r="L25" i="81" s="1"/>
  <c r="M15" i="81"/>
  <c r="M14" i="81" s="1"/>
  <c r="M25" i="81" s="1"/>
  <c r="N15" i="81"/>
  <c r="N14" i="81" s="1"/>
  <c r="N25" i="81" s="1"/>
  <c r="O15" i="81"/>
  <c r="O14" i="81" s="1"/>
  <c r="O25" i="81" s="1"/>
  <c r="Q26" i="81" l="1"/>
  <c r="R32" i="81"/>
  <c r="R26" i="81"/>
  <c r="M32" i="81"/>
  <c r="M26" i="81"/>
  <c r="S22" i="81"/>
  <c r="U22" i="81" s="1"/>
  <c r="G15" i="81"/>
  <c r="N32" i="81"/>
  <c r="N26" i="81"/>
  <c r="P26" i="81"/>
  <c r="P32" i="81"/>
  <c r="L32" i="81"/>
  <c r="L26" i="81"/>
  <c r="K32" i="81"/>
  <c r="K26" i="81"/>
  <c r="I26" i="81"/>
  <c r="I32" i="81"/>
  <c r="O32" i="81"/>
  <c r="O26" i="81"/>
  <c r="H26" i="81"/>
  <c r="H32" i="81"/>
  <c r="J26" i="81"/>
  <c r="J32" i="81"/>
  <c r="L33" i="81" l="1"/>
  <c r="G14" i="81"/>
  <c r="S15" i="81"/>
  <c r="R33" i="81"/>
  <c r="P33" i="81"/>
  <c r="K33" i="81"/>
  <c r="N33" i="81"/>
  <c r="J33" i="81"/>
  <c r="H33" i="81"/>
  <c r="M33" i="81"/>
  <c r="O33" i="81"/>
  <c r="I33" i="81"/>
  <c r="S14" i="81" l="1"/>
  <c r="G25" i="81"/>
  <c r="G26" i="81" l="1"/>
  <c r="G32" i="81"/>
  <c r="S25" i="81"/>
  <c r="S26" i="81" s="1"/>
  <c r="G58" i="81"/>
  <c r="G59" i="81" l="1"/>
  <c r="G57" i="81"/>
  <c r="G33" i="81"/>
  <c r="G43" i="81"/>
  <c r="G47" i="81" l="1"/>
  <c r="G49" i="81" l="1"/>
  <c r="G50" i="81" l="1"/>
  <c r="I38" i="81" l="1"/>
  <c r="K38" i="81"/>
  <c r="R38" i="81"/>
  <c r="Q38" i="81"/>
  <c r="P38" i="81"/>
  <c r="O38" i="81"/>
  <c r="N38" i="81"/>
  <c r="M38" i="81"/>
  <c r="J38" i="81"/>
  <c r="L38" i="81"/>
  <c r="O58" i="81" l="1"/>
  <c r="O43" i="81"/>
  <c r="O47" i="81" s="1"/>
  <c r="O49" i="81" s="1"/>
  <c r="M58" i="81"/>
  <c r="M43" i="81"/>
  <c r="M47" i="81" s="1"/>
  <c r="M49" i="81" s="1"/>
  <c r="K58" i="81"/>
  <c r="K43" i="81"/>
  <c r="K47" i="81" s="1"/>
  <c r="K49" i="81" s="1"/>
  <c r="N58" i="81"/>
  <c r="N62" i="81"/>
  <c r="N43" i="81"/>
  <c r="N47" i="81" s="1"/>
  <c r="N49" i="81" s="1"/>
  <c r="H38" i="81"/>
  <c r="S41" i="81"/>
  <c r="U41" i="81" s="1"/>
  <c r="P62" i="81"/>
  <c r="P58" i="81"/>
  <c r="P43" i="81"/>
  <c r="P47" i="81" s="1"/>
  <c r="P49" i="81" s="1"/>
  <c r="L58" i="81"/>
  <c r="L43" i="81"/>
  <c r="L47" i="81" s="1"/>
  <c r="L49" i="81" s="1"/>
  <c r="R58" i="81"/>
  <c r="R43" i="81"/>
  <c r="R47" i="81" s="1"/>
  <c r="R49" i="81" s="1"/>
  <c r="J62" i="81"/>
  <c r="J58" i="81"/>
  <c r="J43" i="81"/>
  <c r="J47" i="81" s="1"/>
  <c r="J49" i="81" s="1"/>
  <c r="I62" i="81"/>
  <c r="I58" i="81"/>
  <c r="I43" i="81"/>
  <c r="I47" i="81" s="1"/>
  <c r="I49" i="81" s="1"/>
  <c r="O62" i="81"/>
  <c r="R62" i="81"/>
  <c r="K62" i="81"/>
  <c r="L62" i="81"/>
  <c r="L63" i="81" l="1"/>
  <c r="L61" i="81"/>
  <c r="R63" i="81"/>
  <c r="R61" i="81"/>
  <c r="K61" i="81"/>
  <c r="K63" i="81"/>
  <c r="O63" i="81"/>
  <c r="O61" i="81"/>
  <c r="G62" i="81"/>
  <c r="G52" i="81"/>
  <c r="J52" i="81"/>
  <c r="J53" i="81" s="1"/>
  <c r="J50" i="81"/>
  <c r="N59" i="81"/>
  <c r="N57" i="81"/>
  <c r="I52" i="81"/>
  <c r="I53" i="81" s="1"/>
  <c r="I50" i="81"/>
  <c r="K52" i="81"/>
  <c r="K53" i="81" s="1"/>
  <c r="K50" i="81"/>
  <c r="J63" i="81"/>
  <c r="J61" i="81"/>
  <c r="I63" i="81"/>
  <c r="I61" i="81"/>
  <c r="P63" i="81"/>
  <c r="P61" i="81"/>
  <c r="H58" i="81"/>
  <c r="H62" i="81"/>
  <c r="S38" i="81"/>
  <c r="H43" i="81"/>
  <c r="N63" i="81"/>
  <c r="N61" i="81"/>
  <c r="N52" i="81"/>
  <c r="N53" i="81" s="1"/>
  <c r="N50" i="81"/>
  <c r="J59" i="81"/>
  <c r="J57" i="81"/>
  <c r="R52" i="81"/>
  <c r="R53" i="81" s="1"/>
  <c r="R50" i="81"/>
  <c r="K59" i="81"/>
  <c r="K57" i="81"/>
  <c r="L52" i="81"/>
  <c r="L53" i="81" s="1"/>
  <c r="L50" i="81"/>
  <c r="M59" i="81"/>
  <c r="M57" i="81"/>
  <c r="L59" i="81"/>
  <c r="L57" i="81"/>
  <c r="O52" i="81"/>
  <c r="O53" i="81" s="1"/>
  <c r="O50" i="81"/>
  <c r="M50" i="81"/>
  <c r="O59" i="81"/>
  <c r="O57" i="81"/>
  <c r="P59" i="81"/>
  <c r="P57" i="81"/>
  <c r="I59" i="81"/>
  <c r="I57" i="81"/>
  <c r="R59" i="81"/>
  <c r="R57" i="81"/>
  <c r="P52" i="81"/>
  <c r="P53" i="81" s="1"/>
  <c r="P50" i="81"/>
  <c r="H47" i="81" l="1"/>
  <c r="G63" i="81"/>
  <c r="G61" i="81"/>
  <c r="H63" i="81"/>
  <c r="H61" i="81"/>
  <c r="G53" i="81"/>
  <c r="H59" i="81"/>
  <c r="H57" i="81"/>
  <c r="H49" i="81" l="1"/>
  <c r="H50" i="81" l="1"/>
  <c r="H52" i="81"/>
  <c r="H53" i="81" l="1"/>
  <c r="Q58" i="81" l="1"/>
  <c r="S31" i="81"/>
  <c r="Q32" i="81"/>
  <c r="Q62" i="81"/>
  <c r="Q63" i="81" l="1"/>
  <c r="Q61" i="81"/>
  <c r="Q59" i="81"/>
  <c r="Q57" i="81"/>
  <c r="Q33" i="81"/>
  <c r="Q43" i="81"/>
  <c r="S32" i="81"/>
  <c r="S33" i="81" s="1"/>
  <c r="S58" i="81"/>
  <c r="S59" i="81" l="1"/>
  <c r="S57" i="81"/>
  <c r="Q47" i="81"/>
  <c r="S43" i="81"/>
  <c r="Q49" i="81" l="1"/>
  <c r="S47" i="81"/>
  <c r="Q52" i="81" l="1"/>
  <c r="Q53" i="81" s="1"/>
  <c r="Q50" i="81"/>
  <c r="S49" i="81"/>
  <c r="S50" i="81" s="1"/>
  <c r="M62" i="81" l="1"/>
  <c r="S51" i="81"/>
  <c r="M52" i="81"/>
  <c r="M53" i="81" l="1"/>
  <c r="S52" i="81"/>
  <c r="S53" i="81" s="1"/>
  <c r="U51" i="81"/>
  <c r="S62" i="81"/>
  <c r="M63" i="81"/>
  <c r="M61" i="81"/>
  <c r="S63" i="81" l="1"/>
  <c r="S61" i="81"/>
  <c r="X52" i="94" l="1"/>
  <c r="W52" i="94"/>
  <c r="V52" i="94"/>
  <c r="U52" i="94"/>
  <c r="T52" i="94"/>
  <c r="S52" i="94"/>
  <c r="R52" i="94"/>
  <c r="Q52" i="94"/>
  <c r="P52" i="94"/>
  <c r="O52" i="94"/>
  <c r="N52" i="94"/>
  <c r="M52" i="94"/>
  <c r="CO125" i="97"/>
  <c r="CN125" i="97"/>
  <c r="CM125" i="97"/>
  <c r="CL125" i="97"/>
  <c r="CK125" i="97"/>
  <c r="CJ125" i="97"/>
  <c r="CI125" i="97"/>
  <c r="CH125" i="97"/>
  <c r="CG125" i="97"/>
  <c r="CF125" i="97"/>
  <c r="CE125" i="97"/>
  <c r="CO124" i="97"/>
  <c r="CN124" i="97"/>
  <c r="CM124" i="97"/>
  <c r="CL124" i="97"/>
  <c r="CK124" i="97"/>
  <c r="CJ124" i="97"/>
  <c r="CI124" i="97"/>
  <c r="CH124" i="97"/>
  <c r="CG124" i="97"/>
  <c r="CF124" i="97"/>
  <c r="CE124" i="97"/>
  <c r="CO123" i="97"/>
  <c r="CN123" i="97"/>
  <c r="CM123" i="97"/>
  <c r="CL123" i="97"/>
  <c r="CK123" i="97"/>
  <c r="CJ123" i="97"/>
  <c r="CI123" i="97"/>
  <c r="CH123" i="97"/>
  <c r="CG123" i="97"/>
  <c r="CF123" i="97"/>
  <c r="CE123" i="97"/>
  <c r="CO122" i="97"/>
  <c r="CN122" i="97"/>
  <c r="CM122" i="97"/>
  <c r="CL122" i="97"/>
  <c r="CK122" i="97"/>
  <c r="CJ122" i="97"/>
  <c r="CI122" i="97"/>
  <c r="CH122" i="97"/>
  <c r="CG122" i="97"/>
  <c r="CF122" i="97"/>
  <c r="CE122" i="97"/>
  <c r="CO121" i="97"/>
  <c r="CN121" i="97"/>
  <c r="CM121" i="97"/>
  <c r="CL121" i="97"/>
  <c r="CK121" i="97"/>
  <c r="CJ121" i="97"/>
  <c r="CI121" i="97"/>
  <c r="CH121" i="97"/>
  <c r="CG121" i="97"/>
  <c r="CF121" i="97"/>
  <c r="CE121" i="97"/>
  <c r="CO120" i="97"/>
  <c r="CN120" i="97"/>
  <c r="CM120" i="97"/>
  <c r="CL120" i="97"/>
  <c r="CK120" i="97"/>
  <c r="CJ120" i="97"/>
  <c r="CI120" i="97"/>
  <c r="CH120" i="97"/>
  <c r="CG120" i="97"/>
  <c r="CF120" i="97"/>
  <c r="CE120" i="97"/>
  <c r="CO119" i="97"/>
  <c r="CN119" i="97"/>
  <c r="CM119" i="97"/>
  <c r="CL119" i="97"/>
  <c r="CK119" i="97"/>
  <c r="CJ119" i="97"/>
  <c r="CI119" i="97"/>
  <c r="CH119" i="97"/>
  <c r="CG119" i="97"/>
  <c r="CF119" i="97"/>
  <c r="CE119" i="97"/>
  <c r="CO118" i="97"/>
  <c r="CN118" i="97"/>
  <c r="CM118" i="97"/>
  <c r="CL118" i="97"/>
  <c r="CK118" i="97"/>
  <c r="CJ118" i="97"/>
  <c r="CI118" i="97"/>
  <c r="CH118" i="97"/>
  <c r="CG118" i="97"/>
  <c r="CF118" i="97"/>
  <c r="CE118" i="97"/>
  <c r="CO117" i="97"/>
  <c r="CN117" i="97"/>
  <c r="CM117" i="97"/>
  <c r="CL117" i="97"/>
  <c r="CK117" i="97"/>
  <c r="CJ117" i="97"/>
  <c r="CI117" i="97"/>
  <c r="CH117" i="97"/>
  <c r="CG117" i="97"/>
  <c r="CF117" i="97"/>
  <c r="CE117" i="97"/>
  <c r="CO116" i="97"/>
  <c r="CN116" i="97"/>
  <c r="CM116" i="97"/>
  <c r="CL116" i="97"/>
  <c r="CK116" i="97"/>
  <c r="CJ116" i="97"/>
  <c r="CI116" i="97"/>
  <c r="CH116" i="97"/>
  <c r="CG116" i="97"/>
  <c r="CG115" i="97" s="1"/>
  <c r="CF116" i="97"/>
  <c r="CE116" i="97"/>
  <c r="CO113" i="97"/>
  <c r="CN113" i="97"/>
  <c r="CM113" i="97"/>
  <c r="CL113" i="97"/>
  <c r="CK113" i="97"/>
  <c r="CJ113" i="97"/>
  <c r="CI113" i="97"/>
  <c r="CH113" i="97"/>
  <c r="CG113" i="97"/>
  <c r="CF113" i="97"/>
  <c r="CE113" i="97"/>
  <c r="CO112" i="97"/>
  <c r="CN112" i="97"/>
  <c r="CM112" i="97"/>
  <c r="CL112" i="97"/>
  <c r="CK112" i="97"/>
  <c r="CJ112" i="97"/>
  <c r="CI112" i="97"/>
  <c r="CH112" i="97"/>
  <c r="CG112" i="97"/>
  <c r="CF112" i="97"/>
  <c r="CE112" i="97"/>
  <c r="CO111" i="97"/>
  <c r="CN111" i="97"/>
  <c r="CM111" i="97"/>
  <c r="CL111" i="97"/>
  <c r="CK111" i="97"/>
  <c r="CJ111" i="97"/>
  <c r="CI111" i="97"/>
  <c r="CH111" i="97"/>
  <c r="CG111" i="97"/>
  <c r="CF111" i="97"/>
  <c r="CE111" i="97"/>
  <c r="CO110" i="97"/>
  <c r="CN110" i="97"/>
  <c r="CM110" i="97"/>
  <c r="CL110" i="97"/>
  <c r="CK110" i="97"/>
  <c r="CJ110" i="97"/>
  <c r="CI110" i="97"/>
  <c r="CH110" i="97"/>
  <c r="CG110" i="97"/>
  <c r="CF110" i="97"/>
  <c r="CE110" i="97"/>
  <c r="CO109" i="97"/>
  <c r="CN109" i="97"/>
  <c r="CM109" i="97"/>
  <c r="CL109" i="97"/>
  <c r="CK109" i="97"/>
  <c r="CJ109" i="97"/>
  <c r="CI109" i="97"/>
  <c r="CH109" i="97"/>
  <c r="CG109" i="97"/>
  <c r="CF109" i="97"/>
  <c r="CE109" i="97"/>
  <c r="CO108" i="97"/>
  <c r="CN108" i="97"/>
  <c r="CM108" i="97"/>
  <c r="CL108" i="97"/>
  <c r="CK108" i="97"/>
  <c r="CJ108" i="97"/>
  <c r="CI108" i="97"/>
  <c r="CH108" i="97"/>
  <c r="CG108" i="97"/>
  <c r="CF108" i="97"/>
  <c r="CE108" i="97"/>
  <c r="CO107" i="97"/>
  <c r="CN107" i="97"/>
  <c r="CM107" i="97"/>
  <c r="CL107" i="97"/>
  <c r="CK107" i="97"/>
  <c r="CJ107" i="97"/>
  <c r="CI107" i="97"/>
  <c r="CH107" i="97"/>
  <c r="CG107" i="97"/>
  <c r="CF107" i="97"/>
  <c r="CE107" i="97"/>
  <c r="CO106" i="97"/>
  <c r="CN106" i="97"/>
  <c r="CM106" i="97"/>
  <c r="CL106" i="97"/>
  <c r="CK106" i="97"/>
  <c r="CJ106" i="97"/>
  <c r="CI106" i="97"/>
  <c r="CH106" i="97"/>
  <c r="CG106" i="97"/>
  <c r="CF106" i="97"/>
  <c r="CE106" i="97"/>
  <c r="CO105" i="97"/>
  <c r="CN105" i="97"/>
  <c r="CM105" i="97"/>
  <c r="CL105" i="97"/>
  <c r="CK105" i="97"/>
  <c r="CJ105" i="97"/>
  <c r="CI105" i="97"/>
  <c r="CH105" i="97"/>
  <c r="CG105" i="97"/>
  <c r="CF105" i="97"/>
  <c r="CE105" i="97"/>
  <c r="CO104" i="97"/>
  <c r="CN104" i="97"/>
  <c r="CM104" i="97"/>
  <c r="CL104" i="97"/>
  <c r="CK104" i="97"/>
  <c r="CJ104" i="97"/>
  <c r="CI104" i="97"/>
  <c r="CH104" i="97"/>
  <c r="CG104" i="97"/>
  <c r="CF104" i="97"/>
  <c r="CE104" i="97"/>
  <c r="CO103" i="97"/>
  <c r="CN103" i="97"/>
  <c r="CM103" i="97"/>
  <c r="CL103" i="97"/>
  <c r="CK103" i="97"/>
  <c r="CJ103" i="97"/>
  <c r="CI103" i="97"/>
  <c r="CI99" i="97" s="1"/>
  <c r="CH103" i="97"/>
  <c r="CG103" i="97"/>
  <c r="CF103" i="97"/>
  <c r="CE103" i="97"/>
  <c r="CO102" i="97"/>
  <c r="CN102" i="97"/>
  <c r="CM102" i="97"/>
  <c r="CL102" i="97"/>
  <c r="CK102" i="97"/>
  <c r="CJ102" i="97"/>
  <c r="CI102" i="97"/>
  <c r="CH102" i="97"/>
  <c r="CG102" i="97"/>
  <c r="CF102" i="97"/>
  <c r="CE102" i="97"/>
  <c r="CO101" i="97"/>
  <c r="CN101" i="97"/>
  <c r="CM101" i="97"/>
  <c r="CL101" i="97"/>
  <c r="CK101" i="97"/>
  <c r="CJ101" i="97"/>
  <c r="CI101" i="97"/>
  <c r="CH101" i="97"/>
  <c r="CG101" i="97"/>
  <c r="CF101" i="97"/>
  <c r="CE101" i="97"/>
  <c r="CO100" i="97"/>
  <c r="CN100" i="97"/>
  <c r="CM100" i="97"/>
  <c r="CL100" i="97"/>
  <c r="CK100" i="97"/>
  <c r="CJ100" i="97"/>
  <c r="CI100" i="97"/>
  <c r="CH100" i="97"/>
  <c r="CG100" i="97"/>
  <c r="CF100" i="97"/>
  <c r="CE100" i="97"/>
  <c r="CO98" i="97"/>
  <c r="CN98" i="97"/>
  <c r="CM98" i="97"/>
  <c r="CL98" i="97"/>
  <c r="CK98" i="97"/>
  <c r="CJ98" i="97"/>
  <c r="CI98" i="97"/>
  <c r="CH98" i="97"/>
  <c r="CG98" i="97"/>
  <c r="CF98" i="97"/>
  <c r="CE98" i="97"/>
  <c r="CO97" i="97"/>
  <c r="CN97" i="97"/>
  <c r="CM97" i="97"/>
  <c r="CL97" i="97"/>
  <c r="CK97" i="97"/>
  <c r="CJ97" i="97"/>
  <c r="CI97" i="97"/>
  <c r="CH97" i="97"/>
  <c r="CG97" i="97"/>
  <c r="CF97" i="97"/>
  <c r="CE97" i="97"/>
  <c r="CO96" i="97"/>
  <c r="CN96" i="97"/>
  <c r="CM96" i="97"/>
  <c r="CL96" i="97"/>
  <c r="CK96" i="97"/>
  <c r="CJ96" i="97"/>
  <c r="CI96" i="97"/>
  <c r="CH96" i="97"/>
  <c r="CG96" i="97"/>
  <c r="CF96" i="97"/>
  <c r="CE96" i="97"/>
  <c r="CO95" i="97"/>
  <c r="CN95" i="97"/>
  <c r="CM95" i="97"/>
  <c r="CL95" i="97"/>
  <c r="CK95" i="97"/>
  <c r="CJ95" i="97"/>
  <c r="CI95" i="97"/>
  <c r="CH95" i="97"/>
  <c r="CG95" i="97"/>
  <c r="CF95" i="97"/>
  <c r="CE95" i="97"/>
  <c r="CO94" i="97"/>
  <c r="CN94" i="97"/>
  <c r="CM94" i="97"/>
  <c r="CL94" i="97"/>
  <c r="CK94" i="97"/>
  <c r="CJ94" i="97"/>
  <c r="CI94" i="97"/>
  <c r="CH94" i="97"/>
  <c r="CG94" i="97"/>
  <c r="CF94" i="97"/>
  <c r="CE94" i="97"/>
  <c r="CO93" i="97"/>
  <c r="CN93" i="97"/>
  <c r="CM93" i="97"/>
  <c r="CL93" i="97"/>
  <c r="CK93" i="97"/>
  <c r="CJ93" i="97"/>
  <c r="CI93" i="97"/>
  <c r="CH93" i="97"/>
  <c r="CG93" i="97"/>
  <c r="CF93" i="97"/>
  <c r="CE93" i="97"/>
  <c r="CO92" i="97"/>
  <c r="CN92" i="97"/>
  <c r="CM92" i="97"/>
  <c r="CL92" i="97"/>
  <c r="CK92" i="97"/>
  <c r="CJ92" i="97"/>
  <c r="CI92" i="97"/>
  <c r="CH92" i="97"/>
  <c r="CG92" i="97"/>
  <c r="CF92" i="97"/>
  <c r="CE92" i="97"/>
  <c r="CO91" i="97"/>
  <c r="CN91" i="97"/>
  <c r="CM91" i="97"/>
  <c r="CL91" i="97"/>
  <c r="CK91" i="97"/>
  <c r="CJ91" i="97"/>
  <c r="CI91" i="97"/>
  <c r="CH91" i="97"/>
  <c r="CG91" i="97"/>
  <c r="CF91" i="97"/>
  <c r="CE91" i="97"/>
  <c r="CO90" i="97"/>
  <c r="CN90" i="97"/>
  <c r="CM90" i="97"/>
  <c r="CL90" i="97"/>
  <c r="CK90" i="97"/>
  <c r="CJ90" i="97"/>
  <c r="CI90" i="97"/>
  <c r="CH90" i="97"/>
  <c r="CG90" i="97"/>
  <c r="CF90" i="97"/>
  <c r="CE90" i="97"/>
  <c r="CO89" i="97"/>
  <c r="CN89" i="97"/>
  <c r="CM89" i="97"/>
  <c r="CL89" i="97"/>
  <c r="CK89" i="97"/>
  <c r="CJ89" i="97"/>
  <c r="CI89" i="97"/>
  <c r="CI83" i="97" s="1"/>
  <c r="CH89" i="97"/>
  <c r="CG89" i="97"/>
  <c r="CF89" i="97"/>
  <c r="CE89" i="97"/>
  <c r="CO88" i="97"/>
  <c r="CN88" i="97"/>
  <c r="CM88" i="97"/>
  <c r="CL88" i="97"/>
  <c r="CK88" i="97"/>
  <c r="CJ88" i="97"/>
  <c r="CI88" i="97"/>
  <c r="CH88" i="97"/>
  <c r="CG88" i="97"/>
  <c r="CF88" i="97"/>
  <c r="CE88" i="97"/>
  <c r="CO87" i="97"/>
  <c r="CN87" i="97"/>
  <c r="CM87" i="97"/>
  <c r="CL87" i="97"/>
  <c r="CK87" i="97"/>
  <c r="CJ87" i="97"/>
  <c r="CI87" i="97"/>
  <c r="CH87" i="97"/>
  <c r="CG87" i="97"/>
  <c r="CF87" i="97"/>
  <c r="CE87" i="97"/>
  <c r="CO86" i="97"/>
  <c r="CN86" i="97"/>
  <c r="CM86" i="97"/>
  <c r="CL86" i="97"/>
  <c r="CK86" i="97"/>
  <c r="CJ86" i="97"/>
  <c r="CI86" i="97"/>
  <c r="CH86" i="97"/>
  <c r="CG86" i="97"/>
  <c r="CF86" i="97"/>
  <c r="CE86" i="97"/>
  <c r="CO85" i="97"/>
  <c r="CN85" i="97"/>
  <c r="CM85" i="97"/>
  <c r="CL85" i="97"/>
  <c r="CK85" i="97"/>
  <c r="CJ85" i="97"/>
  <c r="CI85" i="97"/>
  <c r="CH85" i="97"/>
  <c r="CG85" i="97"/>
  <c r="CF85" i="97"/>
  <c r="CE85" i="97"/>
  <c r="CO84" i="97"/>
  <c r="CN84" i="97"/>
  <c r="CM84" i="97"/>
  <c r="CL84" i="97"/>
  <c r="CK84" i="97"/>
  <c r="CJ84" i="97"/>
  <c r="CI84" i="97"/>
  <c r="CH84" i="97"/>
  <c r="CG84" i="97"/>
  <c r="CF84" i="97"/>
  <c r="CE84" i="97"/>
  <c r="CO80" i="97"/>
  <c r="CN80" i="97"/>
  <c r="CM80" i="97"/>
  <c r="CL80" i="97"/>
  <c r="CK80" i="97"/>
  <c r="CJ80" i="97"/>
  <c r="CI80" i="97"/>
  <c r="CH80" i="97"/>
  <c r="CG80" i="97"/>
  <c r="CF80" i="97"/>
  <c r="CE80" i="97"/>
  <c r="CO79" i="97"/>
  <c r="CN79" i="97"/>
  <c r="CM79" i="97"/>
  <c r="CL79" i="97"/>
  <c r="CK79" i="97"/>
  <c r="CJ79" i="97"/>
  <c r="CI79" i="97"/>
  <c r="CH79" i="97"/>
  <c r="CH76" i="97" s="1"/>
  <c r="CG79" i="97"/>
  <c r="CF79" i="97"/>
  <c r="CE79" i="97"/>
  <c r="CO78" i="97"/>
  <c r="CN78" i="97"/>
  <c r="CM78" i="97"/>
  <c r="CL78" i="97"/>
  <c r="CK78" i="97"/>
  <c r="CJ78" i="97"/>
  <c r="CI78" i="97"/>
  <c r="CH78" i="97"/>
  <c r="CG78" i="97"/>
  <c r="CF78" i="97"/>
  <c r="CF76" i="97" s="1"/>
  <c r="CE78" i="97"/>
  <c r="CO77" i="97"/>
  <c r="CN77" i="97"/>
  <c r="CN76" i="97" s="1"/>
  <c r="CM77" i="97"/>
  <c r="CM76" i="97" s="1"/>
  <c r="CL77" i="97"/>
  <c r="CK77" i="97"/>
  <c r="CK76" i="97" s="1"/>
  <c r="CJ77" i="97"/>
  <c r="CI77" i="97"/>
  <c r="CI76" i="97" s="1"/>
  <c r="CH77" i="97"/>
  <c r="CG77" i="97"/>
  <c r="CG76" i="97" s="1"/>
  <c r="CF77" i="97"/>
  <c r="CE77" i="97"/>
  <c r="CO75" i="97"/>
  <c r="CN75" i="97"/>
  <c r="CM75" i="97"/>
  <c r="CL75" i="97"/>
  <c r="CK75" i="97"/>
  <c r="CJ75" i="97"/>
  <c r="CI75" i="97"/>
  <c r="CH75" i="97"/>
  <c r="CG75" i="97"/>
  <c r="CF75" i="97"/>
  <c r="CE75" i="97"/>
  <c r="CO74" i="97"/>
  <c r="CN74" i="97"/>
  <c r="CM74" i="97"/>
  <c r="CL74" i="97"/>
  <c r="CK74" i="97"/>
  <c r="CJ74" i="97"/>
  <c r="CI74" i="97"/>
  <c r="CH74" i="97"/>
  <c r="CG74" i="97"/>
  <c r="CF74" i="97"/>
  <c r="CE74" i="97"/>
  <c r="CO73" i="97"/>
  <c r="CN73" i="97"/>
  <c r="CM73" i="97"/>
  <c r="CL73" i="97"/>
  <c r="CK73" i="97"/>
  <c r="CJ73" i="97"/>
  <c r="CI73" i="97"/>
  <c r="CH73" i="97"/>
  <c r="CG73" i="97"/>
  <c r="CF73" i="97"/>
  <c r="CE73" i="97"/>
  <c r="CO72" i="97"/>
  <c r="CN72" i="97"/>
  <c r="CM72" i="97"/>
  <c r="CL72" i="97"/>
  <c r="CK72" i="97"/>
  <c r="CJ72" i="97"/>
  <c r="CI72" i="97"/>
  <c r="CH72" i="97"/>
  <c r="CG72" i="97"/>
  <c r="CF72" i="97"/>
  <c r="CE72" i="97"/>
  <c r="CO71" i="97"/>
  <c r="CN71" i="97"/>
  <c r="CM71" i="97"/>
  <c r="CL71" i="97"/>
  <c r="CK71" i="97"/>
  <c r="CK69" i="97" s="1"/>
  <c r="CJ71" i="97"/>
  <c r="CJ69" i="97" s="1"/>
  <c r="CI71" i="97"/>
  <c r="CH71" i="97"/>
  <c r="CG71" i="97"/>
  <c r="CG69" i="97" s="1"/>
  <c r="CF71" i="97"/>
  <c r="CE71" i="97"/>
  <c r="CO70" i="97"/>
  <c r="CN70" i="97"/>
  <c r="CM70" i="97"/>
  <c r="CL70" i="97"/>
  <c r="CK70" i="97"/>
  <c r="CJ70" i="97"/>
  <c r="CI70" i="97"/>
  <c r="CH70" i="97"/>
  <c r="CG70" i="97"/>
  <c r="CF70" i="97"/>
  <c r="CE70" i="97"/>
  <c r="CE69" i="97" s="1"/>
  <c r="CO68" i="97"/>
  <c r="CN68" i="97"/>
  <c r="CM68" i="97"/>
  <c r="CL68" i="97"/>
  <c r="CK68" i="97"/>
  <c r="CJ68" i="97"/>
  <c r="CI68" i="97"/>
  <c r="CH68" i="97"/>
  <c r="CG68" i="97"/>
  <c r="CF68" i="97"/>
  <c r="CE68" i="97"/>
  <c r="CO67" i="97"/>
  <c r="CO66" i="97" s="1"/>
  <c r="CN67" i="97"/>
  <c r="CN66" i="97" s="1"/>
  <c r="CM67" i="97"/>
  <c r="CM66" i="97" s="1"/>
  <c r="CL67" i="97"/>
  <c r="CL66" i="97" s="1"/>
  <c r="CK67" i="97"/>
  <c r="CK66" i="97" s="1"/>
  <c r="CJ67" i="97"/>
  <c r="CJ66" i="97" s="1"/>
  <c r="CI67" i="97"/>
  <c r="CI66" i="97" s="1"/>
  <c r="CH67" i="97"/>
  <c r="CG67" i="97"/>
  <c r="CF67" i="97"/>
  <c r="CE67" i="97"/>
  <c r="CG66" i="97"/>
  <c r="CF66" i="97"/>
  <c r="CE66" i="97"/>
  <c r="CO65" i="97"/>
  <c r="CN65" i="97"/>
  <c r="CM65" i="97"/>
  <c r="CL65" i="97"/>
  <c r="CL63" i="97" s="1"/>
  <c r="CK65" i="97"/>
  <c r="CJ65" i="97"/>
  <c r="CI65" i="97"/>
  <c r="CH65" i="97"/>
  <c r="CG65" i="97"/>
  <c r="CF65" i="97"/>
  <c r="CE65" i="97"/>
  <c r="CO64" i="97"/>
  <c r="CN64" i="97"/>
  <c r="CM64" i="97"/>
  <c r="CM63" i="97" s="1"/>
  <c r="CL64" i="97"/>
  <c r="CK64" i="97"/>
  <c r="CJ64" i="97"/>
  <c r="CJ63" i="97" s="1"/>
  <c r="CI64" i="97"/>
  <c r="CH64" i="97"/>
  <c r="CH63" i="97" s="1"/>
  <c r="CG64" i="97"/>
  <c r="CG63" i="97" s="1"/>
  <c r="CF64" i="97"/>
  <c r="CF63" i="97" s="1"/>
  <c r="CE64" i="97"/>
  <c r="CE63" i="97" s="1"/>
  <c r="CO62" i="97"/>
  <c r="CN62" i="97"/>
  <c r="CM62" i="97"/>
  <c r="CL62" i="97"/>
  <c r="CK62" i="97"/>
  <c r="CJ62" i="97"/>
  <c r="CI62" i="97"/>
  <c r="CH62" i="97"/>
  <c r="CG62" i="97"/>
  <c r="CF62" i="97"/>
  <c r="CE62" i="97"/>
  <c r="CO61" i="97"/>
  <c r="CN61" i="97"/>
  <c r="CM61" i="97"/>
  <c r="CL61" i="97"/>
  <c r="CK61" i="97"/>
  <c r="CJ61" i="97"/>
  <c r="CI61" i="97"/>
  <c r="CH61" i="97"/>
  <c r="CG61" i="97"/>
  <c r="CF61" i="97"/>
  <c r="CE61" i="97"/>
  <c r="CO60" i="97"/>
  <c r="CN60" i="97"/>
  <c r="CM60" i="97"/>
  <c r="CL60" i="97"/>
  <c r="CK60" i="97"/>
  <c r="CJ60" i="97"/>
  <c r="CI60" i="97"/>
  <c r="CH60" i="97"/>
  <c r="CG60" i="97"/>
  <c r="CF60" i="97"/>
  <c r="CE60" i="97"/>
  <c r="CO59" i="97"/>
  <c r="CN59" i="97"/>
  <c r="CM59" i="97"/>
  <c r="CL59" i="97"/>
  <c r="CK59" i="97"/>
  <c r="CK57" i="97" s="1"/>
  <c r="CJ59" i="97"/>
  <c r="CI59" i="97"/>
  <c r="CI57" i="97" s="1"/>
  <c r="CH59" i="97"/>
  <c r="CG59" i="97"/>
  <c r="CF59" i="97"/>
  <c r="CE59" i="97"/>
  <c r="CO58" i="97"/>
  <c r="CN58" i="97"/>
  <c r="CM58" i="97"/>
  <c r="CL58" i="97"/>
  <c r="CK58" i="97"/>
  <c r="CJ58" i="97"/>
  <c r="CJ57" i="97" s="1"/>
  <c r="CI58" i="97"/>
  <c r="CH58" i="97"/>
  <c r="CH57" i="97" s="1"/>
  <c r="CG58" i="97"/>
  <c r="CG57" i="97" s="1"/>
  <c r="CF58" i="97"/>
  <c r="CF57" i="97" s="1"/>
  <c r="CE58" i="97"/>
  <c r="CO57" i="97"/>
  <c r="CN57" i="97"/>
  <c r="CN55" i="97" s="1"/>
  <c r="CN54" i="97" s="1"/>
  <c r="CO56" i="97"/>
  <c r="CN56" i="97"/>
  <c r="CM56" i="97"/>
  <c r="CL56" i="97"/>
  <c r="CK56" i="97"/>
  <c r="CJ56" i="97"/>
  <c r="CI56" i="97"/>
  <c r="CH56" i="97"/>
  <c r="CG56" i="97"/>
  <c r="CF56" i="97"/>
  <c r="CE56" i="97"/>
  <c r="CO55" i="97"/>
  <c r="CO54" i="97" s="1"/>
  <c r="CO53" i="97"/>
  <c r="CN53" i="97"/>
  <c r="CM53" i="97"/>
  <c r="CL53" i="97"/>
  <c r="CK53" i="97"/>
  <c r="CJ53" i="97"/>
  <c r="CI53" i="97"/>
  <c r="CH53" i="97"/>
  <c r="CG53" i="97"/>
  <c r="CF53" i="97"/>
  <c r="CE53" i="97"/>
  <c r="CO52" i="97"/>
  <c r="CO51" i="97" s="1"/>
  <c r="CN52" i="97"/>
  <c r="CN51" i="97" s="1"/>
  <c r="CM52" i="97"/>
  <c r="CL52" i="97"/>
  <c r="CK52" i="97"/>
  <c r="CK51" i="97" s="1"/>
  <c r="CJ52" i="97"/>
  <c r="CI52" i="97"/>
  <c r="CH52" i="97"/>
  <c r="CG52" i="97"/>
  <c r="CF52" i="97"/>
  <c r="CE52" i="97"/>
  <c r="CL51" i="97"/>
  <c r="CJ51" i="97"/>
  <c r="CI51" i="97"/>
  <c r="CO50" i="97"/>
  <c r="CN50" i="97"/>
  <c r="CM50" i="97"/>
  <c r="CM48" i="97" s="1"/>
  <c r="CL50" i="97"/>
  <c r="CK50" i="97"/>
  <c r="CJ50" i="97"/>
  <c r="CI50" i="97"/>
  <c r="CH50" i="97"/>
  <c r="CG50" i="97"/>
  <c r="CF50" i="97"/>
  <c r="CE50" i="97"/>
  <c r="CO49" i="97"/>
  <c r="CN49" i="97"/>
  <c r="CM49" i="97"/>
  <c r="CL49" i="97"/>
  <c r="CL48" i="97" s="1"/>
  <c r="CK49" i="97"/>
  <c r="CK48" i="97" s="1"/>
  <c r="CJ49" i="97"/>
  <c r="CJ48" i="97" s="1"/>
  <c r="CI49" i="97"/>
  <c r="CI48" i="97" s="1"/>
  <c r="CH49" i="97"/>
  <c r="CH48" i="97" s="1"/>
  <c r="CG49" i="97"/>
  <c r="CG48" i="97" s="1"/>
  <c r="CF49" i="97"/>
  <c r="CF48" i="97" s="1"/>
  <c r="CE49" i="97"/>
  <c r="CE48" i="97" s="1"/>
  <c r="CO47" i="97"/>
  <c r="CN47" i="97"/>
  <c r="CM47" i="97"/>
  <c r="CM45" i="97" s="1"/>
  <c r="CL47" i="97"/>
  <c r="CK47" i="97"/>
  <c r="CJ47" i="97"/>
  <c r="CI47" i="97"/>
  <c r="CH47" i="97"/>
  <c r="CG47" i="97"/>
  <c r="CF47" i="97"/>
  <c r="CE47" i="97"/>
  <c r="CO46" i="97"/>
  <c r="CN46" i="97"/>
  <c r="CM46" i="97"/>
  <c r="CL46" i="97"/>
  <c r="CK46" i="97"/>
  <c r="CJ46" i="97"/>
  <c r="CI46" i="97"/>
  <c r="CH46" i="97"/>
  <c r="CH45" i="97" s="1"/>
  <c r="CG46" i="97"/>
  <c r="CF46" i="97"/>
  <c r="CE46" i="97"/>
  <c r="CE45" i="97" s="1"/>
  <c r="CN45" i="97"/>
  <c r="CL45" i="97"/>
  <c r="CK45" i="97"/>
  <c r="CO43" i="97"/>
  <c r="CN43" i="97"/>
  <c r="CM43" i="97"/>
  <c r="CL43" i="97"/>
  <c r="CK43" i="97"/>
  <c r="CJ43" i="97"/>
  <c r="CI43" i="97"/>
  <c r="CH43" i="97"/>
  <c r="CG43" i="97"/>
  <c r="CF43" i="97"/>
  <c r="CE43" i="97"/>
  <c r="CO42" i="97"/>
  <c r="CN42" i="97"/>
  <c r="CM42" i="97"/>
  <c r="CL42" i="97"/>
  <c r="CK42" i="97"/>
  <c r="CJ42" i="97"/>
  <c r="CI42" i="97"/>
  <c r="CH42" i="97"/>
  <c r="CG42" i="97"/>
  <c r="CF42" i="97"/>
  <c r="CE42" i="97"/>
  <c r="CO41" i="97"/>
  <c r="CN41" i="97"/>
  <c r="CM41" i="97"/>
  <c r="CL41" i="97"/>
  <c r="CK41" i="97"/>
  <c r="CJ41" i="97"/>
  <c r="CI41" i="97"/>
  <c r="CH41" i="97"/>
  <c r="CG41" i="97"/>
  <c r="CF41" i="97"/>
  <c r="CE41" i="97"/>
  <c r="CO40" i="97"/>
  <c r="CN40" i="97"/>
  <c r="CM40" i="97"/>
  <c r="CL40" i="97"/>
  <c r="CK40" i="97"/>
  <c r="CJ40" i="97"/>
  <c r="CI40" i="97"/>
  <c r="CH40" i="97"/>
  <c r="CG40" i="97"/>
  <c r="CF40" i="97"/>
  <c r="CE40" i="97"/>
  <c r="CO39" i="97"/>
  <c r="CN39" i="97"/>
  <c r="CM39" i="97"/>
  <c r="CL39" i="97"/>
  <c r="CK39" i="97"/>
  <c r="CJ39" i="97"/>
  <c r="CI39" i="97"/>
  <c r="CH39" i="97"/>
  <c r="CG39" i="97"/>
  <c r="CF39" i="97"/>
  <c r="CE39" i="97"/>
  <c r="CO38" i="97"/>
  <c r="CN38" i="97"/>
  <c r="CM38" i="97"/>
  <c r="CL38" i="97"/>
  <c r="CK38" i="97"/>
  <c r="CK37" i="97" s="1"/>
  <c r="CJ38" i="97"/>
  <c r="CJ37" i="97" s="1"/>
  <c r="CI38" i="97"/>
  <c r="CH38" i="97"/>
  <c r="CH37" i="97" s="1"/>
  <c r="CG38" i="97"/>
  <c r="CF38" i="97"/>
  <c r="CE38" i="97"/>
  <c r="CE37" i="97" s="1"/>
  <c r="CO35" i="97"/>
  <c r="CN35" i="97"/>
  <c r="CM35" i="97"/>
  <c r="CL35" i="97"/>
  <c r="CK35" i="97"/>
  <c r="CJ35" i="97"/>
  <c r="CI35" i="97"/>
  <c r="CH35" i="97"/>
  <c r="CG35" i="97"/>
  <c r="CF35" i="97"/>
  <c r="CE35" i="97"/>
  <c r="CO34" i="97"/>
  <c r="CN34" i="97"/>
  <c r="CM34" i="97"/>
  <c r="CL34" i="97"/>
  <c r="CK34" i="97"/>
  <c r="CJ34" i="97"/>
  <c r="CI34" i="97"/>
  <c r="CH34" i="97"/>
  <c r="CG34" i="97"/>
  <c r="CF34" i="97"/>
  <c r="CE34" i="97"/>
  <c r="CO33" i="97"/>
  <c r="CN33" i="97"/>
  <c r="CM33" i="97"/>
  <c r="CL33" i="97"/>
  <c r="CK33" i="97"/>
  <c r="CJ33" i="97"/>
  <c r="CI33" i="97"/>
  <c r="CH33" i="97"/>
  <c r="CG33" i="97"/>
  <c r="CF33" i="97"/>
  <c r="CE33" i="97"/>
  <c r="CO32" i="97"/>
  <c r="CN32" i="97"/>
  <c r="CM32" i="97"/>
  <c r="CL32" i="97"/>
  <c r="CK32" i="97"/>
  <c r="CJ32" i="97"/>
  <c r="CI32" i="97"/>
  <c r="CH32" i="97"/>
  <c r="CH30" i="97" s="1"/>
  <c r="CG32" i="97"/>
  <c r="CF32" i="97"/>
  <c r="CE32" i="97"/>
  <c r="CO31" i="97"/>
  <c r="CN31" i="97"/>
  <c r="CM31" i="97"/>
  <c r="CL31" i="97"/>
  <c r="CK31" i="97"/>
  <c r="CJ31" i="97"/>
  <c r="CI31" i="97"/>
  <c r="CH31" i="97"/>
  <c r="CG31" i="97"/>
  <c r="CF31" i="97"/>
  <c r="CE31" i="97"/>
  <c r="CO29" i="97"/>
  <c r="CO26" i="97" s="1"/>
  <c r="CN29" i="97"/>
  <c r="CM29" i="97"/>
  <c r="CL29" i="97"/>
  <c r="CL26" i="97" s="1"/>
  <c r="CK29" i="97"/>
  <c r="CJ29" i="97"/>
  <c r="CI29" i="97"/>
  <c r="CH29" i="97"/>
  <c r="CG29" i="97"/>
  <c r="CF29" i="97"/>
  <c r="CE29" i="97"/>
  <c r="CO28" i="97"/>
  <c r="CN28" i="97"/>
  <c r="CM28" i="97"/>
  <c r="CL28" i="97"/>
  <c r="CK28" i="97"/>
  <c r="CJ28" i="97"/>
  <c r="CI28" i="97"/>
  <c r="CH28" i="97"/>
  <c r="CG28" i="97"/>
  <c r="CF28" i="97"/>
  <c r="CE28" i="97"/>
  <c r="CO27" i="97"/>
  <c r="CN27" i="97"/>
  <c r="CM27" i="97"/>
  <c r="CL27" i="97"/>
  <c r="CK27" i="97"/>
  <c r="CJ27" i="97"/>
  <c r="CI27" i="97"/>
  <c r="CI26" i="97" s="1"/>
  <c r="CH27" i="97"/>
  <c r="CG27" i="97"/>
  <c r="CF27" i="97"/>
  <c r="CF26" i="97" s="1"/>
  <c r="CE27" i="97"/>
  <c r="CE26" i="97" s="1"/>
  <c r="CN26" i="97"/>
  <c r="CM26" i="97"/>
  <c r="CO25" i="97"/>
  <c r="CN25" i="97"/>
  <c r="CM25" i="97"/>
  <c r="CL25" i="97"/>
  <c r="CK25" i="97"/>
  <c r="CJ25" i="97"/>
  <c r="CI25" i="97"/>
  <c r="CH25" i="97"/>
  <c r="CG25" i="97"/>
  <c r="CF25" i="97"/>
  <c r="CE25" i="97"/>
  <c r="CE23" i="97" s="1"/>
  <c r="CO24" i="97"/>
  <c r="CO23" i="97" s="1"/>
  <c r="CN24" i="97"/>
  <c r="CM24" i="97"/>
  <c r="CM23" i="97" s="1"/>
  <c r="CL24" i="97"/>
  <c r="CL23" i="97" s="1"/>
  <c r="CK24" i="97"/>
  <c r="CK23" i="97" s="1"/>
  <c r="CJ24" i="97"/>
  <c r="CJ23" i="97" s="1"/>
  <c r="CI24" i="97"/>
  <c r="CI23" i="97" s="1"/>
  <c r="CH24" i="97"/>
  <c r="CG24" i="97"/>
  <c r="CF24" i="97"/>
  <c r="CE24" i="97"/>
  <c r="CN23" i="97"/>
  <c r="CO22" i="97"/>
  <c r="CN22" i="97"/>
  <c r="CM22" i="97"/>
  <c r="CL22" i="97"/>
  <c r="CK22" i="97"/>
  <c r="CJ22" i="97"/>
  <c r="CI22" i="97"/>
  <c r="CH22" i="97"/>
  <c r="CG22" i="97"/>
  <c r="CF22" i="97"/>
  <c r="CE22" i="97"/>
  <c r="CO21" i="97"/>
  <c r="CN21" i="97"/>
  <c r="CM21" i="97"/>
  <c r="CL21" i="97"/>
  <c r="CK21" i="97"/>
  <c r="CJ21" i="97"/>
  <c r="CI21" i="97"/>
  <c r="CH21" i="97"/>
  <c r="CG21" i="97"/>
  <c r="CF21" i="97"/>
  <c r="CE21" i="97"/>
  <c r="CO20" i="97"/>
  <c r="CN20" i="97"/>
  <c r="CM20" i="97"/>
  <c r="CL20" i="97"/>
  <c r="CK20" i="97"/>
  <c r="CJ20" i="97"/>
  <c r="CI20" i="97"/>
  <c r="CH20" i="97"/>
  <c r="CG20" i="97"/>
  <c r="CF20" i="97"/>
  <c r="CE20" i="97"/>
  <c r="CO19" i="97"/>
  <c r="CN19" i="97"/>
  <c r="CM19" i="97"/>
  <c r="CL19" i="97"/>
  <c r="CK19" i="97"/>
  <c r="CJ19" i="97"/>
  <c r="CI19" i="97"/>
  <c r="CH19" i="97"/>
  <c r="CG19" i="97"/>
  <c r="CF19" i="97"/>
  <c r="CE19" i="97"/>
  <c r="CO18" i="97"/>
  <c r="CN18" i="97"/>
  <c r="CM18" i="97"/>
  <c r="CL18" i="97"/>
  <c r="CK18" i="97"/>
  <c r="CJ18" i="97"/>
  <c r="CI18" i="97"/>
  <c r="CH18" i="97"/>
  <c r="CG18" i="97"/>
  <c r="CG15" i="97" s="1"/>
  <c r="CF18" i="97"/>
  <c r="CE18" i="97"/>
  <c r="CO17" i="97"/>
  <c r="CN17" i="97"/>
  <c r="CM17" i="97"/>
  <c r="CL17" i="97"/>
  <c r="CK17" i="97"/>
  <c r="CJ17" i="97"/>
  <c r="CI17" i="97"/>
  <c r="CH17" i="97"/>
  <c r="CG17" i="97"/>
  <c r="CF17" i="97"/>
  <c r="CF15" i="97" s="1"/>
  <c r="CE17" i="97"/>
  <c r="CE15" i="97" s="1"/>
  <c r="CO16" i="97"/>
  <c r="CN16" i="97"/>
  <c r="CN15" i="97" s="1"/>
  <c r="CM16" i="97"/>
  <c r="CL16" i="97"/>
  <c r="CK16" i="97"/>
  <c r="CJ16" i="97"/>
  <c r="CI16" i="97"/>
  <c r="CH16" i="97"/>
  <c r="CG16" i="97"/>
  <c r="CF16" i="97"/>
  <c r="CE16" i="97"/>
  <c r="CO14" i="97"/>
  <c r="CN14" i="97"/>
  <c r="CM14" i="97"/>
  <c r="CL14" i="97"/>
  <c r="CK14" i="97"/>
  <c r="CJ14" i="97"/>
  <c r="CI14" i="97"/>
  <c r="CH14" i="97"/>
  <c r="CG14" i="97"/>
  <c r="CF14" i="97"/>
  <c r="CE14" i="97"/>
  <c r="CO13" i="97"/>
  <c r="CN13" i="97"/>
  <c r="CM13" i="97"/>
  <c r="CL13" i="97"/>
  <c r="CK13" i="97"/>
  <c r="CJ13" i="97"/>
  <c r="CI13" i="97"/>
  <c r="CH13" i="97"/>
  <c r="CG13" i="97"/>
  <c r="CF13" i="97"/>
  <c r="CE13" i="97"/>
  <c r="CO12" i="97"/>
  <c r="CN12" i="97"/>
  <c r="CM12" i="97"/>
  <c r="CL12" i="97"/>
  <c r="CK12" i="97"/>
  <c r="CJ12" i="97"/>
  <c r="CI12" i="97"/>
  <c r="CH12" i="97"/>
  <c r="CG12" i="97"/>
  <c r="CF12" i="97"/>
  <c r="CE12" i="97"/>
  <c r="CO11" i="97"/>
  <c r="CN11" i="97"/>
  <c r="CM11" i="97"/>
  <c r="CL11" i="97"/>
  <c r="CK11" i="97"/>
  <c r="CJ11" i="97"/>
  <c r="CI11" i="97"/>
  <c r="CH11" i="97"/>
  <c r="CG11" i="97"/>
  <c r="CF11" i="97"/>
  <c r="CE11" i="97"/>
  <c r="CO10" i="97"/>
  <c r="CN10" i="97"/>
  <c r="CM10" i="97"/>
  <c r="CL10" i="97"/>
  <c r="CK10" i="97"/>
  <c r="CJ10" i="97"/>
  <c r="CJ8" i="97" s="1"/>
  <c r="CI10" i="97"/>
  <c r="CH10" i="97"/>
  <c r="CG10" i="97"/>
  <c r="CF10" i="97"/>
  <c r="CE10" i="97"/>
  <c r="CO9" i="97"/>
  <c r="CN9" i="97"/>
  <c r="CM9" i="97"/>
  <c r="CL9" i="97"/>
  <c r="CK9" i="97"/>
  <c r="CJ9" i="97"/>
  <c r="CI9" i="97"/>
  <c r="CH9" i="97"/>
  <c r="CG9" i="97"/>
  <c r="CF9" i="97"/>
  <c r="CE9" i="97"/>
  <c r="CO7" i="97"/>
  <c r="CN7" i="97"/>
  <c r="CM7" i="97"/>
  <c r="CL7" i="97"/>
  <c r="CK7" i="97"/>
  <c r="CJ7" i="97"/>
  <c r="CI7" i="97"/>
  <c r="CH7" i="97"/>
  <c r="CG7" i="97"/>
  <c r="CF7" i="97"/>
  <c r="CE7" i="97"/>
  <c r="BO6" i="97"/>
  <c r="BN6" i="97"/>
  <c r="BM6" i="97"/>
  <c r="BL6" i="97"/>
  <c r="BK6" i="97"/>
  <c r="BJ6" i="97"/>
  <c r="BI6" i="97"/>
  <c r="BH6" i="97"/>
  <c r="BG6" i="97"/>
  <c r="BF6" i="97"/>
  <c r="BE6" i="97"/>
  <c r="BD6" i="97"/>
  <c r="X53" i="92"/>
  <c r="W53" i="92"/>
  <c r="V53" i="92"/>
  <c r="U53" i="92"/>
  <c r="T53" i="92"/>
  <c r="S53" i="92"/>
  <c r="R53" i="92"/>
  <c r="Q53" i="92"/>
  <c r="P53" i="92"/>
  <c r="O53" i="92"/>
  <c r="N53" i="92"/>
  <c r="M53" i="92"/>
  <c r="E10" i="99"/>
  <c r="F10" i="99"/>
  <c r="R16" i="99"/>
  <c r="Q16" i="99"/>
  <c r="P16" i="99"/>
  <c r="O16" i="99"/>
  <c r="N16" i="99"/>
  <c r="M16" i="99"/>
  <c r="L16" i="99"/>
  <c r="K16" i="99"/>
  <c r="J16" i="99"/>
  <c r="I16" i="99"/>
  <c r="H16" i="99"/>
  <c r="G16" i="99"/>
  <c r="F16" i="99"/>
  <c r="F20" i="99" s="1"/>
  <c r="E16" i="99"/>
  <c r="E20" i="99" s="1"/>
  <c r="E5" i="99"/>
  <c r="E4" i="99"/>
  <c r="F5" i="99"/>
  <c r="F4" i="99"/>
  <c r="F21" i="99" l="1"/>
  <c r="S16" i="99"/>
  <c r="E21" i="99"/>
  <c r="F13" i="99"/>
  <c r="F15" i="99"/>
  <c r="E9" i="99"/>
  <c r="E13" i="99"/>
  <c r="E15" i="99"/>
  <c r="F19" i="99"/>
  <c r="F9" i="99"/>
  <c r="F17" i="99"/>
  <c r="F11" i="99"/>
  <c r="F27" i="99" s="1"/>
  <c r="E11" i="99"/>
  <c r="E27" i="99" s="1"/>
  <c r="E19" i="99"/>
  <c r="E17" i="99"/>
  <c r="CF115" i="97"/>
  <c r="CH115" i="97"/>
  <c r="CI115" i="97"/>
  <c r="CJ115" i="97"/>
  <c r="CK115" i="97"/>
  <c r="CL115" i="97"/>
  <c r="CI82" i="97"/>
  <c r="CG8" i="97"/>
  <c r="CG26" i="97"/>
  <c r="CE30" i="97"/>
  <c r="CL37" i="97"/>
  <c r="CF45" i="97"/>
  <c r="CI55" i="97"/>
  <c r="CI54" i="97" s="1"/>
  <c r="CK63" i="97"/>
  <c r="CO76" i="97"/>
  <c r="CN115" i="97"/>
  <c r="CH8" i="97"/>
  <c r="CH26" i="97"/>
  <c r="CF30" i="97"/>
  <c r="CM37" i="97"/>
  <c r="CM36" i="97" s="1"/>
  <c r="CG45" i="97"/>
  <c r="CJ55" i="97"/>
  <c r="CJ54" i="97" s="1"/>
  <c r="CH69" i="97"/>
  <c r="CK83" i="97"/>
  <c r="CO115" i="97"/>
  <c r="CK55" i="97"/>
  <c r="CK54" i="97" s="1"/>
  <c r="CI69" i="97"/>
  <c r="CN99" i="97"/>
  <c r="CH55" i="97"/>
  <c r="CH54" i="97" s="1"/>
  <c r="CH15" i="97"/>
  <c r="CJ26" i="97"/>
  <c r="CO37" i="97"/>
  <c r="CI45" i="97"/>
  <c r="CI44" i="97" s="1"/>
  <c r="CO48" i="97"/>
  <c r="CO44" i="97" s="1"/>
  <c r="CO36" i="97" s="1"/>
  <c r="CE51" i="97"/>
  <c r="CE44" i="97" s="1"/>
  <c r="CE36" i="97" s="1"/>
  <c r="CN63" i="97"/>
  <c r="CH66" i="97"/>
  <c r="CE83" i="97"/>
  <c r="CO99" i="97"/>
  <c r="CG30" i="97"/>
  <c r="CK8" i="97"/>
  <c r="CK26" i="97"/>
  <c r="CI30" i="97"/>
  <c r="CJ45" i="97"/>
  <c r="CJ44" i="97" s="1"/>
  <c r="CO45" i="97"/>
  <c r="CF51" i="97"/>
  <c r="CL57" i="97"/>
  <c r="CL55" i="97" s="1"/>
  <c r="CL54" i="97" s="1"/>
  <c r="CO63" i="97"/>
  <c r="CF83" i="97"/>
  <c r="CI8" i="97"/>
  <c r="CI15" i="97"/>
  <c r="CN37" i="97"/>
  <c r="CL8" i="97"/>
  <c r="CF23" i="97"/>
  <c r="CJ30" i="97"/>
  <c r="CG51" i="97"/>
  <c r="CM57" i="97"/>
  <c r="CM55" i="97" s="1"/>
  <c r="CM54" i="97" s="1"/>
  <c r="CL69" i="97"/>
  <c r="CG83" i="97"/>
  <c r="CG55" i="97"/>
  <c r="CG54" i="97" s="1"/>
  <c r="CM8" i="97"/>
  <c r="CG23" i="97"/>
  <c r="CK30" i="97"/>
  <c r="CG37" i="97"/>
  <c r="CF37" i="97"/>
  <c r="CH51" i="97"/>
  <c r="CH44" i="97" s="1"/>
  <c r="CH36" i="97" s="1"/>
  <c r="CM51" i="97"/>
  <c r="CM44" i="97" s="1"/>
  <c r="CM69" i="97"/>
  <c r="CE76" i="97"/>
  <c r="CJ76" i="97"/>
  <c r="CH83" i="97"/>
  <c r="CH82" i="97" s="1"/>
  <c r="CM83" i="97"/>
  <c r="CL83" i="97"/>
  <c r="CN8" i="97"/>
  <c r="CH23" i="97"/>
  <c r="CL30" i="97"/>
  <c r="CN69" i="97"/>
  <c r="CK99" i="97"/>
  <c r="CJ99" i="97"/>
  <c r="CJ82" i="97" s="1"/>
  <c r="CE115" i="97"/>
  <c r="CO8" i="97"/>
  <c r="CJ15" i="97"/>
  <c r="CM30" i="97"/>
  <c r="CE57" i="97"/>
  <c r="CE55" i="97" s="1"/>
  <c r="CE54" i="97" s="1"/>
  <c r="CO69" i="97"/>
  <c r="CK15" i="97"/>
  <c r="CN30" i="97"/>
  <c r="CI63" i="97"/>
  <c r="CE99" i="97"/>
  <c r="CF8" i="97"/>
  <c r="CE8" i="97"/>
  <c r="CL15" i="97"/>
  <c r="CO30" i="97"/>
  <c r="CF99" i="97"/>
  <c r="CM115" i="97"/>
  <c r="CK44" i="97"/>
  <c r="CF69" i="97"/>
  <c r="CG99" i="97"/>
  <c r="CL44" i="97"/>
  <c r="CN83" i="97"/>
  <c r="CJ83" i="97"/>
  <c r="CH99" i="97"/>
  <c r="CM99" i="97"/>
  <c r="CL99" i="97"/>
  <c r="CO15" i="97"/>
  <c r="CM15" i="97"/>
  <c r="CI37" i="97"/>
  <c r="CI36" i="97" s="1"/>
  <c r="CN48" i="97"/>
  <c r="CN44" i="97" s="1"/>
  <c r="CN36" i="97" s="1"/>
  <c r="CF55" i="97"/>
  <c r="CF54" i="97" s="1"/>
  <c r="CL76" i="97"/>
  <c r="CO83" i="97"/>
  <c r="CN82" i="97"/>
  <c r="CO82" i="97"/>
  <c r="CJ36" i="97"/>
  <c r="CK36" i="97"/>
  <c r="E6" i="99"/>
  <c r="E7" i="99" s="1"/>
  <c r="F6" i="99"/>
  <c r="F7" i="99" s="1"/>
  <c r="AA125" i="96"/>
  <c r="Z125" i="96"/>
  <c r="Y125" i="96"/>
  <c r="X125" i="96"/>
  <c r="W125" i="96"/>
  <c r="V125" i="96"/>
  <c r="U125" i="96"/>
  <c r="T125" i="96"/>
  <c r="S125" i="96"/>
  <c r="R125" i="96"/>
  <c r="Q125" i="96"/>
  <c r="P125" i="96"/>
  <c r="O125" i="96"/>
  <c r="N125" i="96"/>
  <c r="M125" i="96"/>
  <c r="L125" i="96"/>
  <c r="K125" i="96"/>
  <c r="J125" i="96"/>
  <c r="I125" i="96"/>
  <c r="H125" i="96"/>
  <c r="G125" i="96"/>
  <c r="F125" i="96"/>
  <c r="E125" i="96"/>
  <c r="D125" i="96"/>
  <c r="AA114" i="96"/>
  <c r="Z114" i="96"/>
  <c r="Z113" i="96" s="1"/>
  <c r="Y114" i="96"/>
  <c r="Y113" i="96" s="1"/>
  <c r="X114" i="96"/>
  <c r="W114" i="96"/>
  <c r="V114" i="96"/>
  <c r="U114" i="96"/>
  <c r="T114" i="96"/>
  <c r="S114" i="96"/>
  <c r="R114" i="96"/>
  <c r="Q114" i="96"/>
  <c r="P114" i="96"/>
  <c r="O114" i="96"/>
  <c r="N114" i="96"/>
  <c r="M114" i="96"/>
  <c r="L114" i="96"/>
  <c r="K114" i="96"/>
  <c r="J114" i="96"/>
  <c r="J113" i="96" s="1"/>
  <c r="I114" i="96"/>
  <c r="I113" i="96" s="1"/>
  <c r="H114" i="96"/>
  <c r="G114" i="96"/>
  <c r="F114" i="96"/>
  <c r="E114" i="96"/>
  <c r="D114" i="96"/>
  <c r="AA98" i="96"/>
  <c r="Z98" i="96"/>
  <c r="Y98" i="96"/>
  <c r="X98" i="96"/>
  <c r="W98" i="96"/>
  <c r="V98" i="96"/>
  <c r="U98" i="96"/>
  <c r="T98" i="96"/>
  <c r="S98" i="96"/>
  <c r="R98" i="96"/>
  <c r="Q98" i="96"/>
  <c r="P98" i="96"/>
  <c r="O98" i="96"/>
  <c r="N98" i="96"/>
  <c r="M98" i="96"/>
  <c r="L98" i="96"/>
  <c r="K98" i="96"/>
  <c r="J98" i="96"/>
  <c r="I98" i="96"/>
  <c r="H98" i="96"/>
  <c r="G98" i="96"/>
  <c r="F98" i="96"/>
  <c r="E98" i="96"/>
  <c r="D98" i="96"/>
  <c r="AA82" i="96"/>
  <c r="Z82" i="96"/>
  <c r="Y82" i="96"/>
  <c r="X82" i="96"/>
  <c r="W82" i="96"/>
  <c r="V82" i="96"/>
  <c r="U82" i="96"/>
  <c r="T82" i="96"/>
  <c r="S82" i="96"/>
  <c r="R82" i="96"/>
  <c r="Q82" i="96"/>
  <c r="P82" i="96"/>
  <c r="O82" i="96"/>
  <c r="N82" i="96"/>
  <c r="M82" i="96"/>
  <c r="M81" i="96" s="1"/>
  <c r="L82" i="96"/>
  <c r="L81" i="96" s="1"/>
  <c r="K82" i="96"/>
  <c r="J82" i="96"/>
  <c r="I82" i="96"/>
  <c r="H82" i="96"/>
  <c r="G82" i="96"/>
  <c r="F82" i="96"/>
  <c r="E82" i="96"/>
  <c r="D82" i="96"/>
  <c r="AA75" i="96"/>
  <c r="Z75" i="96"/>
  <c r="Y75" i="96"/>
  <c r="X75" i="96"/>
  <c r="W75" i="96"/>
  <c r="V75" i="96"/>
  <c r="U75" i="96"/>
  <c r="T75" i="96"/>
  <c r="S75" i="96"/>
  <c r="R75" i="96"/>
  <c r="Q75" i="96"/>
  <c r="P75" i="96"/>
  <c r="O75" i="96"/>
  <c r="N75" i="96"/>
  <c r="M75" i="96"/>
  <c r="L75" i="96"/>
  <c r="K75" i="96"/>
  <c r="J75" i="96"/>
  <c r="I75" i="96"/>
  <c r="H75" i="96"/>
  <c r="G75" i="96"/>
  <c r="F75" i="96"/>
  <c r="E75" i="96"/>
  <c r="D75" i="96"/>
  <c r="AA68" i="96"/>
  <c r="Z68" i="96"/>
  <c r="Y68" i="96"/>
  <c r="X68" i="96"/>
  <c r="W68" i="96"/>
  <c r="V68" i="96"/>
  <c r="U68" i="96"/>
  <c r="T68" i="96"/>
  <c r="S68" i="96"/>
  <c r="R68" i="96"/>
  <c r="Q68" i="96"/>
  <c r="P68" i="96"/>
  <c r="O68" i="96"/>
  <c r="N68" i="96"/>
  <c r="M68" i="96"/>
  <c r="L68" i="96"/>
  <c r="K68" i="96"/>
  <c r="J68" i="96"/>
  <c r="I68" i="96"/>
  <c r="H68" i="96"/>
  <c r="G68" i="96"/>
  <c r="F68" i="96"/>
  <c r="E68" i="96"/>
  <c r="D68" i="96"/>
  <c r="AA65" i="96"/>
  <c r="Z65" i="96"/>
  <c r="Y65" i="96"/>
  <c r="X65" i="96"/>
  <c r="W65" i="96"/>
  <c r="V65" i="96"/>
  <c r="U65" i="96"/>
  <c r="T65" i="96"/>
  <c r="S65" i="96"/>
  <c r="R65" i="96"/>
  <c r="Q65" i="96"/>
  <c r="P65" i="96"/>
  <c r="O65" i="96"/>
  <c r="N65" i="96"/>
  <c r="M65" i="96"/>
  <c r="L65" i="96"/>
  <c r="K65" i="96"/>
  <c r="J65" i="96"/>
  <c r="I65" i="96"/>
  <c r="H65" i="96"/>
  <c r="G65" i="96"/>
  <c r="F65" i="96"/>
  <c r="E65" i="96"/>
  <c r="D65" i="96"/>
  <c r="AA62" i="96"/>
  <c r="Z62" i="96"/>
  <c r="Y62" i="96"/>
  <c r="X62" i="96"/>
  <c r="W62" i="96"/>
  <c r="V62" i="96"/>
  <c r="U62" i="96"/>
  <c r="T62" i="96"/>
  <c r="S62" i="96"/>
  <c r="R62" i="96"/>
  <c r="Q62" i="96"/>
  <c r="P62" i="96"/>
  <c r="O62" i="96"/>
  <c r="N62" i="96"/>
  <c r="M62" i="96"/>
  <c r="L62" i="96"/>
  <c r="K62" i="96"/>
  <c r="J62" i="96"/>
  <c r="I62" i="96"/>
  <c r="H62" i="96"/>
  <c r="G62" i="96"/>
  <c r="F62" i="96"/>
  <c r="E62" i="96"/>
  <c r="D62" i="96"/>
  <c r="AA56" i="96"/>
  <c r="AA54" i="96" s="1"/>
  <c r="AA53" i="96" s="1"/>
  <c r="Z56" i="96"/>
  <c r="Z54" i="96" s="1"/>
  <c r="Z53" i="96" s="1"/>
  <c r="Y56" i="96"/>
  <c r="Y54" i="96" s="1"/>
  <c r="Y53" i="96" s="1"/>
  <c r="X56" i="96"/>
  <c r="X54" i="96" s="1"/>
  <c r="X53" i="96" s="1"/>
  <c r="W56" i="96"/>
  <c r="W54" i="96" s="1"/>
  <c r="W53" i="96" s="1"/>
  <c r="V56" i="96"/>
  <c r="V54" i="96" s="1"/>
  <c r="V53" i="96" s="1"/>
  <c r="U56" i="96"/>
  <c r="U54" i="96" s="1"/>
  <c r="U53" i="96" s="1"/>
  <c r="T56" i="96"/>
  <c r="T54" i="96" s="1"/>
  <c r="T53" i="96" s="1"/>
  <c r="S56" i="96"/>
  <c r="S54" i="96" s="1"/>
  <c r="S53" i="96" s="1"/>
  <c r="R56" i="96"/>
  <c r="R54" i="96" s="1"/>
  <c r="R53" i="96" s="1"/>
  <c r="Q56" i="96"/>
  <c r="Q54" i="96" s="1"/>
  <c r="Q53" i="96" s="1"/>
  <c r="P56" i="96"/>
  <c r="P54" i="96" s="1"/>
  <c r="P53" i="96" s="1"/>
  <c r="O56" i="96"/>
  <c r="O54" i="96" s="1"/>
  <c r="O53" i="96" s="1"/>
  <c r="N56" i="96"/>
  <c r="N54" i="96" s="1"/>
  <c r="N53" i="96" s="1"/>
  <c r="M56" i="96"/>
  <c r="M54" i="96" s="1"/>
  <c r="M53" i="96" s="1"/>
  <c r="L56" i="96"/>
  <c r="L54" i="96" s="1"/>
  <c r="L53" i="96" s="1"/>
  <c r="K56" i="96"/>
  <c r="K54" i="96" s="1"/>
  <c r="K53" i="96" s="1"/>
  <c r="J56" i="96"/>
  <c r="J54" i="96" s="1"/>
  <c r="J53" i="96" s="1"/>
  <c r="I56" i="96"/>
  <c r="I54" i="96" s="1"/>
  <c r="I53" i="96" s="1"/>
  <c r="H56" i="96"/>
  <c r="H54" i="96" s="1"/>
  <c r="H53" i="96" s="1"/>
  <c r="G56" i="96"/>
  <c r="G54" i="96" s="1"/>
  <c r="G53" i="96" s="1"/>
  <c r="F56" i="96"/>
  <c r="F54" i="96" s="1"/>
  <c r="F53" i="96" s="1"/>
  <c r="E56" i="96"/>
  <c r="E54" i="96" s="1"/>
  <c r="E53" i="96" s="1"/>
  <c r="D56" i="96"/>
  <c r="D54" i="96" s="1"/>
  <c r="D53" i="96" s="1"/>
  <c r="AA50" i="96"/>
  <c r="Z50" i="96"/>
  <c r="Y50" i="96"/>
  <c r="X50" i="96"/>
  <c r="W50" i="96"/>
  <c r="V50" i="96"/>
  <c r="U50" i="96"/>
  <c r="T50" i="96"/>
  <c r="S50" i="96"/>
  <c r="R50" i="96"/>
  <c r="Q50" i="96"/>
  <c r="P50" i="96"/>
  <c r="O50" i="96"/>
  <c r="N50" i="96"/>
  <c r="M50" i="96"/>
  <c r="L50" i="96"/>
  <c r="K50" i="96"/>
  <c r="J50" i="96"/>
  <c r="I50" i="96"/>
  <c r="H50" i="96"/>
  <c r="G50" i="96"/>
  <c r="F50" i="96"/>
  <c r="E50" i="96"/>
  <c r="D50" i="96"/>
  <c r="AA47" i="96"/>
  <c r="Z47" i="96"/>
  <c r="Y47" i="96"/>
  <c r="X47" i="96"/>
  <c r="W47" i="96"/>
  <c r="V47" i="96"/>
  <c r="U47" i="96"/>
  <c r="T47" i="96"/>
  <c r="S47" i="96"/>
  <c r="R47" i="96"/>
  <c r="Q47" i="96"/>
  <c r="P47" i="96"/>
  <c r="O47" i="96"/>
  <c r="N47" i="96"/>
  <c r="M47" i="96"/>
  <c r="L47" i="96"/>
  <c r="K47" i="96"/>
  <c r="J47" i="96"/>
  <c r="I47" i="96"/>
  <c r="H47" i="96"/>
  <c r="G47" i="96"/>
  <c r="F47" i="96"/>
  <c r="E47" i="96"/>
  <c r="D47" i="96"/>
  <c r="AA44" i="96"/>
  <c r="Z44" i="96"/>
  <c r="Y44" i="96"/>
  <c r="X44" i="96"/>
  <c r="W44" i="96"/>
  <c r="V44" i="96"/>
  <c r="U44" i="96"/>
  <c r="T44" i="96"/>
  <c r="S44" i="96"/>
  <c r="R44" i="96"/>
  <c r="Q44" i="96"/>
  <c r="P44" i="96"/>
  <c r="O44" i="96"/>
  <c r="N44" i="96"/>
  <c r="M44" i="96"/>
  <c r="L44" i="96"/>
  <c r="L43" i="96" s="1"/>
  <c r="K44" i="96"/>
  <c r="J44" i="96"/>
  <c r="I44" i="96"/>
  <c r="H44" i="96"/>
  <c r="G44" i="96"/>
  <c r="F44" i="96"/>
  <c r="E44" i="96"/>
  <c r="D44" i="96"/>
  <c r="AA36" i="96"/>
  <c r="Z36" i="96"/>
  <c r="Y36" i="96"/>
  <c r="X36" i="96"/>
  <c r="W36" i="96"/>
  <c r="V36" i="96"/>
  <c r="U36" i="96"/>
  <c r="T36" i="96"/>
  <c r="S36" i="96"/>
  <c r="R36" i="96"/>
  <c r="Q36" i="96"/>
  <c r="P36" i="96"/>
  <c r="O36" i="96"/>
  <c r="N36" i="96"/>
  <c r="M36" i="96"/>
  <c r="L36" i="96"/>
  <c r="K36" i="96"/>
  <c r="J36" i="96"/>
  <c r="I36" i="96"/>
  <c r="H36" i="96"/>
  <c r="G36" i="96"/>
  <c r="F36" i="96"/>
  <c r="E36" i="96"/>
  <c r="D36" i="96"/>
  <c r="AA29" i="96"/>
  <c r="Z29" i="96"/>
  <c r="Y29" i="96"/>
  <c r="X29" i="96"/>
  <c r="W29" i="96"/>
  <c r="V29" i="96"/>
  <c r="U29" i="96"/>
  <c r="T29" i="96"/>
  <c r="S29" i="96"/>
  <c r="R29" i="96"/>
  <c r="Q29" i="96"/>
  <c r="P29" i="96"/>
  <c r="O29" i="96"/>
  <c r="N29" i="96"/>
  <c r="M29" i="96"/>
  <c r="L29" i="96"/>
  <c r="K29" i="96"/>
  <c r="J29" i="96"/>
  <c r="I29" i="96"/>
  <c r="H29" i="96"/>
  <c r="G29" i="96"/>
  <c r="F29" i="96"/>
  <c r="E29" i="96"/>
  <c r="D29" i="96"/>
  <c r="AA25" i="96"/>
  <c r="Z25" i="96"/>
  <c r="Y25" i="96"/>
  <c r="X25" i="96"/>
  <c r="W25" i="96"/>
  <c r="V25" i="96"/>
  <c r="U25" i="96"/>
  <c r="T25" i="96"/>
  <c r="S25" i="96"/>
  <c r="R25" i="96"/>
  <c r="Q25" i="96"/>
  <c r="P25" i="96"/>
  <c r="O25" i="96"/>
  <c r="N25" i="96"/>
  <c r="M25" i="96"/>
  <c r="L25" i="96"/>
  <c r="K25" i="96"/>
  <c r="J25" i="96"/>
  <c r="I25" i="96"/>
  <c r="H25" i="96"/>
  <c r="G25" i="96"/>
  <c r="F25" i="96"/>
  <c r="E25" i="96"/>
  <c r="D25" i="96"/>
  <c r="AA22" i="96"/>
  <c r="Z22" i="96"/>
  <c r="Y22" i="96"/>
  <c r="X22" i="96"/>
  <c r="W22" i="96"/>
  <c r="V22" i="96"/>
  <c r="U22" i="96"/>
  <c r="T22" i="96"/>
  <c r="S22" i="96"/>
  <c r="R22" i="96"/>
  <c r="Q22" i="96"/>
  <c r="P22" i="96"/>
  <c r="O22" i="96"/>
  <c r="N22" i="96"/>
  <c r="M22" i="96"/>
  <c r="L22" i="96"/>
  <c r="K22" i="96"/>
  <c r="J22" i="96"/>
  <c r="I22" i="96"/>
  <c r="H22" i="96"/>
  <c r="G22" i="96"/>
  <c r="F22" i="96"/>
  <c r="E22" i="96"/>
  <c r="D22" i="96"/>
  <c r="AA14" i="96"/>
  <c r="Z14" i="96"/>
  <c r="Y14" i="96"/>
  <c r="X14" i="96"/>
  <c r="W14" i="96"/>
  <c r="V14" i="96"/>
  <c r="U14" i="96"/>
  <c r="T14" i="96"/>
  <c r="S14" i="96"/>
  <c r="R14" i="96"/>
  <c r="Q14" i="96"/>
  <c r="P14" i="96"/>
  <c r="O14" i="96"/>
  <c r="N14" i="96"/>
  <c r="M14" i="96"/>
  <c r="L14" i="96"/>
  <c r="K14" i="96"/>
  <c r="J14" i="96"/>
  <c r="I14" i="96"/>
  <c r="H14" i="96"/>
  <c r="G14" i="96"/>
  <c r="F14" i="96"/>
  <c r="E14" i="96"/>
  <c r="D14" i="96"/>
  <c r="AA7" i="96"/>
  <c r="Z7" i="96"/>
  <c r="Y7" i="96"/>
  <c r="X7" i="96"/>
  <c r="W7" i="96"/>
  <c r="V7" i="96"/>
  <c r="U7" i="96"/>
  <c r="T7" i="96"/>
  <c r="S7" i="96"/>
  <c r="R7" i="96"/>
  <c r="Q7" i="96"/>
  <c r="P7" i="96"/>
  <c r="O7" i="96"/>
  <c r="N7" i="96"/>
  <c r="M7" i="96"/>
  <c r="L7" i="96"/>
  <c r="K7" i="96"/>
  <c r="J7" i="96"/>
  <c r="J3" i="96" s="1"/>
  <c r="I7" i="96"/>
  <c r="H7" i="96"/>
  <c r="G7" i="96"/>
  <c r="F7" i="96"/>
  <c r="E7" i="96"/>
  <c r="D7" i="96"/>
  <c r="AA4" i="96"/>
  <c r="Z4" i="96"/>
  <c r="Y4" i="96"/>
  <c r="X4" i="96"/>
  <c r="W4" i="96"/>
  <c r="V4" i="96"/>
  <c r="U4" i="96"/>
  <c r="U3" i="96" s="1"/>
  <c r="T4" i="96"/>
  <c r="S4" i="96"/>
  <c r="R4" i="96"/>
  <c r="R3" i="96" s="1"/>
  <c r="Q4" i="96"/>
  <c r="P4" i="96"/>
  <c r="O4" i="96"/>
  <c r="N4" i="96"/>
  <c r="M4" i="96"/>
  <c r="L4" i="96"/>
  <c r="K4" i="96"/>
  <c r="J4" i="96"/>
  <c r="I4" i="96"/>
  <c r="H4" i="96"/>
  <c r="G4" i="96"/>
  <c r="F4" i="96"/>
  <c r="E4" i="96"/>
  <c r="E3" i="96" s="1"/>
  <c r="D4" i="96"/>
  <c r="E30" i="99" l="1"/>
  <c r="E26" i="99"/>
  <c r="F30" i="99"/>
  <c r="F26" i="99"/>
  <c r="E113" i="96"/>
  <c r="K43" i="96"/>
  <c r="S43" i="96"/>
  <c r="S35" i="96" s="1"/>
  <c r="K113" i="96"/>
  <c r="AA113" i="96"/>
  <c r="V113" i="96"/>
  <c r="G113" i="96"/>
  <c r="W113" i="96"/>
  <c r="Y3" i="96"/>
  <c r="H3" i="96"/>
  <c r="H113" i="96"/>
  <c r="X113" i="96"/>
  <c r="CF82" i="97"/>
  <c r="CL82" i="97"/>
  <c r="CG82" i="97"/>
  <c r="CM82" i="97"/>
  <c r="CF44" i="97"/>
  <c r="CF36" i="97" s="1"/>
  <c r="CL36" i="97"/>
  <c r="CE82" i="97"/>
  <c r="CK82" i="97"/>
  <c r="CG44" i="97"/>
  <c r="CG36" i="97" s="1"/>
  <c r="P3" i="96"/>
  <c r="Z3" i="96"/>
  <c r="F3" i="96"/>
  <c r="D3" i="96"/>
  <c r="N81" i="96"/>
  <c r="AA43" i="96"/>
  <c r="D113" i="96"/>
  <c r="X3" i="96"/>
  <c r="Q3" i="96"/>
  <c r="T3" i="96"/>
  <c r="G3" i="96"/>
  <c r="O43" i="96"/>
  <c r="O35" i="96" s="1"/>
  <c r="O81" i="96"/>
  <c r="P81" i="96"/>
  <c r="Q43" i="96"/>
  <c r="Q35" i="96" s="1"/>
  <c r="E43" i="96"/>
  <c r="E35" i="96" s="1"/>
  <c r="E80" i="96" s="1"/>
  <c r="M43" i="96"/>
  <c r="M35" i="96" s="1"/>
  <c r="T81" i="96"/>
  <c r="N113" i="96"/>
  <c r="I3" i="96"/>
  <c r="N43" i="96"/>
  <c r="N35" i="96" s="1"/>
  <c r="K35" i="96"/>
  <c r="W81" i="96"/>
  <c r="W128" i="96" s="1"/>
  <c r="H81" i="96"/>
  <c r="H128" i="96" s="1"/>
  <c r="X81" i="96"/>
  <c r="X128" i="96" s="1"/>
  <c r="M3" i="96"/>
  <c r="R43" i="96"/>
  <c r="R35" i="96" s="1"/>
  <c r="R80" i="96" s="1"/>
  <c r="I81" i="96"/>
  <c r="I128" i="96" s="1"/>
  <c r="Y81" i="96"/>
  <c r="Y128" i="96" s="1"/>
  <c r="Q81" i="96"/>
  <c r="U43" i="96"/>
  <c r="U35" i="96" s="1"/>
  <c r="U80" i="96" s="1"/>
  <c r="U81" i="96"/>
  <c r="P43" i="96"/>
  <c r="P35" i="96" s="1"/>
  <c r="P80" i="96" s="1"/>
  <c r="D81" i="96"/>
  <c r="F113" i="96"/>
  <c r="E81" i="96"/>
  <c r="E128" i="96" s="1"/>
  <c r="K3" i="96"/>
  <c r="AA35" i="96"/>
  <c r="G81" i="96"/>
  <c r="G128" i="96" s="1"/>
  <c r="L3" i="96"/>
  <c r="N3" i="96"/>
  <c r="V3" i="96"/>
  <c r="J81" i="96"/>
  <c r="J128" i="96" s="1"/>
  <c r="Z81" i="96"/>
  <c r="Z128" i="96" s="1"/>
  <c r="R81" i="96"/>
  <c r="T113" i="96"/>
  <c r="O3" i="96"/>
  <c r="W3" i="96"/>
  <c r="K81" i="96"/>
  <c r="AA81" i="96"/>
  <c r="S81" i="96"/>
  <c r="U113" i="96"/>
  <c r="L35" i="96"/>
  <c r="F81" i="96"/>
  <c r="V81" i="96"/>
  <c r="V128" i="96" s="1"/>
  <c r="AA3" i="96"/>
  <c r="D43" i="96"/>
  <c r="D35" i="96" s="1"/>
  <c r="D80" i="96" s="1"/>
  <c r="V43" i="96"/>
  <c r="V35" i="96" s="1"/>
  <c r="W43" i="96"/>
  <c r="W35" i="96" s="1"/>
  <c r="H43" i="96"/>
  <c r="H35" i="96" s="1"/>
  <c r="X43" i="96"/>
  <c r="X35" i="96" s="1"/>
  <c r="Q113" i="96"/>
  <c r="S3" i="96"/>
  <c r="L113" i="96"/>
  <c r="L128" i="96" s="1"/>
  <c r="M113" i="96"/>
  <c r="M128" i="96" s="1"/>
  <c r="O113" i="96"/>
  <c r="P113" i="96"/>
  <c r="I43" i="96"/>
  <c r="I35" i="96" s="1"/>
  <c r="Y43" i="96"/>
  <c r="Y35" i="96" s="1"/>
  <c r="Y80" i="96" s="1"/>
  <c r="R113" i="96"/>
  <c r="T43" i="96"/>
  <c r="T35" i="96" s="1"/>
  <c r="F43" i="96"/>
  <c r="F35" i="96" s="1"/>
  <c r="G43" i="96"/>
  <c r="G35" i="96" s="1"/>
  <c r="J43" i="96"/>
  <c r="J35" i="96" s="1"/>
  <c r="J80" i="96" s="1"/>
  <c r="Z43" i="96"/>
  <c r="Z35" i="96" s="1"/>
  <c r="S113" i="96"/>
  <c r="AM45" i="95"/>
  <c r="AL45" i="95"/>
  <c r="AK45" i="95"/>
  <c r="AJ45" i="95"/>
  <c r="AI45" i="95"/>
  <c r="AH45" i="95"/>
  <c r="AG45" i="95"/>
  <c r="AF45" i="95"/>
  <c r="AE45" i="95"/>
  <c r="AD45" i="95"/>
  <c r="AC45" i="95"/>
  <c r="AB45" i="95"/>
  <c r="AM42" i="95"/>
  <c r="AL42" i="95"/>
  <c r="AK42" i="95"/>
  <c r="AJ42" i="95"/>
  <c r="AI42" i="95"/>
  <c r="AH42" i="95"/>
  <c r="AG42" i="95"/>
  <c r="AF42" i="95"/>
  <c r="AE42" i="95"/>
  <c r="AD42" i="95"/>
  <c r="AC42" i="95"/>
  <c r="AB42" i="95"/>
  <c r="AM41" i="95"/>
  <c r="AL41" i="95"/>
  <c r="AK41" i="95"/>
  <c r="AJ41" i="95"/>
  <c r="AI41" i="95"/>
  <c r="AH41" i="95"/>
  <c r="AG41" i="95"/>
  <c r="AF41" i="95"/>
  <c r="AE41" i="95"/>
  <c r="AD41" i="95"/>
  <c r="AC41" i="95"/>
  <c r="AB41" i="95"/>
  <c r="AM40" i="95"/>
  <c r="AL40" i="95"/>
  <c r="AK40" i="95"/>
  <c r="AJ40" i="95"/>
  <c r="AI40" i="95"/>
  <c r="AH40" i="95"/>
  <c r="AG40" i="95"/>
  <c r="AF40" i="95"/>
  <c r="AE40" i="95"/>
  <c r="AD40" i="95"/>
  <c r="AC40" i="95"/>
  <c r="AB40" i="95"/>
  <c r="AM36" i="95"/>
  <c r="AL36" i="95"/>
  <c r="AK36" i="95"/>
  <c r="AJ36" i="95"/>
  <c r="AI36" i="95"/>
  <c r="AH36" i="95"/>
  <c r="AG36" i="95"/>
  <c r="AF36" i="95"/>
  <c r="AE36" i="95"/>
  <c r="AD36" i="95"/>
  <c r="AC36" i="95"/>
  <c r="AB36" i="95"/>
  <c r="AM35" i="95"/>
  <c r="AL35" i="95"/>
  <c r="AK35" i="95"/>
  <c r="AJ35" i="95"/>
  <c r="AI35" i="95"/>
  <c r="AH35" i="95"/>
  <c r="AG35" i="95"/>
  <c r="AF35" i="95"/>
  <c r="AE35" i="95"/>
  <c r="AD35" i="95"/>
  <c r="AC35" i="95"/>
  <c r="AB35" i="95"/>
  <c r="AM33" i="95"/>
  <c r="AL33" i="95"/>
  <c r="AK33" i="95"/>
  <c r="AJ33" i="95"/>
  <c r="AI33" i="95"/>
  <c r="AH33" i="95"/>
  <c r="AG33" i="95"/>
  <c r="AF33" i="95"/>
  <c r="AE33" i="95"/>
  <c r="AD33" i="95"/>
  <c r="AC33" i="95"/>
  <c r="AB33" i="95"/>
  <c r="AM32" i="95"/>
  <c r="AL32" i="95"/>
  <c r="AK32" i="95"/>
  <c r="AJ32" i="95"/>
  <c r="AI32" i="95"/>
  <c r="AH32" i="95"/>
  <c r="AG32" i="95"/>
  <c r="AF32" i="95"/>
  <c r="AE32" i="95"/>
  <c r="AD32" i="95"/>
  <c r="AC32" i="95"/>
  <c r="AB32" i="95"/>
  <c r="AM31" i="95"/>
  <c r="AL31" i="95"/>
  <c r="AK31" i="95"/>
  <c r="AJ31" i="95"/>
  <c r="AI31" i="95"/>
  <c r="AH31" i="95"/>
  <c r="AG31" i="95"/>
  <c r="AF31" i="95"/>
  <c r="AE31" i="95"/>
  <c r="AD31" i="95"/>
  <c r="AC31" i="95"/>
  <c r="AB31" i="95"/>
  <c r="AM30" i="95"/>
  <c r="AL30" i="95"/>
  <c r="AK30" i="95"/>
  <c r="AJ30" i="95"/>
  <c r="AI30" i="95"/>
  <c r="AH30" i="95"/>
  <c r="AG30" i="95"/>
  <c r="AF30" i="95"/>
  <c r="AE30" i="95"/>
  <c r="AD30" i="95"/>
  <c r="AC30" i="95"/>
  <c r="AB30" i="95"/>
  <c r="AM29" i="95"/>
  <c r="AL29" i="95"/>
  <c r="AK29" i="95"/>
  <c r="AJ29" i="95"/>
  <c r="AI29" i="95"/>
  <c r="AH29" i="95"/>
  <c r="AG29" i="95"/>
  <c r="AF29" i="95"/>
  <c r="AE29" i="95"/>
  <c r="AD29" i="95"/>
  <c r="AC29" i="95"/>
  <c r="AB29" i="95"/>
  <c r="AB24" i="95"/>
  <c r="AM23" i="95"/>
  <c r="AL23" i="95"/>
  <c r="AK23" i="95"/>
  <c r="AJ23" i="95"/>
  <c r="AI23" i="95"/>
  <c r="AH23" i="95"/>
  <c r="AG23" i="95"/>
  <c r="AF23" i="95"/>
  <c r="AE23" i="95"/>
  <c r="AD23" i="95"/>
  <c r="AC23" i="95"/>
  <c r="AB23" i="95"/>
  <c r="AM21" i="95"/>
  <c r="AL21" i="95"/>
  <c r="AK21" i="95"/>
  <c r="AJ21" i="95"/>
  <c r="AI21" i="95"/>
  <c r="AH21" i="95"/>
  <c r="AG21" i="95"/>
  <c r="AF21" i="95"/>
  <c r="AE21" i="95"/>
  <c r="AD21" i="95"/>
  <c r="AC21" i="95"/>
  <c r="AB21" i="95"/>
  <c r="AM19" i="95"/>
  <c r="AL19" i="95"/>
  <c r="AK19" i="95"/>
  <c r="AJ19" i="95"/>
  <c r="AI19" i="95"/>
  <c r="AH19" i="95"/>
  <c r="AG19" i="95"/>
  <c r="AF19" i="95"/>
  <c r="AE19" i="95"/>
  <c r="AD19" i="95"/>
  <c r="AC19" i="95"/>
  <c r="AB19" i="95"/>
  <c r="AM17" i="95"/>
  <c r="AL17" i="95"/>
  <c r="AK17" i="95"/>
  <c r="AJ17" i="95"/>
  <c r="AI17" i="95"/>
  <c r="AH17" i="95"/>
  <c r="AG17" i="95"/>
  <c r="AF17" i="95"/>
  <c r="AE17" i="95"/>
  <c r="AD17" i="95"/>
  <c r="AC17" i="95"/>
  <c r="AB17" i="95"/>
  <c r="AM15" i="95"/>
  <c r="AL15" i="95"/>
  <c r="AK15" i="95"/>
  <c r="AJ15" i="95"/>
  <c r="AI15" i="95"/>
  <c r="AH15" i="95"/>
  <c r="AG15" i="95"/>
  <c r="AF15" i="95"/>
  <c r="AE15" i="95"/>
  <c r="AD15" i="95"/>
  <c r="AC15" i="95"/>
  <c r="AB15" i="95"/>
  <c r="AM14" i="95"/>
  <c r="AL14" i="95"/>
  <c r="AK14" i="95"/>
  <c r="AJ14" i="95"/>
  <c r="AI14" i="95"/>
  <c r="AH14" i="95"/>
  <c r="AG14" i="95"/>
  <c r="AF14" i="95"/>
  <c r="AE14" i="95"/>
  <c r="AD14" i="95"/>
  <c r="AC14" i="95"/>
  <c r="AB14" i="95"/>
  <c r="AM13" i="95"/>
  <c r="AL13" i="95"/>
  <c r="AK13" i="95"/>
  <c r="AJ13" i="95"/>
  <c r="AI13" i="95"/>
  <c r="AH13" i="95"/>
  <c r="AG13" i="95"/>
  <c r="AF13" i="95"/>
  <c r="AE13" i="95"/>
  <c r="AD13" i="95"/>
  <c r="AC13" i="95"/>
  <c r="AB13" i="95"/>
  <c r="AM12" i="95"/>
  <c r="AL12" i="95"/>
  <c r="AK12" i="95"/>
  <c r="AJ12" i="95"/>
  <c r="AI12" i="95"/>
  <c r="AH12" i="95"/>
  <c r="AG12" i="95"/>
  <c r="AF12" i="95"/>
  <c r="AE12" i="95"/>
  <c r="AD12" i="95"/>
  <c r="AC12" i="95"/>
  <c r="AB12" i="95"/>
  <c r="AM11" i="95"/>
  <c r="AL11" i="95"/>
  <c r="AK11" i="95"/>
  <c r="AJ11" i="95"/>
  <c r="AI11" i="95"/>
  <c r="AH11" i="95"/>
  <c r="AG11" i="95"/>
  <c r="AF11" i="95"/>
  <c r="AE11" i="95"/>
  <c r="AD11" i="95"/>
  <c r="AC11" i="95"/>
  <c r="AB11" i="95"/>
  <c r="AM9" i="95"/>
  <c r="AL9" i="95"/>
  <c r="AK9" i="95"/>
  <c r="AJ9" i="95"/>
  <c r="AI9" i="95"/>
  <c r="AH9" i="95"/>
  <c r="AG9" i="95"/>
  <c r="AF9" i="95"/>
  <c r="AE9" i="95"/>
  <c r="AD9" i="95"/>
  <c r="AC9" i="95"/>
  <c r="AB9" i="95"/>
  <c r="AM7" i="95"/>
  <c r="AL7" i="95"/>
  <c r="AK7" i="95"/>
  <c r="AJ7" i="95"/>
  <c r="AI7" i="95"/>
  <c r="AH7" i="95"/>
  <c r="AG7" i="95"/>
  <c r="AF7" i="95"/>
  <c r="AE7" i="95"/>
  <c r="AD7" i="95"/>
  <c r="AC7" i="95"/>
  <c r="AB7" i="95"/>
  <c r="AM5" i="95"/>
  <c r="AL5" i="95"/>
  <c r="AK5" i="95"/>
  <c r="AJ5" i="95"/>
  <c r="AI5" i="95"/>
  <c r="AH5" i="95"/>
  <c r="AG5" i="95"/>
  <c r="AF5" i="95"/>
  <c r="AE5" i="95"/>
  <c r="AD5" i="95"/>
  <c r="AC5" i="95"/>
  <c r="AB5" i="95"/>
  <c r="H80" i="96" l="1"/>
  <c r="AA128" i="96"/>
  <c r="K128" i="96"/>
  <c r="Q80" i="96"/>
  <c r="I80" i="96"/>
  <c r="D128" i="96"/>
  <c r="S128" i="96"/>
  <c r="Z80" i="96"/>
  <c r="F80" i="96"/>
  <c r="F128" i="96"/>
  <c r="W80" i="96"/>
  <c r="O128" i="96"/>
  <c r="M80" i="96"/>
  <c r="N80" i="96"/>
  <c r="P128" i="96"/>
  <c r="N128" i="96"/>
  <c r="K80" i="96"/>
  <c r="G80" i="96"/>
  <c r="X80" i="96"/>
  <c r="T80" i="96"/>
  <c r="T128" i="96"/>
  <c r="U128" i="96"/>
  <c r="O80" i="96"/>
  <c r="AA80" i="96"/>
  <c r="L80" i="96"/>
  <c r="Q128" i="96"/>
  <c r="R128" i="96"/>
  <c r="V80" i="96"/>
  <c r="S80" i="96"/>
  <c r="CD125" i="97" l="1"/>
  <c r="CD124" i="97"/>
  <c r="CD123" i="97"/>
  <c r="CD122" i="97"/>
  <c r="CD121" i="97"/>
  <c r="CD120" i="97"/>
  <c r="CD119" i="97"/>
  <c r="CD118" i="97"/>
  <c r="CD117" i="97"/>
  <c r="CD116" i="97"/>
  <c r="CD113" i="97"/>
  <c r="CD112" i="97"/>
  <c r="CD111" i="97"/>
  <c r="CD110" i="97"/>
  <c r="CD109" i="97"/>
  <c r="CD108" i="97"/>
  <c r="CD107" i="97"/>
  <c r="CD106" i="97"/>
  <c r="CD105" i="97"/>
  <c r="CD104" i="97"/>
  <c r="CD103" i="97"/>
  <c r="CD102" i="97"/>
  <c r="CD101" i="97"/>
  <c r="CD100" i="97"/>
  <c r="CD98" i="97"/>
  <c r="CD97" i="97"/>
  <c r="CD96" i="97"/>
  <c r="CD95" i="97"/>
  <c r="CD94" i="97"/>
  <c r="CD93" i="97"/>
  <c r="CD92" i="97"/>
  <c r="CD91" i="97"/>
  <c r="CD90" i="97"/>
  <c r="CD89" i="97"/>
  <c r="CD88" i="97"/>
  <c r="CD87" i="97"/>
  <c r="CD86" i="97"/>
  <c r="CD85" i="97"/>
  <c r="CD84" i="97"/>
  <c r="CD80" i="97"/>
  <c r="CD79" i="97"/>
  <c r="CD78" i="97"/>
  <c r="CD77" i="97"/>
  <c r="CD75" i="97"/>
  <c r="CD74" i="97"/>
  <c r="CD73" i="97"/>
  <c r="CD72" i="97"/>
  <c r="CD71" i="97"/>
  <c r="CD70" i="97"/>
  <c r="CD68" i="97"/>
  <c r="CD67" i="97"/>
  <c r="CD65" i="97"/>
  <c r="CD63" i="97" s="1"/>
  <c r="CD64" i="97"/>
  <c r="CD62" i="97"/>
  <c r="CD61" i="97"/>
  <c r="CD60" i="97"/>
  <c r="CD59" i="97"/>
  <c r="CD58" i="97"/>
  <c r="CD57" i="97" s="1"/>
  <c r="CD56" i="97"/>
  <c r="CD53" i="97"/>
  <c r="CD51" i="97" s="1"/>
  <c r="CD52" i="97"/>
  <c r="CD50" i="97"/>
  <c r="CD48" i="97" s="1"/>
  <c r="CD49" i="97"/>
  <c r="CD47" i="97"/>
  <c r="CD46" i="97"/>
  <c r="CD43" i="97"/>
  <c r="CD42" i="97"/>
  <c r="CD41" i="97"/>
  <c r="CD40" i="97"/>
  <c r="CD39" i="97"/>
  <c r="CD38" i="97"/>
  <c r="CD35" i="97"/>
  <c r="CD34" i="97"/>
  <c r="CD33" i="97"/>
  <c r="CD32" i="97"/>
  <c r="CD31" i="97"/>
  <c r="CD29" i="97"/>
  <c r="CD28" i="97"/>
  <c r="CD27" i="97"/>
  <c r="CD25" i="97"/>
  <c r="CD23" i="97" s="1"/>
  <c r="CD24" i="97"/>
  <c r="CD22" i="97"/>
  <c r="CD21" i="97"/>
  <c r="CD20" i="97"/>
  <c r="CD19" i="97"/>
  <c r="CD18" i="97"/>
  <c r="CD17" i="97"/>
  <c r="CD16" i="97"/>
  <c r="CD14" i="97"/>
  <c r="CD13" i="97"/>
  <c r="CD12" i="97"/>
  <c r="CD11" i="97"/>
  <c r="CD10" i="97"/>
  <c r="CD9" i="97"/>
  <c r="CD7" i="97"/>
  <c r="BI128" i="97"/>
  <c r="BH128" i="97"/>
  <c r="BG128" i="97"/>
  <c r="BF128" i="97"/>
  <c r="BE128" i="97"/>
  <c r="BD128" i="97"/>
  <c r="BD127" i="97"/>
  <c r="BO125" i="97"/>
  <c r="BN125" i="97"/>
  <c r="BM125" i="97"/>
  <c r="BL125" i="97"/>
  <c r="BK125" i="97"/>
  <c r="BJ125" i="97"/>
  <c r="BI125" i="97"/>
  <c r="BH125" i="97"/>
  <c r="BG125" i="97"/>
  <c r="BF125" i="97"/>
  <c r="BE125" i="97"/>
  <c r="BD125" i="97"/>
  <c r="BO124" i="97"/>
  <c r="BN124" i="97"/>
  <c r="BM124" i="97"/>
  <c r="BL124" i="97"/>
  <c r="BK124" i="97"/>
  <c r="BJ124" i="97"/>
  <c r="BI124" i="97"/>
  <c r="BH124" i="97"/>
  <c r="BG124" i="97"/>
  <c r="BF124" i="97"/>
  <c r="BE124" i="97"/>
  <c r="BD124" i="97"/>
  <c r="BO123" i="97"/>
  <c r="BN123" i="97"/>
  <c r="BM123" i="97"/>
  <c r="BL123" i="97"/>
  <c r="BK123" i="97"/>
  <c r="BJ123" i="97"/>
  <c r="BI123" i="97"/>
  <c r="BH123" i="97"/>
  <c r="BG123" i="97"/>
  <c r="BF123" i="97"/>
  <c r="BE123" i="97"/>
  <c r="BD123" i="97"/>
  <c r="BO122" i="97"/>
  <c r="BN122" i="97"/>
  <c r="BM122" i="97"/>
  <c r="BL122" i="97"/>
  <c r="BK122" i="97"/>
  <c r="BJ122" i="97"/>
  <c r="BI122" i="97"/>
  <c r="BH122" i="97"/>
  <c r="BG122" i="97"/>
  <c r="BF122" i="97"/>
  <c r="BE122" i="97"/>
  <c r="BD122" i="97"/>
  <c r="BO121" i="97"/>
  <c r="BN121" i="97"/>
  <c r="BM121" i="97"/>
  <c r="BL121" i="97"/>
  <c r="BK121" i="97"/>
  <c r="BJ121" i="97"/>
  <c r="BI121" i="97"/>
  <c r="BH121" i="97"/>
  <c r="BG121" i="97"/>
  <c r="BF121" i="97"/>
  <c r="BE121" i="97"/>
  <c r="BD121" i="97"/>
  <c r="BO120" i="97"/>
  <c r="BN120" i="97"/>
  <c r="BM120" i="97"/>
  <c r="BL120" i="97"/>
  <c r="BK120" i="97"/>
  <c r="BJ120" i="97"/>
  <c r="BI120" i="97"/>
  <c r="BH120" i="97"/>
  <c r="BG120" i="97"/>
  <c r="BF120" i="97"/>
  <c r="BE120" i="97"/>
  <c r="BD120" i="97"/>
  <c r="BO119" i="97"/>
  <c r="BN119" i="97"/>
  <c r="BM119" i="97"/>
  <c r="BL119" i="97"/>
  <c r="BK119" i="97"/>
  <c r="BJ119" i="97"/>
  <c r="BI119" i="97"/>
  <c r="BH119" i="97"/>
  <c r="BG119" i="97"/>
  <c r="BF119" i="97"/>
  <c r="BE119" i="97"/>
  <c r="BD119" i="97"/>
  <c r="BO118" i="97"/>
  <c r="BN118" i="97"/>
  <c r="BM118" i="97"/>
  <c r="BL118" i="97"/>
  <c r="BK118" i="97"/>
  <c r="BJ118" i="97"/>
  <c r="BI118" i="97"/>
  <c r="BH118" i="97"/>
  <c r="BG118" i="97"/>
  <c r="BF118" i="97"/>
  <c r="BE118" i="97"/>
  <c r="BD118" i="97"/>
  <c r="BO117" i="97"/>
  <c r="BN117" i="97"/>
  <c r="BM117" i="97"/>
  <c r="BL117" i="97"/>
  <c r="BK117" i="97"/>
  <c r="BJ117" i="97"/>
  <c r="BI117" i="97"/>
  <c r="BH117" i="97"/>
  <c r="BG117" i="97"/>
  <c r="BF117" i="97"/>
  <c r="BE117" i="97"/>
  <c r="BD117" i="97"/>
  <c r="BO116" i="97"/>
  <c r="BN116" i="97"/>
  <c r="BM116" i="97"/>
  <c r="BL116" i="97"/>
  <c r="BK116" i="97"/>
  <c r="BJ116" i="97"/>
  <c r="BI116" i="97"/>
  <c r="BH116" i="97"/>
  <c r="BG116" i="97"/>
  <c r="BF116" i="97"/>
  <c r="BE116" i="97"/>
  <c r="BD116" i="97"/>
  <c r="BO113" i="97"/>
  <c r="BN113" i="97"/>
  <c r="BM113" i="97"/>
  <c r="BL113" i="97"/>
  <c r="BK113" i="97"/>
  <c r="BJ113" i="97"/>
  <c r="BI113" i="97"/>
  <c r="BH113" i="97"/>
  <c r="BG113" i="97"/>
  <c r="BF113" i="97"/>
  <c r="BE113" i="97"/>
  <c r="BD113" i="97"/>
  <c r="BO112" i="97"/>
  <c r="BN112" i="97"/>
  <c r="BM112" i="97"/>
  <c r="BL112" i="97"/>
  <c r="BK112" i="97"/>
  <c r="BJ112" i="97"/>
  <c r="BI112" i="97"/>
  <c r="BH112" i="97"/>
  <c r="BG112" i="97"/>
  <c r="BF112" i="97"/>
  <c r="BE112" i="97"/>
  <c r="BD112" i="97"/>
  <c r="BO111" i="97"/>
  <c r="BN111" i="97"/>
  <c r="BM111" i="97"/>
  <c r="BL111" i="97"/>
  <c r="BK111" i="97"/>
  <c r="BJ111" i="97"/>
  <c r="BI111" i="97"/>
  <c r="BH111" i="97"/>
  <c r="BG111" i="97"/>
  <c r="BF111" i="97"/>
  <c r="BE111" i="97"/>
  <c r="BD111" i="97"/>
  <c r="BO110" i="97"/>
  <c r="BN110" i="97"/>
  <c r="BM110" i="97"/>
  <c r="BL110" i="97"/>
  <c r="BK110" i="97"/>
  <c r="BJ110" i="97"/>
  <c r="BI110" i="97"/>
  <c r="BH110" i="97"/>
  <c r="BG110" i="97"/>
  <c r="BF110" i="97"/>
  <c r="BE110" i="97"/>
  <c r="BD110" i="97"/>
  <c r="BO109" i="97"/>
  <c r="BN109" i="97"/>
  <c r="BM109" i="97"/>
  <c r="BL109" i="97"/>
  <c r="BK109" i="97"/>
  <c r="BJ109" i="97"/>
  <c r="BI109" i="97"/>
  <c r="BH109" i="97"/>
  <c r="BG109" i="97"/>
  <c r="BF109" i="97"/>
  <c r="BE109" i="97"/>
  <c r="BD109" i="97"/>
  <c r="BO108" i="97"/>
  <c r="BN108" i="97"/>
  <c r="BM108" i="97"/>
  <c r="BL108" i="97"/>
  <c r="BK108" i="97"/>
  <c r="BJ108" i="97"/>
  <c r="BI108" i="97"/>
  <c r="BH108" i="97"/>
  <c r="BG108" i="97"/>
  <c r="BF108" i="97"/>
  <c r="BE108" i="97"/>
  <c r="BD108" i="97"/>
  <c r="BO107" i="97"/>
  <c r="BN107" i="97"/>
  <c r="BM107" i="97"/>
  <c r="BL107" i="97"/>
  <c r="BK107" i="97"/>
  <c r="BJ107" i="97"/>
  <c r="BI107" i="97"/>
  <c r="BH107" i="97"/>
  <c r="BG107" i="97"/>
  <c r="BF107" i="97"/>
  <c r="BE107" i="97"/>
  <c r="BD107" i="97"/>
  <c r="BO106" i="97"/>
  <c r="BN106" i="97"/>
  <c r="BM106" i="97"/>
  <c r="BL106" i="97"/>
  <c r="BK106" i="97"/>
  <c r="BJ106" i="97"/>
  <c r="BI106" i="97"/>
  <c r="BH106" i="97"/>
  <c r="BG106" i="97"/>
  <c r="BF106" i="97"/>
  <c r="BE106" i="97"/>
  <c r="BD106" i="97"/>
  <c r="BO105" i="97"/>
  <c r="BN105" i="97"/>
  <c r="BM105" i="97"/>
  <c r="BL105" i="97"/>
  <c r="BK105" i="97"/>
  <c r="BJ105" i="97"/>
  <c r="BI105" i="97"/>
  <c r="BH105" i="97"/>
  <c r="BG105" i="97"/>
  <c r="BF105" i="97"/>
  <c r="BE105" i="97"/>
  <c r="BD105" i="97"/>
  <c r="BO104" i="97"/>
  <c r="BN104" i="97"/>
  <c r="BM104" i="97"/>
  <c r="BL104" i="97"/>
  <c r="BK104" i="97"/>
  <c r="BJ104" i="97"/>
  <c r="BI104" i="97"/>
  <c r="BH104" i="97"/>
  <c r="BG104" i="97"/>
  <c r="BF104" i="97"/>
  <c r="BE104" i="97"/>
  <c r="BD104" i="97"/>
  <c r="BO103" i="97"/>
  <c r="BN103" i="97"/>
  <c r="BM103" i="97"/>
  <c r="BL103" i="97"/>
  <c r="BK103" i="97"/>
  <c r="BJ103" i="97"/>
  <c r="BI103" i="97"/>
  <c r="BH103" i="97"/>
  <c r="BG103" i="97"/>
  <c r="BF103" i="97"/>
  <c r="BE103" i="97"/>
  <c r="BD103" i="97"/>
  <c r="BO102" i="97"/>
  <c r="BN102" i="97"/>
  <c r="BM102" i="97"/>
  <c r="BL102" i="97"/>
  <c r="BK102" i="97"/>
  <c r="BJ102" i="97"/>
  <c r="BI102" i="97"/>
  <c r="BH102" i="97"/>
  <c r="BG102" i="97"/>
  <c r="BF102" i="97"/>
  <c r="BE102" i="97"/>
  <c r="BD102" i="97"/>
  <c r="BO101" i="97"/>
  <c r="BN101" i="97"/>
  <c r="BM101" i="97"/>
  <c r="BL101" i="97"/>
  <c r="BK101" i="97"/>
  <c r="BJ101" i="97"/>
  <c r="BI101" i="97"/>
  <c r="BH101" i="97"/>
  <c r="BG101" i="97"/>
  <c r="BF101" i="97"/>
  <c r="BE101" i="97"/>
  <c r="BD101" i="97"/>
  <c r="BO100" i="97"/>
  <c r="BN100" i="97"/>
  <c r="BM100" i="97"/>
  <c r="BL100" i="97"/>
  <c r="BK100" i="97"/>
  <c r="BJ100" i="97"/>
  <c r="BI100" i="97"/>
  <c r="BH100" i="97"/>
  <c r="BG100" i="97"/>
  <c r="BF100" i="97"/>
  <c r="BE100" i="97"/>
  <c r="BD100" i="97"/>
  <c r="BO98" i="97"/>
  <c r="BN98" i="97"/>
  <c r="BM98" i="97"/>
  <c r="BL98" i="97"/>
  <c r="BK98" i="97"/>
  <c r="BJ98" i="97"/>
  <c r="BI98" i="97"/>
  <c r="BH98" i="97"/>
  <c r="BG98" i="97"/>
  <c r="BF98" i="97"/>
  <c r="BE98" i="97"/>
  <c r="BD98" i="97"/>
  <c r="BO97" i="97"/>
  <c r="BN97" i="97"/>
  <c r="BM97" i="97"/>
  <c r="BL97" i="97"/>
  <c r="BK97" i="97"/>
  <c r="BJ97" i="97"/>
  <c r="BI97" i="97"/>
  <c r="BH97" i="97"/>
  <c r="BG97" i="97"/>
  <c r="BF97" i="97"/>
  <c r="BE97" i="97"/>
  <c r="BD97" i="97"/>
  <c r="BO96" i="97"/>
  <c r="BN96" i="97"/>
  <c r="BM96" i="97"/>
  <c r="BL96" i="97"/>
  <c r="BK96" i="97"/>
  <c r="BJ96" i="97"/>
  <c r="BI96" i="97"/>
  <c r="BH96" i="97"/>
  <c r="BG96" i="97"/>
  <c r="BF96" i="97"/>
  <c r="BE96" i="97"/>
  <c r="BD96" i="97"/>
  <c r="BO95" i="97"/>
  <c r="BN95" i="97"/>
  <c r="BM95" i="97"/>
  <c r="BL95" i="97"/>
  <c r="BK95" i="97"/>
  <c r="BJ95" i="97"/>
  <c r="BI95" i="97"/>
  <c r="BH95" i="97"/>
  <c r="BG95" i="97"/>
  <c r="BF95" i="97"/>
  <c r="BE95" i="97"/>
  <c r="BD95" i="97"/>
  <c r="BO94" i="97"/>
  <c r="BN94" i="97"/>
  <c r="BM94" i="97"/>
  <c r="BL94" i="97"/>
  <c r="BK94" i="97"/>
  <c r="BJ94" i="97"/>
  <c r="BI94" i="97"/>
  <c r="BH94" i="97"/>
  <c r="BG94" i="97"/>
  <c r="BF94" i="97"/>
  <c r="BE94" i="97"/>
  <c r="BD94" i="97"/>
  <c r="BO93" i="97"/>
  <c r="BN93" i="97"/>
  <c r="BM93" i="97"/>
  <c r="BL93" i="97"/>
  <c r="BK93" i="97"/>
  <c r="BJ93" i="97"/>
  <c r="BI93" i="97"/>
  <c r="BH93" i="97"/>
  <c r="BG93" i="97"/>
  <c r="BF93" i="97"/>
  <c r="BE93" i="97"/>
  <c r="BD93" i="97"/>
  <c r="BO92" i="97"/>
  <c r="BN92" i="97"/>
  <c r="BM92" i="97"/>
  <c r="BL92" i="97"/>
  <c r="BK92" i="97"/>
  <c r="BJ92" i="97"/>
  <c r="BI92" i="97"/>
  <c r="BH92" i="97"/>
  <c r="BG92" i="97"/>
  <c r="BF92" i="97"/>
  <c r="BE92" i="97"/>
  <c r="BD92" i="97"/>
  <c r="BO91" i="97"/>
  <c r="BN91" i="97"/>
  <c r="BM91" i="97"/>
  <c r="BL91" i="97"/>
  <c r="BK91" i="97"/>
  <c r="BJ91" i="97"/>
  <c r="BI91" i="97"/>
  <c r="BH91" i="97"/>
  <c r="BG91" i="97"/>
  <c r="BF91" i="97"/>
  <c r="BE91" i="97"/>
  <c r="BD91" i="97"/>
  <c r="BO90" i="97"/>
  <c r="BN90" i="97"/>
  <c r="BM90" i="97"/>
  <c r="BL90" i="97"/>
  <c r="BK90" i="97"/>
  <c r="BJ90" i="97"/>
  <c r="BI90" i="97"/>
  <c r="BH90" i="97"/>
  <c r="BG90" i="97"/>
  <c r="BF90" i="97"/>
  <c r="BE90" i="97"/>
  <c r="BD90" i="97"/>
  <c r="BO89" i="97"/>
  <c r="BN89" i="97"/>
  <c r="BM89" i="97"/>
  <c r="BL89" i="97"/>
  <c r="BK89" i="97"/>
  <c r="BJ89" i="97"/>
  <c r="BI89" i="97"/>
  <c r="BH89" i="97"/>
  <c r="BG89" i="97"/>
  <c r="BF89" i="97"/>
  <c r="BE89" i="97"/>
  <c r="BD89" i="97"/>
  <c r="BO88" i="97"/>
  <c r="BN88" i="97"/>
  <c r="BM88" i="97"/>
  <c r="BL88" i="97"/>
  <c r="BK88" i="97"/>
  <c r="BJ88" i="97"/>
  <c r="BI88" i="97"/>
  <c r="BH88" i="97"/>
  <c r="BG88" i="97"/>
  <c r="BF88" i="97"/>
  <c r="BE88" i="97"/>
  <c r="BD88" i="97"/>
  <c r="BO87" i="97"/>
  <c r="BN87" i="97"/>
  <c r="BM87" i="97"/>
  <c r="BL87" i="97"/>
  <c r="BK87" i="97"/>
  <c r="BJ87" i="97"/>
  <c r="BI87" i="97"/>
  <c r="BH87" i="97"/>
  <c r="BG87" i="97"/>
  <c r="BF87" i="97"/>
  <c r="BE87" i="97"/>
  <c r="BD87" i="97"/>
  <c r="BO86" i="97"/>
  <c r="BN86" i="97"/>
  <c r="BM86" i="97"/>
  <c r="BL86" i="97"/>
  <c r="BK86" i="97"/>
  <c r="BJ86" i="97"/>
  <c r="BI86" i="97"/>
  <c r="BH86" i="97"/>
  <c r="BG86" i="97"/>
  <c r="BF86" i="97"/>
  <c r="BE86" i="97"/>
  <c r="BD86" i="97"/>
  <c r="BO85" i="97"/>
  <c r="BN85" i="97"/>
  <c r="BM85" i="97"/>
  <c r="BL85" i="97"/>
  <c r="BK85" i="97"/>
  <c r="BJ85" i="97"/>
  <c r="BI85" i="97"/>
  <c r="BH85" i="97"/>
  <c r="BG85" i="97"/>
  <c r="BF85" i="97"/>
  <c r="BE85" i="97"/>
  <c r="BD85" i="97"/>
  <c r="BO84" i="97"/>
  <c r="BN84" i="97"/>
  <c r="BM84" i="97"/>
  <c r="BL84" i="97"/>
  <c r="BK84" i="97"/>
  <c r="BJ84" i="97"/>
  <c r="BI84" i="97"/>
  <c r="BH84" i="97"/>
  <c r="BG84" i="97"/>
  <c r="BF84" i="97"/>
  <c r="BE84" i="97"/>
  <c r="BD84" i="97"/>
  <c r="BO80" i="97"/>
  <c r="BN80" i="97"/>
  <c r="BM80" i="97"/>
  <c r="BL80" i="97"/>
  <c r="BK80" i="97"/>
  <c r="BJ80" i="97"/>
  <c r="BI80" i="97"/>
  <c r="BH80" i="97"/>
  <c r="BG80" i="97"/>
  <c r="BF80" i="97"/>
  <c r="BE80" i="97"/>
  <c r="BD80" i="97"/>
  <c r="BO79" i="97"/>
  <c r="BN79" i="97"/>
  <c r="BM79" i="97"/>
  <c r="BL79" i="97"/>
  <c r="BK79" i="97"/>
  <c r="BJ79" i="97"/>
  <c r="BI79" i="97"/>
  <c r="BH79" i="97"/>
  <c r="BG79" i="97"/>
  <c r="BF79" i="97"/>
  <c r="BE79" i="97"/>
  <c r="BD79" i="97"/>
  <c r="BO78" i="97"/>
  <c r="BN78" i="97"/>
  <c r="BM78" i="97"/>
  <c r="BL78" i="97"/>
  <c r="BK78" i="97"/>
  <c r="BJ78" i="97"/>
  <c r="BI78" i="97"/>
  <c r="BH78" i="97"/>
  <c r="BG78" i="97"/>
  <c r="BF78" i="97"/>
  <c r="BE78" i="97"/>
  <c r="BD78" i="97"/>
  <c r="BO77" i="97"/>
  <c r="BN77" i="97"/>
  <c r="BM77" i="97"/>
  <c r="BL77" i="97"/>
  <c r="BK77" i="97"/>
  <c r="BJ77" i="97"/>
  <c r="BI77" i="97"/>
  <c r="BH77" i="97"/>
  <c r="BG77" i="97"/>
  <c r="BF77" i="97"/>
  <c r="BE77" i="97"/>
  <c r="BD77" i="97"/>
  <c r="BO75" i="97"/>
  <c r="BN75" i="97"/>
  <c r="BM75" i="97"/>
  <c r="BL75" i="97"/>
  <c r="BK75" i="97"/>
  <c r="BJ75" i="97"/>
  <c r="BI75" i="97"/>
  <c r="BH75" i="97"/>
  <c r="BG75" i="97"/>
  <c r="BF75" i="97"/>
  <c r="BE75" i="97"/>
  <c r="BD75" i="97"/>
  <c r="BO74" i="97"/>
  <c r="BN74" i="97"/>
  <c r="BM74" i="97"/>
  <c r="BL74" i="97"/>
  <c r="BK74" i="97"/>
  <c r="BJ74" i="97"/>
  <c r="BI74" i="97"/>
  <c r="BH74" i="97"/>
  <c r="BG74" i="97"/>
  <c r="BF74" i="97"/>
  <c r="BE74" i="97"/>
  <c r="BD74" i="97"/>
  <c r="BO73" i="97"/>
  <c r="BN73" i="97"/>
  <c r="BM73" i="97"/>
  <c r="BL73" i="97"/>
  <c r="BK73" i="97"/>
  <c r="BJ73" i="97"/>
  <c r="BI73" i="97"/>
  <c r="BH73" i="97"/>
  <c r="BG73" i="97"/>
  <c r="BF73" i="97"/>
  <c r="BE73" i="97"/>
  <c r="BD73" i="97"/>
  <c r="BO72" i="97"/>
  <c r="BN72" i="97"/>
  <c r="BM72" i="97"/>
  <c r="BL72" i="97"/>
  <c r="BK72" i="97"/>
  <c r="BJ72" i="97"/>
  <c r="BI72" i="97"/>
  <c r="BH72" i="97"/>
  <c r="BG72" i="97"/>
  <c r="BF72" i="97"/>
  <c r="BE72" i="97"/>
  <c r="BD72" i="97"/>
  <c r="BO71" i="97"/>
  <c r="BN71" i="97"/>
  <c r="BM71" i="97"/>
  <c r="BL71" i="97"/>
  <c r="BK71" i="97"/>
  <c r="BJ71" i="97"/>
  <c r="BI71" i="97"/>
  <c r="BH71" i="97"/>
  <c r="BG71" i="97"/>
  <c r="BF71" i="97"/>
  <c r="BE71" i="97"/>
  <c r="BD71" i="97"/>
  <c r="BO70" i="97"/>
  <c r="BN70" i="97"/>
  <c r="BM70" i="97"/>
  <c r="BL70" i="97"/>
  <c r="BK70" i="97"/>
  <c r="BJ70" i="97"/>
  <c r="BI70" i="97"/>
  <c r="BH70" i="97"/>
  <c r="BG70" i="97"/>
  <c r="BF70" i="97"/>
  <c r="BE70" i="97"/>
  <c r="BD70" i="97"/>
  <c r="BO68" i="97"/>
  <c r="BN68" i="97"/>
  <c r="BM68" i="97"/>
  <c r="BL68" i="97"/>
  <c r="BK68" i="97"/>
  <c r="BJ68" i="97"/>
  <c r="BI68" i="97"/>
  <c r="BH68" i="97"/>
  <c r="BG68" i="97"/>
  <c r="BF68" i="97"/>
  <c r="BE68" i="97"/>
  <c r="BD68" i="97"/>
  <c r="BO67" i="97"/>
  <c r="BN67" i="97"/>
  <c r="BM67" i="97"/>
  <c r="BL67" i="97"/>
  <c r="BK67" i="97"/>
  <c r="BJ67" i="97"/>
  <c r="BI67" i="97"/>
  <c r="BH67" i="97"/>
  <c r="BG67" i="97"/>
  <c r="BF67" i="97"/>
  <c r="BE67" i="97"/>
  <c r="BD67" i="97"/>
  <c r="BO65" i="97"/>
  <c r="BN65" i="97"/>
  <c r="BM65" i="97"/>
  <c r="BL65" i="97"/>
  <c r="BK65" i="97"/>
  <c r="BJ65" i="97"/>
  <c r="BI65" i="97"/>
  <c r="BH65" i="97"/>
  <c r="BG65" i="97"/>
  <c r="BF65" i="97"/>
  <c r="BE65" i="97"/>
  <c r="BD65" i="97"/>
  <c r="BO64" i="97"/>
  <c r="BN64" i="97"/>
  <c r="BM64" i="97"/>
  <c r="BL64" i="97"/>
  <c r="BK64" i="97"/>
  <c r="BJ64" i="97"/>
  <c r="BI64" i="97"/>
  <c r="BH64" i="97"/>
  <c r="BG64" i="97"/>
  <c r="BF64" i="97"/>
  <c r="BE64" i="97"/>
  <c r="BD64" i="97"/>
  <c r="BO62" i="97"/>
  <c r="BN62" i="97"/>
  <c r="BM62" i="97"/>
  <c r="BL62" i="97"/>
  <c r="BK62" i="97"/>
  <c r="BJ62" i="97"/>
  <c r="BI62" i="97"/>
  <c r="BH62" i="97"/>
  <c r="BG62" i="97"/>
  <c r="BF62" i="97"/>
  <c r="BE62" i="97"/>
  <c r="BD62" i="97"/>
  <c r="BO61" i="97"/>
  <c r="BN61" i="97"/>
  <c r="BM61" i="97"/>
  <c r="BL61" i="97"/>
  <c r="BK61" i="97"/>
  <c r="BJ61" i="97"/>
  <c r="BI61" i="97"/>
  <c r="BH61" i="97"/>
  <c r="BG61" i="97"/>
  <c r="BF61" i="97"/>
  <c r="BE61" i="97"/>
  <c r="BD61" i="97"/>
  <c r="BO60" i="97"/>
  <c r="BN60" i="97"/>
  <c r="BM60" i="97"/>
  <c r="BL60" i="97"/>
  <c r="BK60" i="97"/>
  <c r="BJ60" i="97"/>
  <c r="BI60" i="97"/>
  <c r="BH60" i="97"/>
  <c r="BG60" i="97"/>
  <c r="BF60" i="97"/>
  <c r="BE60" i="97"/>
  <c r="BD60" i="97"/>
  <c r="BO59" i="97"/>
  <c r="BN59" i="97"/>
  <c r="BM59" i="97"/>
  <c r="BL59" i="97"/>
  <c r="BK59" i="97"/>
  <c r="BJ59" i="97"/>
  <c r="BI59" i="97"/>
  <c r="BH59" i="97"/>
  <c r="BG59" i="97"/>
  <c r="BF59" i="97"/>
  <c r="BE59" i="97"/>
  <c r="BD59" i="97"/>
  <c r="BO58" i="97"/>
  <c r="BN58" i="97"/>
  <c r="BM58" i="97"/>
  <c r="BL58" i="97"/>
  <c r="BK58" i="97"/>
  <c r="BJ58" i="97"/>
  <c r="BI58" i="97"/>
  <c r="BH58" i="97"/>
  <c r="BG58" i="97"/>
  <c r="BF58" i="97"/>
  <c r="BE58" i="97"/>
  <c r="BD58" i="97"/>
  <c r="BO56" i="97"/>
  <c r="BN56" i="97"/>
  <c r="BM56" i="97"/>
  <c r="BL56" i="97"/>
  <c r="BK56" i="97"/>
  <c r="BJ56" i="97"/>
  <c r="BI56" i="97"/>
  <c r="BH56" i="97"/>
  <c r="BG56" i="97"/>
  <c r="BF56" i="97"/>
  <c r="BE56" i="97"/>
  <c r="BD56" i="97"/>
  <c r="BO53" i="97"/>
  <c r="BN53" i="97"/>
  <c r="BM53" i="97"/>
  <c r="BL53" i="97"/>
  <c r="BK53" i="97"/>
  <c r="BJ53" i="97"/>
  <c r="BI53" i="97"/>
  <c r="BH53" i="97"/>
  <c r="BG53" i="97"/>
  <c r="BF53" i="97"/>
  <c r="BE53" i="97"/>
  <c r="BD53" i="97"/>
  <c r="BO52" i="97"/>
  <c r="BN52" i="97"/>
  <c r="BM52" i="97"/>
  <c r="BL52" i="97"/>
  <c r="BK52" i="97"/>
  <c r="BJ52" i="97"/>
  <c r="BI52" i="97"/>
  <c r="BH52" i="97"/>
  <c r="BG52" i="97"/>
  <c r="BF52" i="97"/>
  <c r="BE52" i="97"/>
  <c r="BD52" i="97"/>
  <c r="BO50" i="97"/>
  <c r="BN50" i="97"/>
  <c r="BM50" i="97"/>
  <c r="BL50" i="97"/>
  <c r="BK50" i="97"/>
  <c r="BJ50" i="97"/>
  <c r="BI50" i="97"/>
  <c r="BH50" i="97"/>
  <c r="BG50" i="97"/>
  <c r="BF50" i="97"/>
  <c r="BE50" i="97"/>
  <c r="BD50" i="97"/>
  <c r="BO49" i="97"/>
  <c r="BN49" i="97"/>
  <c r="BM49" i="97"/>
  <c r="BL49" i="97"/>
  <c r="BK49" i="97"/>
  <c r="BJ49" i="97"/>
  <c r="BI49" i="97"/>
  <c r="BH49" i="97"/>
  <c r="BG49" i="97"/>
  <c r="BF49" i="97"/>
  <c r="BE49" i="97"/>
  <c r="BD49" i="97"/>
  <c r="BO47" i="97"/>
  <c r="BN47" i="97"/>
  <c r="BM47" i="97"/>
  <c r="BL47" i="97"/>
  <c r="BK47" i="97"/>
  <c r="BJ47" i="97"/>
  <c r="BI47" i="97"/>
  <c r="BH47" i="97"/>
  <c r="BG47" i="97"/>
  <c r="BF47" i="97"/>
  <c r="BE47" i="97"/>
  <c r="BD47" i="97"/>
  <c r="BO46" i="97"/>
  <c r="BN46" i="97"/>
  <c r="BM46" i="97"/>
  <c r="BL46" i="97"/>
  <c r="BK46" i="97"/>
  <c r="BJ46" i="97"/>
  <c r="BI46" i="97"/>
  <c r="BH46" i="97"/>
  <c r="BG46" i="97"/>
  <c r="BF46" i="97"/>
  <c r="BE46" i="97"/>
  <c r="BD46" i="97"/>
  <c r="BO43" i="97"/>
  <c r="BN43" i="97"/>
  <c r="BM43" i="97"/>
  <c r="BL43" i="97"/>
  <c r="BK43" i="97"/>
  <c r="BJ43" i="97"/>
  <c r="BI43" i="97"/>
  <c r="BH43" i="97"/>
  <c r="BG43" i="97"/>
  <c r="BF43" i="97"/>
  <c r="BE43" i="97"/>
  <c r="BD43" i="97"/>
  <c r="BO42" i="97"/>
  <c r="BN42" i="97"/>
  <c r="BM42" i="97"/>
  <c r="BL42" i="97"/>
  <c r="BK42" i="97"/>
  <c r="BJ42" i="97"/>
  <c r="BI42" i="97"/>
  <c r="BH42" i="97"/>
  <c r="BG42" i="97"/>
  <c r="BF42" i="97"/>
  <c r="BE42" i="97"/>
  <c r="BD42" i="97"/>
  <c r="BO41" i="97"/>
  <c r="BN41" i="97"/>
  <c r="BM41" i="97"/>
  <c r="BL41" i="97"/>
  <c r="BK41" i="97"/>
  <c r="BJ41" i="97"/>
  <c r="BI41" i="97"/>
  <c r="BH41" i="97"/>
  <c r="BG41" i="97"/>
  <c r="BF41" i="97"/>
  <c r="BE41" i="97"/>
  <c r="BD41" i="97"/>
  <c r="BO40" i="97"/>
  <c r="BN40" i="97"/>
  <c r="BM40" i="97"/>
  <c r="BL40" i="97"/>
  <c r="BK40" i="97"/>
  <c r="BJ40" i="97"/>
  <c r="BI40" i="97"/>
  <c r="BH40" i="97"/>
  <c r="BG40" i="97"/>
  <c r="BF40" i="97"/>
  <c r="BE40" i="97"/>
  <c r="BD40" i="97"/>
  <c r="BO39" i="97"/>
  <c r="BN39" i="97"/>
  <c r="BM39" i="97"/>
  <c r="BL39" i="97"/>
  <c r="BK39" i="97"/>
  <c r="BJ39" i="97"/>
  <c r="BI39" i="97"/>
  <c r="BH39" i="97"/>
  <c r="BG39" i="97"/>
  <c r="BF39" i="97"/>
  <c r="BE39" i="97"/>
  <c r="BD39" i="97"/>
  <c r="BO38" i="97"/>
  <c r="BN38" i="97"/>
  <c r="BM38" i="97"/>
  <c r="BL38" i="97"/>
  <c r="BK38" i="97"/>
  <c r="BJ38" i="97"/>
  <c r="BI38" i="97"/>
  <c r="BH38" i="97"/>
  <c r="BG38" i="97"/>
  <c r="BF38" i="97"/>
  <c r="BE38" i="97"/>
  <c r="BD38" i="97"/>
  <c r="BO35" i="97"/>
  <c r="BN35" i="97"/>
  <c r="BM35" i="97"/>
  <c r="BL35" i="97"/>
  <c r="BK35" i="97"/>
  <c r="BJ35" i="97"/>
  <c r="BI35" i="97"/>
  <c r="BH35" i="97"/>
  <c r="BG35" i="97"/>
  <c r="BF35" i="97"/>
  <c r="BE35" i="97"/>
  <c r="BD35" i="97"/>
  <c r="BO34" i="97"/>
  <c r="BN34" i="97"/>
  <c r="BM34" i="97"/>
  <c r="BL34" i="97"/>
  <c r="BK34" i="97"/>
  <c r="BJ34" i="97"/>
  <c r="BI34" i="97"/>
  <c r="BH34" i="97"/>
  <c r="BG34" i="97"/>
  <c r="BF34" i="97"/>
  <c r="BE34" i="97"/>
  <c r="BD34" i="97"/>
  <c r="BO33" i="97"/>
  <c r="BN33" i="97"/>
  <c r="BM33" i="97"/>
  <c r="BL33" i="97"/>
  <c r="BK33" i="97"/>
  <c r="BJ33" i="97"/>
  <c r="BI33" i="97"/>
  <c r="BH33" i="97"/>
  <c r="BG33" i="97"/>
  <c r="BF33" i="97"/>
  <c r="BE33" i="97"/>
  <c r="BD33" i="97"/>
  <c r="BO32" i="97"/>
  <c r="BN32" i="97"/>
  <c r="BM32" i="97"/>
  <c r="BL32" i="97"/>
  <c r="BK32" i="97"/>
  <c r="BJ32" i="97"/>
  <c r="BI32" i="97"/>
  <c r="BH32" i="97"/>
  <c r="BG32" i="97"/>
  <c r="BF32" i="97"/>
  <c r="BE32" i="97"/>
  <c r="BD32" i="97"/>
  <c r="BO31" i="97"/>
  <c r="BN31" i="97"/>
  <c r="BM31" i="97"/>
  <c r="BL31" i="97"/>
  <c r="BK31" i="97"/>
  <c r="BJ31" i="97"/>
  <c r="BI31" i="97"/>
  <c r="BH31" i="97"/>
  <c r="BG31" i="97"/>
  <c r="BF31" i="97"/>
  <c r="BE31" i="97"/>
  <c r="BD31" i="97"/>
  <c r="BO29" i="97"/>
  <c r="BN29" i="97"/>
  <c r="BM29" i="97"/>
  <c r="BL29" i="97"/>
  <c r="BK29" i="97"/>
  <c r="BJ29" i="97"/>
  <c r="BI29" i="97"/>
  <c r="BH29" i="97"/>
  <c r="BG29" i="97"/>
  <c r="BF29" i="97"/>
  <c r="BE29" i="97"/>
  <c r="BD29" i="97"/>
  <c r="BO28" i="97"/>
  <c r="BN28" i="97"/>
  <c r="BM28" i="97"/>
  <c r="BL28" i="97"/>
  <c r="BK28" i="97"/>
  <c r="BJ28" i="97"/>
  <c r="BI28" i="97"/>
  <c r="BH28" i="97"/>
  <c r="BG28" i="97"/>
  <c r="BF28" i="97"/>
  <c r="BE28" i="97"/>
  <c r="BD28" i="97"/>
  <c r="BO27" i="97"/>
  <c r="BN27" i="97"/>
  <c r="BM27" i="97"/>
  <c r="BL27" i="97"/>
  <c r="BK27" i="97"/>
  <c r="BJ27" i="97"/>
  <c r="BI27" i="97"/>
  <c r="BH27" i="97"/>
  <c r="BG27" i="97"/>
  <c r="BF27" i="97"/>
  <c r="BE27" i="97"/>
  <c r="BD27" i="97"/>
  <c r="BO25" i="97"/>
  <c r="BN25" i="97"/>
  <c r="BM25" i="97"/>
  <c r="BL25" i="97"/>
  <c r="BK25" i="97"/>
  <c r="BJ25" i="97"/>
  <c r="BI25" i="97"/>
  <c r="BH25" i="97"/>
  <c r="BG25" i="97"/>
  <c r="BF25" i="97"/>
  <c r="BE25" i="97"/>
  <c r="BD25" i="97"/>
  <c r="BO24" i="97"/>
  <c r="BN24" i="97"/>
  <c r="BM24" i="97"/>
  <c r="BL24" i="97"/>
  <c r="BK24" i="97"/>
  <c r="BJ24" i="97"/>
  <c r="BI24" i="97"/>
  <c r="BH24" i="97"/>
  <c r="BG24" i="97"/>
  <c r="BF24" i="97"/>
  <c r="BE24" i="97"/>
  <c r="BD24" i="97"/>
  <c r="BO22" i="97"/>
  <c r="BN22" i="97"/>
  <c r="BM22" i="97"/>
  <c r="BL22" i="97"/>
  <c r="BK22" i="97"/>
  <c r="BJ22" i="97"/>
  <c r="BI22" i="97"/>
  <c r="BH22" i="97"/>
  <c r="BG22" i="97"/>
  <c r="BF22" i="97"/>
  <c r="BE22" i="97"/>
  <c r="BD22" i="97"/>
  <c r="BO21" i="97"/>
  <c r="BN21" i="97"/>
  <c r="BM21" i="97"/>
  <c r="BL21" i="97"/>
  <c r="BK21" i="97"/>
  <c r="BJ21" i="97"/>
  <c r="BI21" i="97"/>
  <c r="BH21" i="97"/>
  <c r="BG21" i="97"/>
  <c r="BF21" i="97"/>
  <c r="BE21" i="97"/>
  <c r="BD21" i="97"/>
  <c r="BO20" i="97"/>
  <c r="BN20" i="97"/>
  <c r="BM20" i="97"/>
  <c r="BL20" i="97"/>
  <c r="BK20" i="97"/>
  <c r="BJ20" i="97"/>
  <c r="BI20" i="97"/>
  <c r="BH20" i="97"/>
  <c r="BG20" i="97"/>
  <c r="BF20" i="97"/>
  <c r="BE20" i="97"/>
  <c r="BD20" i="97"/>
  <c r="BO19" i="97"/>
  <c r="BN19" i="97"/>
  <c r="BM19" i="97"/>
  <c r="BL19" i="97"/>
  <c r="BK19" i="97"/>
  <c r="BJ19" i="97"/>
  <c r="BI19" i="97"/>
  <c r="BH19" i="97"/>
  <c r="BG19" i="97"/>
  <c r="BF19" i="97"/>
  <c r="BE19" i="97"/>
  <c r="BD19" i="97"/>
  <c r="BO18" i="97"/>
  <c r="BN18" i="97"/>
  <c r="BM18" i="97"/>
  <c r="BL18" i="97"/>
  <c r="BK18" i="97"/>
  <c r="BJ18" i="97"/>
  <c r="BI18" i="97"/>
  <c r="BH18" i="97"/>
  <c r="BG18" i="97"/>
  <c r="BF18" i="97"/>
  <c r="BE18" i="97"/>
  <c r="BD18" i="97"/>
  <c r="BO17" i="97"/>
  <c r="BN17" i="97"/>
  <c r="BM17" i="97"/>
  <c r="BL17" i="97"/>
  <c r="BK17" i="97"/>
  <c r="BJ17" i="97"/>
  <c r="BI17" i="97"/>
  <c r="BH17" i="97"/>
  <c r="BG17" i="97"/>
  <c r="BF17" i="97"/>
  <c r="BE17" i="97"/>
  <c r="BD17" i="97"/>
  <c r="BO16" i="97"/>
  <c r="BN16" i="97"/>
  <c r="BM16" i="97"/>
  <c r="BL16" i="97"/>
  <c r="BK16" i="97"/>
  <c r="BJ16" i="97"/>
  <c r="BI16" i="97"/>
  <c r="BH16" i="97"/>
  <c r="BG16" i="97"/>
  <c r="BF16" i="97"/>
  <c r="BE16" i="97"/>
  <c r="BD16" i="97"/>
  <c r="BO14" i="97"/>
  <c r="BN14" i="97"/>
  <c r="BM14" i="97"/>
  <c r="BL14" i="97"/>
  <c r="BK14" i="97"/>
  <c r="BJ14" i="97"/>
  <c r="BI14" i="97"/>
  <c r="BH14" i="97"/>
  <c r="BG14" i="97"/>
  <c r="BF14" i="97"/>
  <c r="BE14" i="97"/>
  <c r="BD14" i="97"/>
  <c r="BO13" i="97"/>
  <c r="BN13" i="97"/>
  <c r="BM13" i="97"/>
  <c r="BL13" i="97"/>
  <c r="BK13" i="97"/>
  <c r="BJ13" i="97"/>
  <c r="BI13" i="97"/>
  <c r="BH13" i="97"/>
  <c r="BG13" i="97"/>
  <c r="BF13" i="97"/>
  <c r="BE13" i="97"/>
  <c r="BD13" i="97"/>
  <c r="BO12" i="97"/>
  <c r="BN12" i="97"/>
  <c r="BM12" i="97"/>
  <c r="BL12" i="97"/>
  <c r="BK12" i="97"/>
  <c r="BJ12" i="97"/>
  <c r="BI12" i="97"/>
  <c r="BH12" i="97"/>
  <c r="BG12" i="97"/>
  <c r="BF12" i="97"/>
  <c r="BE12" i="97"/>
  <c r="BD12" i="97"/>
  <c r="BO11" i="97"/>
  <c r="BN11" i="97"/>
  <c r="BM11" i="97"/>
  <c r="BL11" i="97"/>
  <c r="BK11" i="97"/>
  <c r="BJ11" i="97"/>
  <c r="BI11" i="97"/>
  <c r="BH11" i="97"/>
  <c r="BG11" i="97"/>
  <c r="BF11" i="97"/>
  <c r="BE11" i="97"/>
  <c r="BD11" i="97"/>
  <c r="BO10" i="97"/>
  <c r="BN10" i="97"/>
  <c r="BM10" i="97"/>
  <c r="BL10" i="97"/>
  <c r="BK10" i="97"/>
  <c r="BJ10" i="97"/>
  <c r="BI10" i="97"/>
  <c r="BH10" i="97"/>
  <c r="BG10" i="97"/>
  <c r="BF10" i="97"/>
  <c r="BE10" i="97"/>
  <c r="BD10" i="97"/>
  <c r="BO9" i="97"/>
  <c r="BN9" i="97"/>
  <c r="BM9" i="97"/>
  <c r="BL9" i="97"/>
  <c r="BK9" i="97"/>
  <c r="BJ9" i="97"/>
  <c r="BI9" i="97"/>
  <c r="BH9" i="97"/>
  <c r="BG9" i="97"/>
  <c r="BF9" i="97"/>
  <c r="BE9" i="97"/>
  <c r="BD9" i="97"/>
  <c r="BO7" i="97"/>
  <c r="BN7" i="97"/>
  <c r="BM7" i="97"/>
  <c r="BL7" i="97"/>
  <c r="BK7" i="97"/>
  <c r="BJ7" i="97"/>
  <c r="BI7" i="97"/>
  <c r="BH7" i="97"/>
  <c r="BG7" i="97"/>
  <c r="BF7" i="97"/>
  <c r="BE7" i="97"/>
  <c r="BD7" i="97"/>
  <c r="CD39" i="83"/>
  <c r="CC39" i="83"/>
  <c r="CB39" i="83"/>
  <c r="CA39" i="83"/>
  <c r="BZ39" i="83"/>
  <c r="BY39" i="83"/>
  <c r="BX39" i="83"/>
  <c r="BW39" i="83"/>
  <c r="BV39" i="83"/>
  <c r="BU39" i="83"/>
  <c r="CF38" i="83"/>
  <c r="CE38" i="83"/>
  <c r="CD38" i="83"/>
  <c r="CC38" i="83"/>
  <c r="CB38" i="83"/>
  <c r="CA38" i="83"/>
  <c r="BZ38" i="83"/>
  <c r="BY38" i="83"/>
  <c r="BX38" i="83"/>
  <c r="BW38" i="83"/>
  <c r="BV38" i="83"/>
  <c r="BU38" i="83"/>
  <c r="CF35" i="83"/>
  <c r="CE35" i="83"/>
  <c r="CD35" i="83"/>
  <c r="CC35" i="83"/>
  <c r="CB35" i="83"/>
  <c r="CA35" i="83"/>
  <c r="BZ35" i="83"/>
  <c r="BY35" i="83"/>
  <c r="BX35" i="83"/>
  <c r="BW35" i="83"/>
  <c r="BV35" i="83"/>
  <c r="BU35" i="83"/>
  <c r="CF23" i="83"/>
  <c r="CE23" i="83"/>
  <c r="CD23" i="83"/>
  <c r="CC23" i="83"/>
  <c r="CB23" i="83"/>
  <c r="CA23" i="83"/>
  <c r="BZ23" i="83"/>
  <c r="BY23" i="83"/>
  <c r="BX23" i="83"/>
  <c r="BW23" i="83"/>
  <c r="BV23" i="83"/>
  <c r="BU23" i="83"/>
  <c r="CF11" i="83"/>
  <c r="CE11" i="83"/>
  <c r="CD11" i="83"/>
  <c r="CC11" i="83"/>
  <c r="CB11" i="83"/>
  <c r="CA11" i="83"/>
  <c r="BZ11" i="83"/>
  <c r="BY11" i="83"/>
  <c r="BX11" i="83"/>
  <c r="BW11" i="83"/>
  <c r="BV11" i="83"/>
  <c r="BU11" i="83"/>
  <c r="CF7" i="83"/>
  <c r="CE7" i="83"/>
  <c r="CD7" i="83"/>
  <c r="CC7" i="83"/>
  <c r="CB7" i="83"/>
  <c r="CA7" i="83"/>
  <c r="BZ7" i="83"/>
  <c r="BY7" i="83"/>
  <c r="BX7" i="83"/>
  <c r="BW7" i="83"/>
  <c r="BV7" i="83"/>
  <c r="BU7" i="83"/>
  <c r="CF39" i="83"/>
  <c r="CE39" i="83"/>
  <c r="BO128" i="97"/>
  <c r="BN128" i="97"/>
  <c r="BM128" i="97"/>
  <c r="BL128" i="97"/>
  <c r="BK128" i="97"/>
  <c r="BJ128" i="97"/>
  <c r="CD126" i="97"/>
  <c r="CD115" i="97"/>
  <c r="CD66" i="97"/>
  <c r="CD55" i="97" l="1"/>
  <c r="CD54" i="97" s="1"/>
  <c r="CD37" i="97"/>
  <c r="CD69" i="97"/>
  <c r="CD99" i="97"/>
  <c r="CD15" i="97"/>
  <c r="CD8" i="97"/>
  <c r="CD26" i="97"/>
  <c r="CD114" i="97"/>
  <c r="CD76" i="97"/>
  <c r="CD45" i="97"/>
  <c r="CD44" i="97" s="1"/>
  <c r="CD83" i="97"/>
  <c r="CD30" i="97"/>
  <c r="CQ6" i="97"/>
  <c r="CR6" i="97" s="1"/>
  <c r="CS6" i="97" s="1"/>
  <c r="CT6" i="97" s="1"/>
  <c r="CU6" i="97" s="1"/>
  <c r="CV6" i="97" s="1"/>
  <c r="CW6" i="97" s="1"/>
  <c r="CX6" i="97" s="1"/>
  <c r="CY6" i="97" s="1"/>
  <c r="CZ6" i="97" s="1"/>
  <c r="DA6" i="97" s="1"/>
  <c r="DB6" i="97" s="1"/>
  <c r="CR125" i="97"/>
  <c r="CS125" i="97" s="1"/>
  <c r="CT125" i="97" s="1"/>
  <c r="CU125" i="97" s="1"/>
  <c r="CV125" i="97" s="1"/>
  <c r="CW125" i="97" s="1"/>
  <c r="CX125" i="97" s="1"/>
  <c r="CY125" i="97" s="1"/>
  <c r="CZ125" i="97" s="1"/>
  <c r="DA125" i="97" s="1"/>
  <c r="DB125" i="97" s="1"/>
  <c r="CR124" i="97"/>
  <c r="CS124" i="97" s="1"/>
  <c r="CT124" i="97" s="1"/>
  <c r="CU124" i="97" s="1"/>
  <c r="CV124" i="97" s="1"/>
  <c r="CW124" i="97" s="1"/>
  <c r="CX124" i="97" s="1"/>
  <c r="CY124" i="97" s="1"/>
  <c r="CZ124" i="97" s="1"/>
  <c r="DA124" i="97" s="1"/>
  <c r="DB124" i="97" s="1"/>
  <c r="CR123" i="97"/>
  <c r="CS123" i="97" s="1"/>
  <c r="CT123" i="97" s="1"/>
  <c r="CU123" i="97" s="1"/>
  <c r="CV123" i="97" s="1"/>
  <c r="CW123" i="97" s="1"/>
  <c r="CX123" i="97" s="1"/>
  <c r="CY123" i="97" s="1"/>
  <c r="CZ123" i="97" s="1"/>
  <c r="DA123" i="97" s="1"/>
  <c r="DB123" i="97" s="1"/>
  <c r="CR122" i="97"/>
  <c r="CS122" i="97" s="1"/>
  <c r="CT122" i="97" s="1"/>
  <c r="CU122" i="97" s="1"/>
  <c r="CV122" i="97" s="1"/>
  <c r="CW122" i="97" s="1"/>
  <c r="CX122" i="97" s="1"/>
  <c r="CY122" i="97" s="1"/>
  <c r="CZ122" i="97" s="1"/>
  <c r="DA122" i="97" s="1"/>
  <c r="DB122" i="97" s="1"/>
  <c r="CR121" i="97"/>
  <c r="CS121" i="97" s="1"/>
  <c r="CT121" i="97" s="1"/>
  <c r="CU121" i="97" s="1"/>
  <c r="CV121" i="97" s="1"/>
  <c r="CW121" i="97" s="1"/>
  <c r="CX121" i="97" s="1"/>
  <c r="CY121" i="97" s="1"/>
  <c r="CZ121" i="97" s="1"/>
  <c r="DA121" i="97" s="1"/>
  <c r="DB121" i="97" s="1"/>
  <c r="CR120" i="97"/>
  <c r="CS120" i="97" s="1"/>
  <c r="CT120" i="97" s="1"/>
  <c r="CU120" i="97" s="1"/>
  <c r="CV120" i="97" s="1"/>
  <c r="CW120" i="97" s="1"/>
  <c r="CX120" i="97" s="1"/>
  <c r="CY120" i="97" s="1"/>
  <c r="CZ120" i="97" s="1"/>
  <c r="DA120" i="97" s="1"/>
  <c r="DB120" i="97" s="1"/>
  <c r="CR119" i="97"/>
  <c r="CS119" i="97" s="1"/>
  <c r="CT119" i="97" s="1"/>
  <c r="CU119" i="97" s="1"/>
  <c r="CV119" i="97" s="1"/>
  <c r="CW119" i="97" s="1"/>
  <c r="CX119" i="97" s="1"/>
  <c r="CY119" i="97" s="1"/>
  <c r="CZ119" i="97" s="1"/>
  <c r="DA119" i="97" s="1"/>
  <c r="DB119" i="97" s="1"/>
  <c r="CR118" i="97"/>
  <c r="CS118" i="97" s="1"/>
  <c r="CT118" i="97" s="1"/>
  <c r="CU118" i="97" s="1"/>
  <c r="CV118" i="97" s="1"/>
  <c r="CW118" i="97" s="1"/>
  <c r="CX118" i="97" s="1"/>
  <c r="CY118" i="97" s="1"/>
  <c r="CZ118" i="97" s="1"/>
  <c r="DA118" i="97" s="1"/>
  <c r="DB118" i="97" s="1"/>
  <c r="CR117" i="97"/>
  <c r="CS117" i="97" s="1"/>
  <c r="CT117" i="97" s="1"/>
  <c r="CU117" i="97" s="1"/>
  <c r="CV117" i="97" s="1"/>
  <c r="CW117" i="97" s="1"/>
  <c r="CX117" i="97" s="1"/>
  <c r="CY117" i="97" s="1"/>
  <c r="CZ117" i="97" s="1"/>
  <c r="DA117" i="97" s="1"/>
  <c r="DB117" i="97" s="1"/>
  <c r="CR116" i="97"/>
  <c r="CS116" i="97" s="1"/>
  <c r="CT116" i="97" s="1"/>
  <c r="CU116" i="97" s="1"/>
  <c r="CV116" i="97" s="1"/>
  <c r="CW116" i="97" s="1"/>
  <c r="CX116" i="97" s="1"/>
  <c r="CY116" i="97" s="1"/>
  <c r="CZ116" i="97" s="1"/>
  <c r="DA116" i="97" s="1"/>
  <c r="DB116" i="97" s="1"/>
  <c r="CR113" i="97"/>
  <c r="CS113" i="97" s="1"/>
  <c r="CT113" i="97" s="1"/>
  <c r="CU113" i="97" s="1"/>
  <c r="CV113" i="97" s="1"/>
  <c r="CW113" i="97" s="1"/>
  <c r="CX113" i="97" s="1"/>
  <c r="CY113" i="97" s="1"/>
  <c r="CZ113" i="97" s="1"/>
  <c r="DA113" i="97" s="1"/>
  <c r="DB113" i="97" s="1"/>
  <c r="CR112" i="97"/>
  <c r="CS112" i="97" s="1"/>
  <c r="CT112" i="97" s="1"/>
  <c r="CU112" i="97" s="1"/>
  <c r="CV112" i="97" s="1"/>
  <c r="CW112" i="97" s="1"/>
  <c r="CX112" i="97" s="1"/>
  <c r="CY112" i="97" s="1"/>
  <c r="CZ112" i="97" s="1"/>
  <c r="DA112" i="97" s="1"/>
  <c r="DB112" i="97" s="1"/>
  <c r="CR111" i="97"/>
  <c r="CS111" i="97" s="1"/>
  <c r="CT111" i="97" s="1"/>
  <c r="CU111" i="97" s="1"/>
  <c r="CV111" i="97" s="1"/>
  <c r="CW111" i="97" s="1"/>
  <c r="CX111" i="97" s="1"/>
  <c r="CY111" i="97" s="1"/>
  <c r="CZ111" i="97" s="1"/>
  <c r="DA111" i="97" s="1"/>
  <c r="DB111" i="97" s="1"/>
  <c r="CR110" i="97"/>
  <c r="CS110" i="97" s="1"/>
  <c r="CT110" i="97" s="1"/>
  <c r="CU110" i="97" s="1"/>
  <c r="CV110" i="97" s="1"/>
  <c r="CW110" i="97" s="1"/>
  <c r="CX110" i="97" s="1"/>
  <c r="CY110" i="97" s="1"/>
  <c r="CZ110" i="97" s="1"/>
  <c r="DA110" i="97" s="1"/>
  <c r="DB110" i="97" s="1"/>
  <c r="CR109" i="97"/>
  <c r="CS109" i="97" s="1"/>
  <c r="CT109" i="97" s="1"/>
  <c r="CU109" i="97" s="1"/>
  <c r="CV109" i="97" s="1"/>
  <c r="CW109" i="97" s="1"/>
  <c r="CX109" i="97" s="1"/>
  <c r="CY109" i="97" s="1"/>
  <c r="CZ109" i="97" s="1"/>
  <c r="DA109" i="97" s="1"/>
  <c r="DB109" i="97" s="1"/>
  <c r="CR108" i="97"/>
  <c r="CS108" i="97" s="1"/>
  <c r="CT108" i="97" s="1"/>
  <c r="CU108" i="97" s="1"/>
  <c r="CV108" i="97" s="1"/>
  <c r="CW108" i="97" s="1"/>
  <c r="CX108" i="97" s="1"/>
  <c r="CY108" i="97" s="1"/>
  <c r="CZ108" i="97" s="1"/>
  <c r="DA108" i="97" s="1"/>
  <c r="DB108" i="97" s="1"/>
  <c r="CR107" i="97"/>
  <c r="CS107" i="97" s="1"/>
  <c r="CT107" i="97" s="1"/>
  <c r="CU107" i="97" s="1"/>
  <c r="CV107" i="97" s="1"/>
  <c r="CW107" i="97" s="1"/>
  <c r="CX107" i="97" s="1"/>
  <c r="CY107" i="97" s="1"/>
  <c r="CZ107" i="97" s="1"/>
  <c r="DA107" i="97" s="1"/>
  <c r="DB107" i="97" s="1"/>
  <c r="CR106" i="97"/>
  <c r="CS106" i="97" s="1"/>
  <c r="CT106" i="97" s="1"/>
  <c r="CU106" i="97" s="1"/>
  <c r="CV106" i="97" s="1"/>
  <c r="CW106" i="97" s="1"/>
  <c r="CX106" i="97" s="1"/>
  <c r="CY106" i="97" s="1"/>
  <c r="CZ106" i="97" s="1"/>
  <c r="DA106" i="97" s="1"/>
  <c r="DB106" i="97" s="1"/>
  <c r="CR105" i="97"/>
  <c r="CS105" i="97" s="1"/>
  <c r="CT105" i="97" s="1"/>
  <c r="CU105" i="97" s="1"/>
  <c r="CV105" i="97" s="1"/>
  <c r="CW105" i="97" s="1"/>
  <c r="CX105" i="97" s="1"/>
  <c r="CY105" i="97" s="1"/>
  <c r="CZ105" i="97" s="1"/>
  <c r="DA105" i="97" s="1"/>
  <c r="DB105" i="97" s="1"/>
  <c r="CR104" i="97"/>
  <c r="CS104" i="97" s="1"/>
  <c r="CT104" i="97" s="1"/>
  <c r="CU104" i="97" s="1"/>
  <c r="CV104" i="97" s="1"/>
  <c r="CW104" i="97" s="1"/>
  <c r="CX104" i="97" s="1"/>
  <c r="CY104" i="97" s="1"/>
  <c r="CZ104" i="97" s="1"/>
  <c r="DA104" i="97" s="1"/>
  <c r="DB104" i="97" s="1"/>
  <c r="CR103" i="97"/>
  <c r="CS103" i="97" s="1"/>
  <c r="CT103" i="97" s="1"/>
  <c r="CU103" i="97" s="1"/>
  <c r="CV103" i="97" s="1"/>
  <c r="CW103" i="97" s="1"/>
  <c r="CX103" i="97" s="1"/>
  <c r="CY103" i="97" s="1"/>
  <c r="CZ103" i="97" s="1"/>
  <c r="DA103" i="97" s="1"/>
  <c r="DB103" i="97" s="1"/>
  <c r="CR102" i="97"/>
  <c r="CS102" i="97" s="1"/>
  <c r="CT102" i="97" s="1"/>
  <c r="CU102" i="97" s="1"/>
  <c r="CV102" i="97" s="1"/>
  <c r="CW102" i="97" s="1"/>
  <c r="CX102" i="97" s="1"/>
  <c r="CY102" i="97" s="1"/>
  <c r="CZ102" i="97" s="1"/>
  <c r="DA102" i="97" s="1"/>
  <c r="DB102" i="97" s="1"/>
  <c r="CR101" i="97"/>
  <c r="CS101" i="97" s="1"/>
  <c r="CT101" i="97" s="1"/>
  <c r="CU101" i="97" s="1"/>
  <c r="CV101" i="97" s="1"/>
  <c r="CW101" i="97" s="1"/>
  <c r="CX101" i="97" s="1"/>
  <c r="CY101" i="97" s="1"/>
  <c r="CZ101" i="97" s="1"/>
  <c r="DA101" i="97" s="1"/>
  <c r="DB101" i="97" s="1"/>
  <c r="CR100" i="97"/>
  <c r="CS100" i="97" s="1"/>
  <c r="CT100" i="97" s="1"/>
  <c r="CU100" i="97" s="1"/>
  <c r="CV100" i="97" s="1"/>
  <c r="CW100" i="97" s="1"/>
  <c r="CX100" i="97" s="1"/>
  <c r="CY100" i="97" s="1"/>
  <c r="CZ100" i="97" s="1"/>
  <c r="DA100" i="97" s="1"/>
  <c r="DB100" i="97" s="1"/>
  <c r="CR98" i="97"/>
  <c r="CS98" i="97" s="1"/>
  <c r="CT98" i="97" s="1"/>
  <c r="CU98" i="97" s="1"/>
  <c r="CV98" i="97" s="1"/>
  <c r="CW98" i="97" s="1"/>
  <c r="CX98" i="97" s="1"/>
  <c r="CY98" i="97" s="1"/>
  <c r="CZ98" i="97" s="1"/>
  <c r="DA98" i="97" s="1"/>
  <c r="DB98" i="97" s="1"/>
  <c r="CR97" i="97"/>
  <c r="CS97" i="97" s="1"/>
  <c r="CT97" i="97" s="1"/>
  <c r="CU97" i="97" s="1"/>
  <c r="CV97" i="97" s="1"/>
  <c r="CW97" i="97" s="1"/>
  <c r="CX97" i="97" s="1"/>
  <c r="CY97" i="97" s="1"/>
  <c r="CZ97" i="97" s="1"/>
  <c r="DA97" i="97" s="1"/>
  <c r="DB97" i="97" s="1"/>
  <c r="CR96" i="97"/>
  <c r="CS96" i="97" s="1"/>
  <c r="CT96" i="97" s="1"/>
  <c r="CU96" i="97" s="1"/>
  <c r="CV96" i="97" s="1"/>
  <c r="CW96" i="97" s="1"/>
  <c r="CX96" i="97" s="1"/>
  <c r="CY96" i="97" s="1"/>
  <c r="CZ96" i="97" s="1"/>
  <c r="DA96" i="97" s="1"/>
  <c r="DB96" i="97" s="1"/>
  <c r="CR95" i="97"/>
  <c r="CS95" i="97" s="1"/>
  <c r="CT95" i="97" s="1"/>
  <c r="CU95" i="97" s="1"/>
  <c r="CV95" i="97" s="1"/>
  <c r="CW95" i="97" s="1"/>
  <c r="CX95" i="97" s="1"/>
  <c r="CY95" i="97" s="1"/>
  <c r="CZ95" i="97" s="1"/>
  <c r="DA95" i="97" s="1"/>
  <c r="DB95" i="97" s="1"/>
  <c r="CR94" i="97"/>
  <c r="CS94" i="97" s="1"/>
  <c r="CT94" i="97" s="1"/>
  <c r="CU94" i="97" s="1"/>
  <c r="CV94" i="97" s="1"/>
  <c r="CW94" i="97" s="1"/>
  <c r="CX94" i="97" s="1"/>
  <c r="CY94" i="97" s="1"/>
  <c r="CZ94" i="97" s="1"/>
  <c r="DA94" i="97" s="1"/>
  <c r="DB94" i="97" s="1"/>
  <c r="CR93" i="97"/>
  <c r="CS93" i="97" s="1"/>
  <c r="CT93" i="97" s="1"/>
  <c r="CU93" i="97" s="1"/>
  <c r="CV93" i="97" s="1"/>
  <c r="CW93" i="97" s="1"/>
  <c r="CX93" i="97" s="1"/>
  <c r="CY93" i="97" s="1"/>
  <c r="CZ93" i="97" s="1"/>
  <c r="DA93" i="97" s="1"/>
  <c r="DB93" i="97" s="1"/>
  <c r="CR92" i="97"/>
  <c r="CS92" i="97" s="1"/>
  <c r="CT92" i="97" s="1"/>
  <c r="CU92" i="97" s="1"/>
  <c r="CV92" i="97" s="1"/>
  <c r="CW92" i="97" s="1"/>
  <c r="CX92" i="97" s="1"/>
  <c r="CY92" i="97" s="1"/>
  <c r="CZ92" i="97" s="1"/>
  <c r="DA92" i="97" s="1"/>
  <c r="DB92" i="97" s="1"/>
  <c r="CR91" i="97"/>
  <c r="CS91" i="97" s="1"/>
  <c r="CT91" i="97" s="1"/>
  <c r="CU91" i="97" s="1"/>
  <c r="CV91" i="97" s="1"/>
  <c r="CW91" i="97" s="1"/>
  <c r="CX91" i="97" s="1"/>
  <c r="CY91" i="97" s="1"/>
  <c r="CZ91" i="97" s="1"/>
  <c r="DA91" i="97" s="1"/>
  <c r="DB91" i="97" s="1"/>
  <c r="CR90" i="97"/>
  <c r="CS90" i="97" s="1"/>
  <c r="CT90" i="97" s="1"/>
  <c r="CU90" i="97" s="1"/>
  <c r="CV90" i="97" s="1"/>
  <c r="CW90" i="97" s="1"/>
  <c r="CX90" i="97" s="1"/>
  <c r="CY90" i="97" s="1"/>
  <c r="CZ90" i="97" s="1"/>
  <c r="DA90" i="97" s="1"/>
  <c r="DB90" i="97" s="1"/>
  <c r="CR89" i="97"/>
  <c r="CS89" i="97" s="1"/>
  <c r="CT89" i="97" s="1"/>
  <c r="CU89" i="97" s="1"/>
  <c r="CV89" i="97" s="1"/>
  <c r="CW89" i="97" s="1"/>
  <c r="CX89" i="97" s="1"/>
  <c r="CY89" i="97" s="1"/>
  <c r="CZ89" i="97" s="1"/>
  <c r="DA89" i="97" s="1"/>
  <c r="DB89" i="97" s="1"/>
  <c r="CR88" i="97"/>
  <c r="CS88" i="97" s="1"/>
  <c r="CT88" i="97" s="1"/>
  <c r="CU88" i="97" s="1"/>
  <c r="CV88" i="97" s="1"/>
  <c r="CW88" i="97" s="1"/>
  <c r="CX88" i="97" s="1"/>
  <c r="CY88" i="97" s="1"/>
  <c r="CZ88" i="97" s="1"/>
  <c r="DA88" i="97" s="1"/>
  <c r="DB88" i="97" s="1"/>
  <c r="CR87" i="97"/>
  <c r="CS87" i="97" s="1"/>
  <c r="CT87" i="97" s="1"/>
  <c r="CU87" i="97" s="1"/>
  <c r="CV87" i="97" s="1"/>
  <c r="CW87" i="97" s="1"/>
  <c r="CX87" i="97" s="1"/>
  <c r="CY87" i="97" s="1"/>
  <c r="CZ87" i="97" s="1"/>
  <c r="DA87" i="97" s="1"/>
  <c r="DB87" i="97" s="1"/>
  <c r="CR86" i="97"/>
  <c r="CS86" i="97" s="1"/>
  <c r="CT86" i="97" s="1"/>
  <c r="CU86" i="97" s="1"/>
  <c r="CV86" i="97" s="1"/>
  <c r="CW86" i="97" s="1"/>
  <c r="CX86" i="97" s="1"/>
  <c r="CY86" i="97" s="1"/>
  <c r="CZ86" i="97" s="1"/>
  <c r="DA86" i="97" s="1"/>
  <c r="DB86" i="97" s="1"/>
  <c r="CR85" i="97"/>
  <c r="CS85" i="97" s="1"/>
  <c r="CT85" i="97" s="1"/>
  <c r="CU85" i="97" s="1"/>
  <c r="CV85" i="97" s="1"/>
  <c r="CW85" i="97" s="1"/>
  <c r="CX85" i="97" s="1"/>
  <c r="CY85" i="97" s="1"/>
  <c r="CZ85" i="97" s="1"/>
  <c r="DA85" i="97" s="1"/>
  <c r="DB85" i="97" s="1"/>
  <c r="CR84" i="97"/>
  <c r="CS84" i="97" s="1"/>
  <c r="CT84" i="97" s="1"/>
  <c r="CU84" i="97" s="1"/>
  <c r="CV84" i="97" s="1"/>
  <c r="CW84" i="97" s="1"/>
  <c r="CX84" i="97" s="1"/>
  <c r="CY84" i="97" s="1"/>
  <c r="CZ84" i="97" s="1"/>
  <c r="DA84" i="97" s="1"/>
  <c r="DB84" i="97" s="1"/>
  <c r="CR80" i="97"/>
  <c r="CS80" i="97" s="1"/>
  <c r="CT80" i="97" s="1"/>
  <c r="CU80" i="97" s="1"/>
  <c r="CV80" i="97" s="1"/>
  <c r="CW80" i="97" s="1"/>
  <c r="CX80" i="97" s="1"/>
  <c r="CY80" i="97" s="1"/>
  <c r="CZ80" i="97" s="1"/>
  <c r="DA80" i="97" s="1"/>
  <c r="DB80" i="97" s="1"/>
  <c r="CR79" i="97"/>
  <c r="CS79" i="97" s="1"/>
  <c r="CT79" i="97" s="1"/>
  <c r="CU79" i="97" s="1"/>
  <c r="CV79" i="97" s="1"/>
  <c r="CW79" i="97" s="1"/>
  <c r="CX79" i="97" s="1"/>
  <c r="CY79" i="97" s="1"/>
  <c r="CZ79" i="97" s="1"/>
  <c r="DA79" i="97" s="1"/>
  <c r="DB79" i="97" s="1"/>
  <c r="CR78" i="97"/>
  <c r="CS78" i="97" s="1"/>
  <c r="CT78" i="97" s="1"/>
  <c r="CU78" i="97" s="1"/>
  <c r="CV78" i="97" s="1"/>
  <c r="CW78" i="97" s="1"/>
  <c r="CX78" i="97" s="1"/>
  <c r="CY78" i="97" s="1"/>
  <c r="CZ78" i="97" s="1"/>
  <c r="DA78" i="97" s="1"/>
  <c r="DB78" i="97" s="1"/>
  <c r="CR77" i="97"/>
  <c r="CS77" i="97" s="1"/>
  <c r="CT77" i="97" s="1"/>
  <c r="CU77" i="97" s="1"/>
  <c r="CV77" i="97" s="1"/>
  <c r="CW77" i="97" s="1"/>
  <c r="CX77" i="97" s="1"/>
  <c r="CY77" i="97" s="1"/>
  <c r="CZ77" i="97" s="1"/>
  <c r="DA77" i="97" s="1"/>
  <c r="DB77" i="97" s="1"/>
  <c r="CR75" i="97"/>
  <c r="CS75" i="97" s="1"/>
  <c r="CT75" i="97" s="1"/>
  <c r="CU75" i="97" s="1"/>
  <c r="CV75" i="97" s="1"/>
  <c r="CW75" i="97" s="1"/>
  <c r="CX75" i="97" s="1"/>
  <c r="CY75" i="97" s="1"/>
  <c r="CZ75" i="97" s="1"/>
  <c r="DA75" i="97" s="1"/>
  <c r="DB75" i="97" s="1"/>
  <c r="CR74" i="97"/>
  <c r="CS74" i="97" s="1"/>
  <c r="CT74" i="97" s="1"/>
  <c r="CU74" i="97" s="1"/>
  <c r="CV74" i="97" s="1"/>
  <c r="CW74" i="97" s="1"/>
  <c r="CX74" i="97" s="1"/>
  <c r="CY74" i="97" s="1"/>
  <c r="CZ74" i="97" s="1"/>
  <c r="DA74" i="97" s="1"/>
  <c r="DB74" i="97" s="1"/>
  <c r="CR73" i="97"/>
  <c r="CS73" i="97" s="1"/>
  <c r="CT73" i="97" s="1"/>
  <c r="CU73" i="97" s="1"/>
  <c r="CV73" i="97" s="1"/>
  <c r="CW73" i="97" s="1"/>
  <c r="CX73" i="97" s="1"/>
  <c r="CY73" i="97" s="1"/>
  <c r="CZ73" i="97" s="1"/>
  <c r="DA73" i="97" s="1"/>
  <c r="DB73" i="97" s="1"/>
  <c r="CR72" i="97"/>
  <c r="CS72" i="97" s="1"/>
  <c r="CT72" i="97" s="1"/>
  <c r="CU72" i="97" s="1"/>
  <c r="CV72" i="97" s="1"/>
  <c r="CW72" i="97" s="1"/>
  <c r="CX72" i="97" s="1"/>
  <c r="CY72" i="97" s="1"/>
  <c r="CZ72" i="97" s="1"/>
  <c r="DA72" i="97" s="1"/>
  <c r="DB72" i="97" s="1"/>
  <c r="CR71" i="97"/>
  <c r="CS71" i="97" s="1"/>
  <c r="CT71" i="97" s="1"/>
  <c r="CU71" i="97" s="1"/>
  <c r="CV71" i="97" s="1"/>
  <c r="CW71" i="97" s="1"/>
  <c r="CX71" i="97" s="1"/>
  <c r="CY71" i="97" s="1"/>
  <c r="CZ71" i="97" s="1"/>
  <c r="DA71" i="97" s="1"/>
  <c r="DB71" i="97" s="1"/>
  <c r="CR70" i="97"/>
  <c r="CS70" i="97" s="1"/>
  <c r="CT70" i="97" s="1"/>
  <c r="CU70" i="97" s="1"/>
  <c r="CV70" i="97" s="1"/>
  <c r="CW70" i="97" s="1"/>
  <c r="CX70" i="97" s="1"/>
  <c r="CY70" i="97" s="1"/>
  <c r="CZ70" i="97" s="1"/>
  <c r="DA70" i="97" s="1"/>
  <c r="DB70" i="97" s="1"/>
  <c r="CR68" i="97"/>
  <c r="CS68" i="97" s="1"/>
  <c r="CT68" i="97" s="1"/>
  <c r="CU68" i="97" s="1"/>
  <c r="CV68" i="97" s="1"/>
  <c r="CW68" i="97" s="1"/>
  <c r="CX68" i="97" s="1"/>
  <c r="CY68" i="97" s="1"/>
  <c r="CZ68" i="97" s="1"/>
  <c r="DA68" i="97" s="1"/>
  <c r="DB68" i="97" s="1"/>
  <c r="CR67" i="97"/>
  <c r="CS67" i="97" s="1"/>
  <c r="CT67" i="97" s="1"/>
  <c r="CU67" i="97" s="1"/>
  <c r="CV67" i="97" s="1"/>
  <c r="CW67" i="97" s="1"/>
  <c r="CX67" i="97" s="1"/>
  <c r="CY67" i="97" s="1"/>
  <c r="CZ67" i="97" s="1"/>
  <c r="DA67" i="97" s="1"/>
  <c r="DB67" i="97" s="1"/>
  <c r="CR65" i="97"/>
  <c r="CS65" i="97" s="1"/>
  <c r="CT65" i="97" s="1"/>
  <c r="CU65" i="97" s="1"/>
  <c r="CV65" i="97" s="1"/>
  <c r="CW65" i="97" s="1"/>
  <c r="CX65" i="97" s="1"/>
  <c r="CY65" i="97" s="1"/>
  <c r="CZ65" i="97" s="1"/>
  <c r="DA65" i="97" s="1"/>
  <c r="DB65" i="97" s="1"/>
  <c r="CR64" i="97"/>
  <c r="CS64" i="97" s="1"/>
  <c r="CT64" i="97" s="1"/>
  <c r="CU64" i="97" s="1"/>
  <c r="CV64" i="97" s="1"/>
  <c r="CW64" i="97" s="1"/>
  <c r="CX64" i="97" s="1"/>
  <c r="CY64" i="97" s="1"/>
  <c r="CZ64" i="97" s="1"/>
  <c r="DA64" i="97" s="1"/>
  <c r="DB64" i="97" s="1"/>
  <c r="CR62" i="97"/>
  <c r="CS62" i="97" s="1"/>
  <c r="CT62" i="97" s="1"/>
  <c r="CU62" i="97" s="1"/>
  <c r="CV62" i="97" s="1"/>
  <c r="CW62" i="97" s="1"/>
  <c r="CX62" i="97" s="1"/>
  <c r="CY62" i="97" s="1"/>
  <c r="CZ62" i="97" s="1"/>
  <c r="DA62" i="97" s="1"/>
  <c r="DB62" i="97" s="1"/>
  <c r="CR61" i="97"/>
  <c r="CS61" i="97" s="1"/>
  <c r="CT61" i="97" s="1"/>
  <c r="CU61" i="97" s="1"/>
  <c r="CV61" i="97" s="1"/>
  <c r="CW61" i="97" s="1"/>
  <c r="CX61" i="97" s="1"/>
  <c r="CY61" i="97" s="1"/>
  <c r="CZ61" i="97" s="1"/>
  <c r="DA61" i="97" s="1"/>
  <c r="DB61" i="97" s="1"/>
  <c r="CR60" i="97"/>
  <c r="CS60" i="97" s="1"/>
  <c r="CT60" i="97" s="1"/>
  <c r="CU60" i="97" s="1"/>
  <c r="CV60" i="97" s="1"/>
  <c r="CW60" i="97" s="1"/>
  <c r="CX60" i="97" s="1"/>
  <c r="CY60" i="97" s="1"/>
  <c r="CZ60" i="97" s="1"/>
  <c r="DA60" i="97" s="1"/>
  <c r="DB60" i="97" s="1"/>
  <c r="CR59" i="97"/>
  <c r="CS59" i="97" s="1"/>
  <c r="CT59" i="97" s="1"/>
  <c r="CU59" i="97" s="1"/>
  <c r="CV59" i="97" s="1"/>
  <c r="CW59" i="97" s="1"/>
  <c r="CX59" i="97" s="1"/>
  <c r="CY59" i="97" s="1"/>
  <c r="CZ59" i="97" s="1"/>
  <c r="DA59" i="97" s="1"/>
  <c r="DB59" i="97" s="1"/>
  <c r="CR58" i="97"/>
  <c r="CS58" i="97" s="1"/>
  <c r="CT58" i="97" s="1"/>
  <c r="CU58" i="97" s="1"/>
  <c r="CV58" i="97" s="1"/>
  <c r="CW58" i="97" s="1"/>
  <c r="CX58" i="97" s="1"/>
  <c r="CY58" i="97" s="1"/>
  <c r="CZ58" i="97" s="1"/>
  <c r="DA58" i="97" s="1"/>
  <c r="DB58" i="97" s="1"/>
  <c r="CR56" i="97"/>
  <c r="CS56" i="97" s="1"/>
  <c r="CT56" i="97" s="1"/>
  <c r="CU56" i="97" s="1"/>
  <c r="CV56" i="97" s="1"/>
  <c r="CW56" i="97" s="1"/>
  <c r="CX56" i="97" s="1"/>
  <c r="CY56" i="97" s="1"/>
  <c r="CZ56" i="97" s="1"/>
  <c r="DA56" i="97" s="1"/>
  <c r="DB56" i="97" s="1"/>
  <c r="CR53" i="97"/>
  <c r="CS53" i="97" s="1"/>
  <c r="CT53" i="97" s="1"/>
  <c r="CU53" i="97" s="1"/>
  <c r="CV53" i="97" s="1"/>
  <c r="CW53" i="97" s="1"/>
  <c r="CX53" i="97" s="1"/>
  <c r="CY53" i="97" s="1"/>
  <c r="CZ53" i="97" s="1"/>
  <c r="DA53" i="97" s="1"/>
  <c r="DB53" i="97" s="1"/>
  <c r="CR52" i="97"/>
  <c r="CS52" i="97" s="1"/>
  <c r="CT52" i="97" s="1"/>
  <c r="CU52" i="97" s="1"/>
  <c r="CV52" i="97" s="1"/>
  <c r="CW52" i="97" s="1"/>
  <c r="CX52" i="97" s="1"/>
  <c r="CY52" i="97" s="1"/>
  <c r="CZ52" i="97" s="1"/>
  <c r="DA52" i="97" s="1"/>
  <c r="DB52" i="97" s="1"/>
  <c r="CR50" i="97"/>
  <c r="CS50" i="97" s="1"/>
  <c r="CT50" i="97" s="1"/>
  <c r="CU50" i="97" s="1"/>
  <c r="CV50" i="97" s="1"/>
  <c r="CW50" i="97" s="1"/>
  <c r="CX50" i="97" s="1"/>
  <c r="CY50" i="97" s="1"/>
  <c r="CZ50" i="97" s="1"/>
  <c r="DA50" i="97" s="1"/>
  <c r="DB50" i="97" s="1"/>
  <c r="CR49" i="97"/>
  <c r="CS49" i="97" s="1"/>
  <c r="CT49" i="97" s="1"/>
  <c r="CU49" i="97" s="1"/>
  <c r="CV49" i="97" s="1"/>
  <c r="CW49" i="97" s="1"/>
  <c r="CX49" i="97" s="1"/>
  <c r="CY49" i="97" s="1"/>
  <c r="CZ49" i="97" s="1"/>
  <c r="DA49" i="97" s="1"/>
  <c r="DB49" i="97" s="1"/>
  <c r="CR47" i="97"/>
  <c r="CS47" i="97" s="1"/>
  <c r="CT47" i="97" s="1"/>
  <c r="CU47" i="97" s="1"/>
  <c r="CV47" i="97" s="1"/>
  <c r="CW47" i="97" s="1"/>
  <c r="CX47" i="97" s="1"/>
  <c r="CY47" i="97" s="1"/>
  <c r="CZ47" i="97" s="1"/>
  <c r="DA47" i="97" s="1"/>
  <c r="DB47" i="97" s="1"/>
  <c r="CR46" i="97"/>
  <c r="CS46" i="97" s="1"/>
  <c r="CT46" i="97" s="1"/>
  <c r="CU46" i="97" s="1"/>
  <c r="CV46" i="97" s="1"/>
  <c r="CW46" i="97" s="1"/>
  <c r="CX46" i="97" s="1"/>
  <c r="CY46" i="97" s="1"/>
  <c r="CZ46" i="97" s="1"/>
  <c r="DA46" i="97" s="1"/>
  <c r="DB46" i="97" s="1"/>
  <c r="CR43" i="97"/>
  <c r="CS43" i="97" s="1"/>
  <c r="CT43" i="97" s="1"/>
  <c r="CU43" i="97" s="1"/>
  <c r="CV43" i="97" s="1"/>
  <c r="CW43" i="97" s="1"/>
  <c r="CX43" i="97" s="1"/>
  <c r="CY43" i="97" s="1"/>
  <c r="CZ43" i="97" s="1"/>
  <c r="DA43" i="97" s="1"/>
  <c r="DB43" i="97" s="1"/>
  <c r="CR42" i="97"/>
  <c r="CS42" i="97" s="1"/>
  <c r="CT42" i="97" s="1"/>
  <c r="CU42" i="97" s="1"/>
  <c r="CV42" i="97" s="1"/>
  <c r="CW42" i="97" s="1"/>
  <c r="CX42" i="97" s="1"/>
  <c r="CY42" i="97" s="1"/>
  <c r="CZ42" i="97" s="1"/>
  <c r="DA42" i="97" s="1"/>
  <c r="DB42" i="97" s="1"/>
  <c r="CR41" i="97"/>
  <c r="CS41" i="97" s="1"/>
  <c r="CT41" i="97" s="1"/>
  <c r="CU41" i="97" s="1"/>
  <c r="CV41" i="97" s="1"/>
  <c r="CW41" i="97" s="1"/>
  <c r="CX41" i="97" s="1"/>
  <c r="CY41" i="97" s="1"/>
  <c r="CZ41" i="97" s="1"/>
  <c r="DA41" i="97" s="1"/>
  <c r="DB41" i="97" s="1"/>
  <c r="CR40" i="97"/>
  <c r="CS40" i="97" s="1"/>
  <c r="CT40" i="97" s="1"/>
  <c r="CU40" i="97" s="1"/>
  <c r="CV40" i="97" s="1"/>
  <c r="CW40" i="97" s="1"/>
  <c r="CX40" i="97" s="1"/>
  <c r="CY40" i="97" s="1"/>
  <c r="CZ40" i="97" s="1"/>
  <c r="DA40" i="97" s="1"/>
  <c r="DB40" i="97" s="1"/>
  <c r="CR39" i="97"/>
  <c r="CS39" i="97" s="1"/>
  <c r="CT39" i="97" s="1"/>
  <c r="CU39" i="97" s="1"/>
  <c r="CV39" i="97" s="1"/>
  <c r="CW39" i="97" s="1"/>
  <c r="CX39" i="97" s="1"/>
  <c r="CY39" i="97" s="1"/>
  <c r="CZ39" i="97" s="1"/>
  <c r="DA39" i="97" s="1"/>
  <c r="DB39" i="97" s="1"/>
  <c r="CR38" i="97"/>
  <c r="CS38" i="97" s="1"/>
  <c r="CT38" i="97" s="1"/>
  <c r="CU38" i="97" s="1"/>
  <c r="CV38" i="97" s="1"/>
  <c r="CW38" i="97" s="1"/>
  <c r="CX38" i="97" s="1"/>
  <c r="CY38" i="97" s="1"/>
  <c r="CZ38" i="97" s="1"/>
  <c r="DA38" i="97" s="1"/>
  <c r="DB38" i="97" s="1"/>
  <c r="CR35" i="97"/>
  <c r="CS35" i="97" s="1"/>
  <c r="CT35" i="97" s="1"/>
  <c r="CU35" i="97" s="1"/>
  <c r="CV35" i="97" s="1"/>
  <c r="CW35" i="97" s="1"/>
  <c r="CX35" i="97" s="1"/>
  <c r="CY35" i="97" s="1"/>
  <c r="CZ35" i="97" s="1"/>
  <c r="DA35" i="97" s="1"/>
  <c r="DB35" i="97" s="1"/>
  <c r="CR34" i="97"/>
  <c r="CS34" i="97" s="1"/>
  <c r="CT34" i="97" s="1"/>
  <c r="CU34" i="97" s="1"/>
  <c r="CV34" i="97" s="1"/>
  <c r="CW34" i="97" s="1"/>
  <c r="CX34" i="97" s="1"/>
  <c r="CY34" i="97" s="1"/>
  <c r="CZ34" i="97" s="1"/>
  <c r="DA34" i="97" s="1"/>
  <c r="DB34" i="97" s="1"/>
  <c r="CR33" i="97"/>
  <c r="CS33" i="97" s="1"/>
  <c r="CT33" i="97" s="1"/>
  <c r="CU33" i="97" s="1"/>
  <c r="CV33" i="97" s="1"/>
  <c r="CW33" i="97" s="1"/>
  <c r="CX33" i="97" s="1"/>
  <c r="CY33" i="97" s="1"/>
  <c r="CZ33" i="97" s="1"/>
  <c r="DA33" i="97" s="1"/>
  <c r="DB33" i="97" s="1"/>
  <c r="CR32" i="97"/>
  <c r="CS32" i="97" s="1"/>
  <c r="CT32" i="97" s="1"/>
  <c r="CU32" i="97" s="1"/>
  <c r="CV32" i="97" s="1"/>
  <c r="CW32" i="97" s="1"/>
  <c r="CX32" i="97" s="1"/>
  <c r="CY32" i="97" s="1"/>
  <c r="CZ32" i="97" s="1"/>
  <c r="DA32" i="97" s="1"/>
  <c r="DB32" i="97" s="1"/>
  <c r="CR31" i="97"/>
  <c r="CS31" i="97" s="1"/>
  <c r="CT31" i="97" s="1"/>
  <c r="CU31" i="97" s="1"/>
  <c r="CV31" i="97" s="1"/>
  <c r="CW31" i="97" s="1"/>
  <c r="CX31" i="97" s="1"/>
  <c r="CY31" i="97" s="1"/>
  <c r="CZ31" i="97" s="1"/>
  <c r="DA31" i="97" s="1"/>
  <c r="DB31" i="97" s="1"/>
  <c r="CR29" i="97"/>
  <c r="CS29" i="97" s="1"/>
  <c r="CT29" i="97" s="1"/>
  <c r="CU29" i="97" s="1"/>
  <c r="CV29" i="97" s="1"/>
  <c r="CW29" i="97" s="1"/>
  <c r="CX29" i="97" s="1"/>
  <c r="CY29" i="97" s="1"/>
  <c r="CZ29" i="97" s="1"/>
  <c r="DA29" i="97" s="1"/>
  <c r="DB29" i="97" s="1"/>
  <c r="CR28" i="97"/>
  <c r="CS28" i="97" s="1"/>
  <c r="CT28" i="97" s="1"/>
  <c r="CU28" i="97" s="1"/>
  <c r="CV28" i="97" s="1"/>
  <c r="CW28" i="97" s="1"/>
  <c r="CX28" i="97" s="1"/>
  <c r="CY28" i="97" s="1"/>
  <c r="CZ28" i="97" s="1"/>
  <c r="DA28" i="97" s="1"/>
  <c r="DB28" i="97" s="1"/>
  <c r="CR27" i="97"/>
  <c r="CS27" i="97" s="1"/>
  <c r="CT27" i="97" s="1"/>
  <c r="CU27" i="97" s="1"/>
  <c r="CV27" i="97" s="1"/>
  <c r="CW27" i="97" s="1"/>
  <c r="CX27" i="97" s="1"/>
  <c r="CY27" i="97" s="1"/>
  <c r="CZ27" i="97" s="1"/>
  <c r="DA27" i="97" s="1"/>
  <c r="DB27" i="97" s="1"/>
  <c r="CR25" i="97"/>
  <c r="CS25" i="97" s="1"/>
  <c r="CT25" i="97" s="1"/>
  <c r="CU25" i="97" s="1"/>
  <c r="CV25" i="97" s="1"/>
  <c r="CW25" i="97" s="1"/>
  <c r="CX25" i="97" s="1"/>
  <c r="CY25" i="97" s="1"/>
  <c r="CZ25" i="97" s="1"/>
  <c r="DA25" i="97" s="1"/>
  <c r="DB25" i="97" s="1"/>
  <c r="CR24" i="97"/>
  <c r="CS24" i="97" s="1"/>
  <c r="CT24" i="97" s="1"/>
  <c r="CU24" i="97" s="1"/>
  <c r="CV24" i="97" s="1"/>
  <c r="CW24" i="97" s="1"/>
  <c r="CX24" i="97" s="1"/>
  <c r="CY24" i="97" s="1"/>
  <c r="CZ24" i="97" s="1"/>
  <c r="DA24" i="97" s="1"/>
  <c r="DB24" i="97" s="1"/>
  <c r="CR22" i="97"/>
  <c r="CS22" i="97" s="1"/>
  <c r="CT22" i="97" s="1"/>
  <c r="CU22" i="97" s="1"/>
  <c r="CV22" i="97" s="1"/>
  <c r="CW22" i="97" s="1"/>
  <c r="CX22" i="97" s="1"/>
  <c r="CY22" i="97" s="1"/>
  <c r="CZ22" i="97" s="1"/>
  <c r="DA22" i="97" s="1"/>
  <c r="DB22" i="97" s="1"/>
  <c r="CR21" i="97"/>
  <c r="CS21" i="97" s="1"/>
  <c r="CT21" i="97" s="1"/>
  <c r="CU21" i="97" s="1"/>
  <c r="CV21" i="97" s="1"/>
  <c r="CW21" i="97" s="1"/>
  <c r="CX21" i="97" s="1"/>
  <c r="CY21" i="97" s="1"/>
  <c r="CZ21" i="97" s="1"/>
  <c r="DA21" i="97" s="1"/>
  <c r="DB21" i="97" s="1"/>
  <c r="CR20" i="97"/>
  <c r="CS20" i="97" s="1"/>
  <c r="CT20" i="97" s="1"/>
  <c r="CU20" i="97" s="1"/>
  <c r="CV20" i="97" s="1"/>
  <c r="CW20" i="97" s="1"/>
  <c r="CX20" i="97" s="1"/>
  <c r="CY20" i="97" s="1"/>
  <c r="CZ20" i="97" s="1"/>
  <c r="DA20" i="97" s="1"/>
  <c r="DB20" i="97" s="1"/>
  <c r="CR19" i="97"/>
  <c r="CS19" i="97" s="1"/>
  <c r="CT19" i="97" s="1"/>
  <c r="CU19" i="97" s="1"/>
  <c r="CV19" i="97" s="1"/>
  <c r="CW19" i="97" s="1"/>
  <c r="CX19" i="97" s="1"/>
  <c r="CY19" i="97" s="1"/>
  <c r="CZ19" i="97" s="1"/>
  <c r="DA19" i="97" s="1"/>
  <c r="DB19" i="97" s="1"/>
  <c r="CR18" i="97"/>
  <c r="CS18" i="97" s="1"/>
  <c r="CT18" i="97" s="1"/>
  <c r="CU18" i="97" s="1"/>
  <c r="CV18" i="97" s="1"/>
  <c r="CW18" i="97" s="1"/>
  <c r="CX18" i="97" s="1"/>
  <c r="CY18" i="97" s="1"/>
  <c r="CZ18" i="97" s="1"/>
  <c r="DA18" i="97" s="1"/>
  <c r="DB18" i="97" s="1"/>
  <c r="CR17" i="97"/>
  <c r="CS17" i="97" s="1"/>
  <c r="CT17" i="97" s="1"/>
  <c r="CU17" i="97" s="1"/>
  <c r="CV17" i="97" s="1"/>
  <c r="CW17" i="97" s="1"/>
  <c r="CX17" i="97" s="1"/>
  <c r="CY17" i="97" s="1"/>
  <c r="CZ17" i="97" s="1"/>
  <c r="DA17" i="97" s="1"/>
  <c r="DB17" i="97" s="1"/>
  <c r="CR16" i="97"/>
  <c r="CS16" i="97" s="1"/>
  <c r="CT16" i="97" s="1"/>
  <c r="CU16" i="97" s="1"/>
  <c r="CV16" i="97" s="1"/>
  <c r="CW16" i="97" s="1"/>
  <c r="CX16" i="97" s="1"/>
  <c r="CY16" i="97" s="1"/>
  <c r="CZ16" i="97" s="1"/>
  <c r="DA16" i="97" s="1"/>
  <c r="DB16" i="97" s="1"/>
  <c r="CR14" i="97"/>
  <c r="CS14" i="97" s="1"/>
  <c r="CT14" i="97" s="1"/>
  <c r="CU14" i="97" s="1"/>
  <c r="CV14" i="97" s="1"/>
  <c r="CW14" i="97" s="1"/>
  <c r="CX14" i="97" s="1"/>
  <c r="CY14" i="97" s="1"/>
  <c r="CZ14" i="97" s="1"/>
  <c r="DA14" i="97" s="1"/>
  <c r="DB14" i="97" s="1"/>
  <c r="CR13" i="97"/>
  <c r="CS13" i="97" s="1"/>
  <c r="CT13" i="97" s="1"/>
  <c r="CU13" i="97" s="1"/>
  <c r="CV13" i="97" s="1"/>
  <c r="CW13" i="97" s="1"/>
  <c r="CX13" i="97" s="1"/>
  <c r="CY13" i="97" s="1"/>
  <c r="CZ13" i="97" s="1"/>
  <c r="DA13" i="97" s="1"/>
  <c r="DB13" i="97" s="1"/>
  <c r="CR12" i="97"/>
  <c r="CS12" i="97" s="1"/>
  <c r="CT12" i="97" s="1"/>
  <c r="CU12" i="97" s="1"/>
  <c r="CV12" i="97" s="1"/>
  <c r="CW12" i="97" s="1"/>
  <c r="CX12" i="97" s="1"/>
  <c r="CY12" i="97" s="1"/>
  <c r="CZ12" i="97" s="1"/>
  <c r="DA12" i="97" s="1"/>
  <c r="DB12" i="97" s="1"/>
  <c r="CR11" i="97"/>
  <c r="CS11" i="97" s="1"/>
  <c r="CT11" i="97" s="1"/>
  <c r="CU11" i="97" s="1"/>
  <c r="CV11" i="97" s="1"/>
  <c r="CW11" i="97" s="1"/>
  <c r="CX11" i="97" s="1"/>
  <c r="CY11" i="97" s="1"/>
  <c r="CZ11" i="97" s="1"/>
  <c r="DA11" i="97" s="1"/>
  <c r="DB11" i="97" s="1"/>
  <c r="CR10" i="97"/>
  <c r="CS10" i="97" s="1"/>
  <c r="CT10" i="97" s="1"/>
  <c r="CU10" i="97" s="1"/>
  <c r="CV10" i="97" s="1"/>
  <c r="CW10" i="97" s="1"/>
  <c r="CX10" i="97" s="1"/>
  <c r="CY10" i="97" s="1"/>
  <c r="CZ10" i="97" s="1"/>
  <c r="DA10" i="97" s="1"/>
  <c r="DB10" i="97" s="1"/>
  <c r="CR9" i="97"/>
  <c r="CS9" i="97" s="1"/>
  <c r="CT9" i="97" s="1"/>
  <c r="CU9" i="97" s="1"/>
  <c r="CV9" i="97" s="1"/>
  <c r="CW9" i="97" s="1"/>
  <c r="CX9" i="97" s="1"/>
  <c r="CY9" i="97" s="1"/>
  <c r="CZ9" i="97" s="1"/>
  <c r="DA9" i="97" s="1"/>
  <c r="DB9" i="97" s="1"/>
  <c r="CR7" i="97"/>
  <c r="CS7" i="97" s="1"/>
  <c r="CT7" i="97" s="1"/>
  <c r="CU7" i="97" s="1"/>
  <c r="CV7" i="97" s="1"/>
  <c r="CW7" i="97" s="1"/>
  <c r="CX7" i="97" s="1"/>
  <c r="CY7" i="97" s="1"/>
  <c r="CZ7" i="97" s="1"/>
  <c r="DA7" i="97" s="1"/>
  <c r="DB7" i="97" s="1"/>
  <c r="CR127" i="97"/>
  <c r="CS127" i="97" s="1"/>
  <c r="CT127" i="97" s="1"/>
  <c r="CU127" i="97" s="1"/>
  <c r="CV127" i="97" s="1"/>
  <c r="CW127" i="97" s="1"/>
  <c r="CX127" i="97" s="1"/>
  <c r="CY127" i="97" s="1"/>
  <c r="CZ127" i="97" s="1"/>
  <c r="DA127" i="97" s="1"/>
  <c r="DB127" i="97" s="1"/>
  <c r="DB128" i="97"/>
  <c r="DA128" i="97"/>
  <c r="CZ128" i="97"/>
  <c r="CY128" i="97"/>
  <c r="CX128" i="97"/>
  <c r="CW128" i="97"/>
  <c r="CV128" i="97"/>
  <c r="CU128" i="97"/>
  <c r="CT128" i="97"/>
  <c r="CS128" i="97"/>
  <c r="CR128" i="97"/>
  <c r="CQ128" i="97"/>
  <c r="CD82" i="97" l="1"/>
  <c r="CD36" i="97"/>
  <c r="AJ114" i="96" l="1"/>
  <c r="AE114" i="96"/>
  <c r="AD114" i="96"/>
  <c r="AC114" i="96"/>
  <c r="AM114" i="96"/>
  <c r="AL114" i="96"/>
  <c r="AK114" i="96"/>
  <c r="AI114" i="96"/>
  <c r="AH114" i="96"/>
  <c r="AG114" i="96"/>
  <c r="AF114" i="96"/>
  <c r="AB114" i="96"/>
  <c r="AF98" i="96"/>
  <c r="AI98" i="96"/>
  <c r="AH98" i="96"/>
  <c r="AG98" i="96"/>
  <c r="AB98" i="96"/>
  <c r="AJ98" i="96"/>
  <c r="AE98" i="96"/>
  <c r="AD98" i="96"/>
  <c r="AC98" i="96"/>
  <c r="AM98" i="96"/>
  <c r="AL98" i="96"/>
  <c r="AK98" i="96"/>
  <c r="AI82" i="96"/>
  <c r="AH82" i="96"/>
  <c r="AG82" i="96"/>
  <c r="AB82" i="96"/>
  <c r="AJ82" i="96"/>
  <c r="AE82" i="96"/>
  <c r="AD82" i="96"/>
  <c r="AC82" i="96"/>
  <c r="AM82" i="96"/>
  <c r="AL82" i="96"/>
  <c r="AK82" i="96"/>
  <c r="AK81" i="96" s="1"/>
  <c r="AF82" i="96"/>
  <c r="AM75" i="96"/>
  <c r="AL75" i="96"/>
  <c r="AK75" i="96"/>
  <c r="AF75" i="96"/>
  <c r="AB75" i="96"/>
  <c r="AI75" i="96"/>
  <c r="AH75" i="96"/>
  <c r="AG75" i="96"/>
  <c r="AE75" i="96"/>
  <c r="AD75" i="96"/>
  <c r="AC75" i="96"/>
  <c r="AJ75" i="96"/>
  <c r="AJ68" i="96"/>
  <c r="AF68" i="96"/>
  <c r="AM68" i="96"/>
  <c r="AL68" i="96"/>
  <c r="AK68" i="96"/>
  <c r="AI68" i="96"/>
  <c r="AH68" i="96"/>
  <c r="AG68" i="96"/>
  <c r="AB68" i="96"/>
  <c r="AE68" i="96"/>
  <c r="AD68" i="96"/>
  <c r="AC68" i="96"/>
  <c r="AJ65" i="96"/>
  <c r="AM65" i="96"/>
  <c r="AL65" i="96"/>
  <c r="AK65" i="96"/>
  <c r="AF65" i="96"/>
  <c r="AI65" i="96"/>
  <c r="AH65" i="96"/>
  <c r="AG65" i="96"/>
  <c r="AE65" i="96"/>
  <c r="AD65" i="96"/>
  <c r="AC65" i="96"/>
  <c r="AB65" i="96"/>
  <c r="AJ62" i="96"/>
  <c r="AE62" i="96"/>
  <c r="AD62" i="96"/>
  <c r="AC62" i="96"/>
  <c r="AM62" i="96"/>
  <c r="AL62" i="96"/>
  <c r="AK62" i="96"/>
  <c r="AI62" i="96"/>
  <c r="AH62" i="96"/>
  <c r="AG62" i="96"/>
  <c r="AF62" i="96"/>
  <c r="AB62" i="96"/>
  <c r="AM56" i="96"/>
  <c r="AM54" i="96" s="1"/>
  <c r="AM53" i="96" s="1"/>
  <c r="AL56" i="96"/>
  <c r="AL54" i="96" s="1"/>
  <c r="AL53" i="96" s="1"/>
  <c r="AK56" i="96"/>
  <c r="AK54" i="96" s="1"/>
  <c r="AK53" i="96" s="1"/>
  <c r="AI56" i="96"/>
  <c r="AI54" i="96" s="1"/>
  <c r="AI53" i="96" s="1"/>
  <c r="AH56" i="96"/>
  <c r="AH54" i="96" s="1"/>
  <c r="AH53" i="96" s="1"/>
  <c r="AG56" i="96"/>
  <c r="AG54" i="96" s="1"/>
  <c r="AG53" i="96" s="1"/>
  <c r="AF56" i="96"/>
  <c r="AF54" i="96" s="1"/>
  <c r="AF53" i="96" s="1"/>
  <c r="AB56" i="96"/>
  <c r="AB54" i="96" s="1"/>
  <c r="AB53" i="96" s="1"/>
  <c r="AJ56" i="96"/>
  <c r="AJ54" i="96" s="1"/>
  <c r="AJ53" i="96" s="1"/>
  <c r="AE56" i="96"/>
  <c r="AE54" i="96" s="1"/>
  <c r="AE53" i="96" s="1"/>
  <c r="AD56" i="96"/>
  <c r="AD54" i="96" s="1"/>
  <c r="AD53" i="96" s="1"/>
  <c r="AC56" i="96"/>
  <c r="AC54" i="96" s="1"/>
  <c r="AC53" i="96" s="1"/>
  <c r="AJ50" i="96"/>
  <c r="AD50" i="96"/>
  <c r="AC50" i="96"/>
  <c r="AM50" i="96"/>
  <c r="AL50" i="96"/>
  <c r="AK50" i="96"/>
  <c r="AI50" i="96"/>
  <c r="AH50" i="96"/>
  <c r="AG50" i="96"/>
  <c r="AF50" i="96"/>
  <c r="AE50" i="96"/>
  <c r="AB50" i="96"/>
  <c r="AM47" i="96"/>
  <c r="AH47" i="96"/>
  <c r="AG47" i="96"/>
  <c r="AE47" i="96"/>
  <c r="AD47" i="96"/>
  <c r="AC47" i="96"/>
  <c r="AB47" i="96"/>
  <c r="AL47" i="96"/>
  <c r="AK47" i="96"/>
  <c r="AJ47" i="96"/>
  <c r="AI47" i="96"/>
  <c r="AF47" i="96"/>
  <c r="AE44" i="96"/>
  <c r="AL44" i="96"/>
  <c r="AK44" i="96"/>
  <c r="AI44" i="96"/>
  <c r="AH44" i="96"/>
  <c r="AG44" i="96"/>
  <c r="AF44" i="96"/>
  <c r="AB44" i="96"/>
  <c r="AM44" i="96"/>
  <c r="AJ44" i="96"/>
  <c r="AD44" i="96"/>
  <c r="AC44" i="96"/>
  <c r="AM36" i="96"/>
  <c r="AJ36" i="96"/>
  <c r="AE36" i="96"/>
  <c r="AL36" i="96"/>
  <c r="AK36" i="96"/>
  <c r="AI36" i="96"/>
  <c r="AH36" i="96"/>
  <c r="AG36" i="96"/>
  <c r="AF36" i="96"/>
  <c r="AB36" i="96"/>
  <c r="AD36" i="96"/>
  <c r="AC36" i="96"/>
  <c r="AG29" i="96"/>
  <c r="AD29" i="96"/>
  <c r="AC29" i="96"/>
  <c r="AI29" i="96"/>
  <c r="AM29" i="96"/>
  <c r="AL29" i="96"/>
  <c r="AK29" i="96"/>
  <c r="AJ29" i="96"/>
  <c r="AF29" i="96"/>
  <c r="AE29" i="96"/>
  <c r="AH29" i="96"/>
  <c r="AB29" i="96"/>
  <c r="AD25" i="96"/>
  <c r="AC25" i="96"/>
  <c r="AI25" i="96"/>
  <c r="AM25" i="96"/>
  <c r="AL25" i="96"/>
  <c r="AK25" i="96"/>
  <c r="AJ25" i="96"/>
  <c r="AF25" i="96"/>
  <c r="AE25" i="96"/>
  <c r="AH25" i="96"/>
  <c r="AG25" i="96"/>
  <c r="AB25" i="96"/>
  <c r="AH14" i="96"/>
  <c r="AG14" i="96"/>
  <c r="AM14" i="96"/>
  <c r="AB14" i="96"/>
  <c r="AJ14" i="96"/>
  <c r="AI14" i="96"/>
  <c r="AD14" i="96"/>
  <c r="AC14" i="96"/>
  <c r="AL14" i="96"/>
  <c r="AK14" i="96"/>
  <c r="AF14" i="96"/>
  <c r="AE14" i="96"/>
  <c r="AI7" i="96"/>
  <c r="AL7" i="96"/>
  <c r="AK7" i="96"/>
  <c r="AF7" i="96"/>
  <c r="AM7" i="96"/>
  <c r="AH7" i="96"/>
  <c r="AG7" i="96"/>
  <c r="AE7" i="96"/>
  <c r="AD7" i="96"/>
  <c r="AC7" i="96"/>
  <c r="AB7" i="96"/>
  <c r="AJ7" i="96"/>
  <c r="AJ4" i="96"/>
  <c r="AE4" i="96"/>
  <c r="AL4" i="96"/>
  <c r="AK4" i="96"/>
  <c r="AI4" i="96"/>
  <c r="AH4" i="96"/>
  <c r="AG4" i="96"/>
  <c r="AF4" i="96"/>
  <c r="AM4" i="96"/>
  <c r="AD4" i="96"/>
  <c r="AC4" i="96"/>
  <c r="AK43" i="96" l="1"/>
  <c r="AI43" i="96"/>
  <c r="AI35" i="96" s="1"/>
  <c r="AL43" i="96"/>
  <c r="AL35" i="96" s="1"/>
  <c r="AC81" i="96"/>
  <c r="AC43" i="96"/>
  <c r="AC35" i="96" s="1"/>
  <c r="AB81" i="96"/>
  <c r="AJ81" i="96"/>
  <c r="AJ43" i="96"/>
  <c r="AJ35" i="96" s="1"/>
  <c r="AD81" i="96"/>
  <c r="AF43" i="96"/>
  <c r="AF35" i="96" s="1"/>
  <c r="AE81" i="96"/>
  <c r="AD43" i="96"/>
  <c r="AD35" i="96" s="1"/>
  <c r="AF81" i="96"/>
  <c r="AE43" i="96"/>
  <c r="AE35" i="96" s="1"/>
  <c r="AL81" i="96"/>
  <c r="AM81" i="96"/>
  <c r="AG43" i="96"/>
  <c r="AG35" i="96" s="1"/>
  <c r="AH43" i="96"/>
  <c r="AH35" i="96" s="1"/>
  <c r="AK35" i="96"/>
  <c r="AG81" i="96"/>
  <c r="AM43" i="96"/>
  <c r="AM35" i="96" s="1"/>
  <c r="AH81" i="96"/>
  <c r="AB43" i="96"/>
  <c r="AB35" i="96" s="1"/>
  <c r="AI81" i="96"/>
  <c r="CE127" i="97"/>
  <c r="CF127" i="97" l="1"/>
  <c r="CE126" i="97"/>
  <c r="CE114" i="97" s="1"/>
  <c r="CO128" i="97"/>
  <c r="CN128" i="97"/>
  <c r="CM128" i="97"/>
  <c r="CL128" i="97"/>
  <c r="CK128" i="97"/>
  <c r="CJ128" i="97"/>
  <c r="CI128" i="97"/>
  <c r="CH128" i="97"/>
  <c r="CG128" i="97"/>
  <c r="CF128" i="97"/>
  <c r="CE128" i="97"/>
  <c r="CD128" i="97"/>
  <c r="CB128" i="97"/>
  <c r="CA128" i="97"/>
  <c r="BZ128" i="97"/>
  <c r="BY128" i="97"/>
  <c r="BX128" i="97"/>
  <c r="BW128" i="97"/>
  <c r="BV128" i="97"/>
  <c r="BU128" i="97"/>
  <c r="BT128" i="97"/>
  <c r="BS128" i="97"/>
  <c r="BR128" i="97"/>
  <c r="BQ128" i="97"/>
  <c r="BQ127" i="97"/>
  <c r="CB125" i="97"/>
  <c r="CA125" i="97"/>
  <c r="BZ125" i="97"/>
  <c r="BY125" i="97"/>
  <c r="BX125" i="97"/>
  <c r="BW125" i="97"/>
  <c r="BV125" i="97"/>
  <c r="BU125" i="97"/>
  <c r="BT125" i="97"/>
  <c r="BS125" i="97"/>
  <c r="BR125" i="97"/>
  <c r="BQ125" i="97"/>
  <c r="CB124" i="97"/>
  <c r="CA124" i="97"/>
  <c r="BZ124" i="97"/>
  <c r="BY124" i="97"/>
  <c r="BX124" i="97"/>
  <c r="BW124" i="97"/>
  <c r="BV124" i="97"/>
  <c r="BU124" i="97"/>
  <c r="BT124" i="97"/>
  <c r="BS124" i="97"/>
  <c r="BR124" i="97"/>
  <c r="BQ124" i="97"/>
  <c r="CB123" i="97"/>
  <c r="CA123" i="97"/>
  <c r="BZ123" i="97"/>
  <c r="BY123" i="97"/>
  <c r="BX123" i="97"/>
  <c r="BW123" i="97"/>
  <c r="BV123" i="97"/>
  <c r="BU123" i="97"/>
  <c r="BT123" i="97"/>
  <c r="BS123" i="97"/>
  <c r="BR123" i="97"/>
  <c r="BQ123" i="97"/>
  <c r="CB122" i="97"/>
  <c r="CA122" i="97"/>
  <c r="BZ122" i="97"/>
  <c r="BY122" i="97"/>
  <c r="BX122" i="97"/>
  <c r="BW122" i="97"/>
  <c r="BV122" i="97"/>
  <c r="BU122" i="97"/>
  <c r="BT122" i="97"/>
  <c r="BS122" i="97"/>
  <c r="BR122" i="97"/>
  <c r="BQ122" i="97"/>
  <c r="CB121" i="97"/>
  <c r="CA121" i="97"/>
  <c r="BZ121" i="97"/>
  <c r="BY121" i="97"/>
  <c r="BX121" i="97"/>
  <c r="BW121" i="97"/>
  <c r="BV121" i="97"/>
  <c r="BU121" i="97"/>
  <c r="BT121" i="97"/>
  <c r="BS121" i="97"/>
  <c r="BR121" i="97"/>
  <c r="BQ121" i="97"/>
  <c r="CB120" i="97"/>
  <c r="CA120" i="97"/>
  <c r="BZ120" i="97"/>
  <c r="BY120" i="97"/>
  <c r="BX120" i="97"/>
  <c r="BW120" i="97"/>
  <c r="BV120" i="97"/>
  <c r="BU120" i="97"/>
  <c r="BT120" i="97"/>
  <c r="BS120" i="97"/>
  <c r="BR120" i="97"/>
  <c r="BQ120" i="97"/>
  <c r="CB119" i="97"/>
  <c r="CA119" i="97"/>
  <c r="BZ119" i="97"/>
  <c r="BY119" i="97"/>
  <c r="BX119" i="97"/>
  <c r="BW119" i="97"/>
  <c r="BV119" i="97"/>
  <c r="BU119" i="97"/>
  <c r="BT119" i="97"/>
  <c r="BS119" i="97"/>
  <c r="BR119" i="97"/>
  <c r="BQ119" i="97"/>
  <c r="CB118" i="97"/>
  <c r="CA118" i="97"/>
  <c r="BZ118" i="97"/>
  <c r="BY118" i="97"/>
  <c r="BX118" i="97"/>
  <c r="BW118" i="97"/>
  <c r="BV118" i="97"/>
  <c r="BU118" i="97"/>
  <c r="BT118" i="97"/>
  <c r="BS118" i="97"/>
  <c r="BR118" i="97"/>
  <c r="BQ118" i="97"/>
  <c r="CB117" i="97"/>
  <c r="CA117" i="97"/>
  <c r="BZ117" i="97"/>
  <c r="BY117" i="97"/>
  <c r="BX117" i="97"/>
  <c r="BW117" i="97"/>
  <c r="BV117" i="97"/>
  <c r="BU117" i="97"/>
  <c r="BT117" i="97"/>
  <c r="BS117" i="97"/>
  <c r="BR117" i="97"/>
  <c r="BQ117" i="97"/>
  <c r="CB116" i="97"/>
  <c r="CA116" i="97"/>
  <c r="BZ116" i="97"/>
  <c r="BY116" i="97"/>
  <c r="BX116" i="97"/>
  <c r="BW116" i="97"/>
  <c r="BV116" i="97"/>
  <c r="BU116" i="97"/>
  <c r="BT116" i="97"/>
  <c r="BS116" i="97"/>
  <c r="BR116" i="97"/>
  <c r="BQ116" i="97"/>
  <c r="CB113" i="97"/>
  <c r="CA113" i="97"/>
  <c r="BZ113" i="97"/>
  <c r="BY113" i="97"/>
  <c r="BX113" i="97"/>
  <c r="BW113" i="97"/>
  <c r="BV113" i="97"/>
  <c r="BU113" i="97"/>
  <c r="BT113" i="97"/>
  <c r="BS113" i="97"/>
  <c r="BR113" i="97"/>
  <c r="BQ113" i="97"/>
  <c r="CB112" i="97"/>
  <c r="CA112" i="97"/>
  <c r="BZ112" i="97"/>
  <c r="BY112" i="97"/>
  <c r="BX112" i="97"/>
  <c r="BW112" i="97"/>
  <c r="BV112" i="97"/>
  <c r="BU112" i="97"/>
  <c r="BT112" i="97"/>
  <c r="BS112" i="97"/>
  <c r="BR112" i="97"/>
  <c r="BQ112" i="97"/>
  <c r="CB111" i="97"/>
  <c r="CA111" i="97"/>
  <c r="BZ111" i="97"/>
  <c r="BY111" i="97"/>
  <c r="BX111" i="97"/>
  <c r="BW111" i="97"/>
  <c r="BV111" i="97"/>
  <c r="BU111" i="97"/>
  <c r="BT111" i="97"/>
  <c r="BS111" i="97"/>
  <c r="BR111" i="97"/>
  <c r="BQ111" i="97"/>
  <c r="CB110" i="97"/>
  <c r="CA110" i="97"/>
  <c r="BZ110" i="97"/>
  <c r="BY110" i="97"/>
  <c r="BX110" i="97"/>
  <c r="BW110" i="97"/>
  <c r="BV110" i="97"/>
  <c r="BU110" i="97"/>
  <c r="BT110" i="97"/>
  <c r="BS110" i="97"/>
  <c r="BR110" i="97"/>
  <c r="BQ110" i="97"/>
  <c r="CB109" i="97"/>
  <c r="CA109" i="97"/>
  <c r="BZ109" i="97"/>
  <c r="BY109" i="97"/>
  <c r="BX109" i="97"/>
  <c r="BW109" i="97"/>
  <c r="BV109" i="97"/>
  <c r="BU109" i="97"/>
  <c r="BT109" i="97"/>
  <c r="BS109" i="97"/>
  <c r="BR109" i="97"/>
  <c r="BQ109" i="97"/>
  <c r="CB108" i="97"/>
  <c r="CA108" i="97"/>
  <c r="BZ108" i="97"/>
  <c r="BY108" i="97"/>
  <c r="BX108" i="97"/>
  <c r="BW108" i="97"/>
  <c r="BV108" i="97"/>
  <c r="BU108" i="97"/>
  <c r="BT108" i="97"/>
  <c r="BS108" i="97"/>
  <c r="BR108" i="97"/>
  <c r="BQ108" i="97"/>
  <c r="CB107" i="97"/>
  <c r="CA107" i="97"/>
  <c r="BZ107" i="97"/>
  <c r="BY107" i="97"/>
  <c r="BX107" i="97"/>
  <c r="BW107" i="97"/>
  <c r="BV107" i="97"/>
  <c r="BU107" i="97"/>
  <c r="BT107" i="97"/>
  <c r="BS107" i="97"/>
  <c r="BR107" i="97"/>
  <c r="BQ107" i="97"/>
  <c r="CB106" i="97"/>
  <c r="CA106" i="97"/>
  <c r="BZ106" i="97"/>
  <c r="BY106" i="97"/>
  <c r="BX106" i="97"/>
  <c r="BW106" i="97"/>
  <c r="BV106" i="97"/>
  <c r="BU106" i="97"/>
  <c r="BT106" i="97"/>
  <c r="BS106" i="97"/>
  <c r="BR106" i="97"/>
  <c r="BQ106" i="97"/>
  <c r="CB105" i="97"/>
  <c r="CA105" i="97"/>
  <c r="BZ105" i="97"/>
  <c r="BY105" i="97"/>
  <c r="BX105" i="97"/>
  <c r="BW105" i="97"/>
  <c r="BV105" i="97"/>
  <c r="BU105" i="97"/>
  <c r="BT105" i="97"/>
  <c r="BS105" i="97"/>
  <c r="BR105" i="97"/>
  <c r="BQ105" i="97"/>
  <c r="CB104" i="97"/>
  <c r="CA104" i="97"/>
  <c r="BZ104" i="97"/>
  <c r="BY104" i="97"/>
  <c r="BX104" i="97"/>
  <c r="BW104" i="97"/>
  <c r="BV104" i="97"/>
  <c r="BU104" i="97"/>
  <c r="BT104" i="97"/>
  <c r="BS104" i="97"/>
  <c r="BR104" i="97"/>
  <c r="BQ104" i="97"/>
  <c r="CB103" i="97"/>
  <c r="CA103" i="97"/>
  <c r="BZ103" i="97"/>
  <c r="BY103" i="97"/>
  <c r="BX103" i="97"/>
  <c r="BW103" i="97"/>
  <c r="BV103" i="97"/>
  <c r="BU103" i="97"/>
  <c r="BT103" i="97"/>
  <c r="BS103" i="97"/>
  <c r="BR103" i="97"/>
  <c r="BQ103" i="97"/>
  <c r="CB102" i="97"/>
  <c r="CA102" i="97"/>
  <c r="BZ102" i="97"/>
  <c r="BY102" i="97"/>
  <c r="BX102" i="97"/>
  <c r="BW102" i="97"/>
  <c r="BV102" i="97"/>
  <c r="BU102" i="97"/>
  <c r="BT102" i="97"/>
  <c r="BS102" i="97"/>
  <c r="BR102" i="97"/>
  <c r="BQ102" i="97"/>
  <c r="CB101" i="97"/>
  <c r="CA101" i="97"/>
  <c r="BZ101" i="97"/>
  <c r="BY101" i="97"/>
  <c r="BX101" i="97"/>
  <c r="BW101" i="97"/>
  <c r="BV101" i="97"/>
  <c r="BU101" i="97"/>
  <c r="BT101" i="97"/>
  <c r="BS101" i="97"/>
  <c r="BR101" i="97"/>
  <c r="BQ101" i="97"/>
  <c r="CB100" i="97"/>
  <c r="CA100" i="97"/>
  <c r="BZ100" i="97"/>
  <c r="BY100" i="97"/>
  <c r="BX100" i="97"/>
  <c r="BW100" i="97"/>
  <c r="BV100" i="97"/>
  <c r="BU100" i="97"/>
  <c r="BT100" i="97"/>
  <c r="BS100" i="97"/>
  <c r="BR100" i="97"/>
  <c r="BQ100" i="97"/>
  <c r="CB98" i="97"/>
  <c r="CA98" i="97"/>
  <c r="BZ98" i="97"/>
  <c r="BY98" i="97"/>
  <c r="BX98" i="97"/>
  <c r="BW98" i="97"/>
  <c r="BV98" i="97"/>
  <c r="BU98" i="97"/>
  <c r="BT98" i="97"/>
  <c r="BS98" i="97"/>
  <c r="BR98" i="97"/>
  <c r="BQ98" i="97"/>
  <c r="CB97" i="97"/>
  <c r="CA97" i="97"/>
  <c r="BZ97" i="97"/>
  <c r="BY97" i="97"/>
  <c r="BX97" i="97"/>
  <c r="BW97" i="97"/>
  <c r="BV97" i="97"/>
  <c r="BU97" i="97"/>
  <c r="BT97" i="97"/>
  <c r="BS97" i="97"/>
  <c r="BR97" i="97"/>
  <c r="BQ97" i="97"/>
  <c r="CB96" i="97"/>
  <c r="CA96" i="97"/>
  <c r="BZ96" i="97"/>
  <c r="BY96" i="97"/>
  <c r="BX96" i="97"/>
  <c r="BW96" i="97"/>
  <c r="BV96" i="97"/>
  <c r="BU96" i="97"/>
  <c r="BT96" i="97"/>
  <c r="BS96" i="97"/>
  <c r="BR96" i="97"/>
  <c r="BQ96" i="97"/>
  <c r="CB95" i="97"/>
  <c r="CA95" i="97"/>
  <c r="BZ95" i="97"/>
  <c r="BY95" i="97"/>
  <c r="BX95" i="97"/>
  <c r="BW95" i="97"/>
  <c r="BV95" i="97"/>
  <c r="BU95" i="97"/>
  <c r="BT95" i="97"/>
  <c r="BS95" i="97"/>
  <c r="BR95" i="97"/>
  <c r="BQ95" i="97"/>
  <c r="CB94" i="97"/>
  <c r="CA94" i="97"/>
  <c r="BZ94" i="97"/>
  <c r="BY94" i="97"/>
  <c r="BX94" i="97"/>
  <c r="BW94" i="97"/>
  <c r="BV94" i="97"/>
  <c r="BU94" i="97"/>
  <c r="BT94" i="97"/>
  <c r="BS94" i="97"/>
  <c r="BR94" i="97"/>
  <c r="BQ94" i="97"/>
  <c r="CB93" i="97"/>
  <c r="CA93" i="97"/>
  <c r="BZ93" i="97"/>
  <c r="BY93" i="97"/>
  <c r="BX93" i="97"/>
  <c r="BW93" i="97"/>
  <c r="BV93" i="97"/>
  <c r="BU93" i="97"/>
  <c r="BT93" i="97"/>
  <c r="BS93" i="97"/>
  <c r="BR93" i="97"/>
  <c r="BQ93" i="97"/>
  <c r="CB92" i="97"/>
  <c r="CA92" i="97"/>
  <c r="BZ92" i="97"/>
  <c r="BY92" i="97"/>
  <c r="BX92" i="97"/>
  <c r="BW92" i="97"/>
  <c r="BV92" i="97"/>
  <c r="BU92" i="97"/>
  <c r="BT92" i="97"/>
  <c r="BS92" i="97"/>
  <c r="BR92" i="97"/>
  <c r="BQ92" i="97"/>
  <c r="CB91" i="97"/>
  <c r="CA91" i="97"/>
  <c r="BZ91" i="97"/>
  <c r="BY91" i="97"/>
  <c r="BX91" i="97"/>
  <c r="BW91" i="97"/>
  <c r="BV91" i="97"/>
  <c r="BU91" i="97"/>
  <c r="BT91" i="97"/>
  <c r="BS91" i="97"/>
  <c r="BR91" i="97"/>
  <c r="BQ91" i="97"/>
  <c r="CB90" i="97"/>
  <c r="CA90" i="97"/>
  <c r="BZ90" i="97"/>
  <c r="BY90" i="97"/>
  <c r="BX90" i="97"/>
  <c r="BW90" i="97"/>
  <c r="BV90" i="97"/>
  <c r="BU90" i="97"/>
  <c r="BT90" i="97"/>
  <c r="BS90" i="97"/>
  <c r="BR90" i="97"/>
  <c r="BQ90" i="97"/>
  <c r="CB89" i="97"/>
  <c r="CA89" i="97"/>
  <c r="BZ89" i="97"/>
  <c r="BY89" i="97"/>
  <c r="BX89" i="97"/>
  <c r="BW89" i="97"/>
  <c r="BV89" i="97"/>
  <c r="BU89" i="97"/>
  <c r="BT89" i="97"/>
  <c r="BS89" i="97"/>
  <c r="BR89" i="97"/>
  <c r="BQ89" i="97"/>
  <c r="CB88" i="97"/>
  <c r="CA88" i="97"/>
  <c r="BZ88" i="97"/>
  <c r="BY88" i="97"/>
  <c r="BX88" i="97"/>
  <c r="BW88" i="97"/>
  <c r="BV88" i="97"/>
  <c r="BU88" i="97"/>
  <c r="BT88" i="97"/>
  <c r="BS88" i="97"/>
  <c r="BR88" i="97"/>
  <c r="BQ88" i="97"/>
  <c r="CB87" i="97"/>
  <c r="CA87" i="97"/>
  <c r="BZ87" i="97"/>
  <c r="BY87" i="97"/>
  <c r="BX87" i="97"/>
  <c r="BW87" i="97"/>
  <c r="BV87" i="97"/>
  <c r="BU87" i="97"/>
  <c r="BT87" i="97"/>
  <c r="BS87" i="97"/>
  <c r="BR87" i="97"/>
  <c r="BQ87" i="97"/>
  <c r="CB86" i="97"/>
  <c r="CA86" i="97"/>
  <c r="BZ86" i="97"/>
  <c r="BY86" i="97"/>
  <c r="BX86" i="97"/>
  <c r="BW86" i="97"/>
  <c r="BV86" i="97"/>
  <c r="BU86" i="97"/>
  <c r="BT86" i="97"/>
  <c r="BS86" i="97"/>
  <c r="BR86" i="97"/>
  <c r="BQ86" i="97"/>
  <c r="CB85" i="97"/>
  <c r="CA85" i="97"/>
  <c r="BZ85" i="97"/>
  <c r="BY85" i="97"/>
  <c r="BX85" i="97"/>
  <c r="BW85" i="97"/>
  <c r="BV85" i="97"/>
  <c r="BU85" i="97"/>
  <c r="BT85" i="97"/>
  <c r="BS85" i="97"/>
  <c r="BR85" i="97"/>
  <c r="BQ85" i="97"/>
  <c r="CB84" i="97"/>
  <c r="CA84" i="97"/>
  <c r="BZ84" i="97"/>
  <c r="BY84" i="97"/>
  <c r="BX84" i="97"/>
  <c r="BW84" i="97"/>
  <c r="BV84" i="97"/>
  <c r="BU84" i="97"/>
  <c r="BT84" i="97"/>
  <c r="BS84" i="97"/>
  <c r="BR84" i="97"/>
  <c r="BQ84" i="97"/>
  <c r="CB80" i="97"/>
  <c r="CA80" i="97"/>
  <c r="BZ80" i="97"/>
  <c r="BY80" i="97"/>
  <c r="BX80" i="97"/>
  <c r="BW80" i="97"/>
  <c r="BV80" i="97"/>
  <c r="BU80" i="97"/>
  <c r="BT80" i="97"/>
  <c r="BS80" i="97"/>
  <c r="BR80" i="97"/>
  <c r="BQ80" i="97"/>
  <c r="CB79" i="97"/>
  <c r="CA79" i="97"/>
  <c r="BZ79" i="97"/>
  <c r="BY79" i="97"/>
  <c r="BX79" i="97"/>
  <c r="BW79" i="97"/>
  <c r="BV79" i="97"/>
  <c r="BU79" i="97"/>
  <c r="BT79" i="97"/>
  <c r="BS79" i="97"/>
  <c r="BR79" i="97"/>
  <c r="BQ79" i="97"/>
  <c r="CB78" i="97"/>
  <c r="CA78" i="97"/>
  <c r="BZ78" i="97"/>
  <c r="BY78" i="97"/>
  <c r="BX78" i="97"/>
  <c r="BW78" i="97"/>
  <c r="BV78" i="97"/>
  <c r="BU78" i="97"/>
  <c r="BT78" i="97"/>
  <c r="BS78" i="97"/>
  <c r="BR78" i="97"/>
  <c r="BQ78" i="97"/>
  <c r="CB77" i="97"/>
  <c r="CA77" i="97"/>
  <c r="BZ77" i="97"/>
  <c r="BY77" i="97"/>
  <c r="BX77" i="97"/>
  <c r="BW77" i="97"/>
  <c r="BV77" i="97"/>
  <c r="BU77" i="97"/>
  <c r="BT77" i="97"/>
  <c r="BS77" i="97"/>
  <c r="BR77" i="97"/>
  <c r="BQ77" i="97"/>
  <c r="CB75" i="97"/>
  <c r="CA75" i="97"/>
  <c r="BZ75" i="97"/>
  <c r="BY75" i="97"/>
  <c r="BX75" i="97"/>
  <c r="BW75" i="97"/>
  <c r="BV75" i="97"/>
  <c r="BU75" i="97"/>
  <c r="BT75" i="97"/>
  <c r="BS75" i="97"/>
  <c r="BR75" i="97"/>
  <c r="BQ75" i="97"/>
  <c r="CB74" i="97"/>
  <c r="CA74" i="97"/>
  <c r="BZ74" i="97"/>
  <c r="BY74" i="97"/>
  <c r="BX74" i="97"/>
  <c r="BW74" i="97"/>
  <c r="BV74" i="97"/>
  <c r="BU74" i="97"/>
  <c r="BT74" i="97"/>
  <c r="BS74" i="97"/>
  <c r="BR74" i="97"/>
  <c r="BQ74" i="97"/>
  <c r="CB73" i="97"/>
  <c r="CA73" i="97"/>
  <c r="BZ73" i="97"/>
  <c r="BY73" i="97"/>
  <c r="BX73" i="97"/>
  <c r="BW73" i="97"/>
  <c r="BV73" i="97"/>
  <c r="BU73" i="97"/>
  <c r="BT73" i="97"/>
  <c r="BS73" i="97"/>
  <c r="BR73" i="97"/>
  <c r="BQ73" i="97"/>
  <c r="CB72" i="97"/>
  <c r="CA72" i="97"/>
  <c r="BZ72" i="97"/>
  <c r="BY72" i="97"/>
  <c r="BX72" i="97"/>
  <c r="BW72" i="97"/>
  <c r="BV72" i="97"/>
  <c r="BU72" i="97"/>
  <c r="BT72" i="97"/>
  <c r="BS72" i="97"/>
  <c r="BR72" i="97"/>
  <c r="BQ72" i="97"/>
  <c r="CB71" i="97"/>
  <c r="CA71" i="97"/>
  <c r="BZ71" i="97"/>
  <c r="BY71" i="97"/>
  <c r="BX71" i="97"/>
  <c r="BW71" i="97"/>
  <c r="BV71" i="97"/>
  <c r="BU71" i="97"/>
  <c r="BT71" i="97"/>
  <c r="BS71" i="97"/>
  <c r="BR71" i="97"/>
  <c r="BQ71" i="97"/>
  <c r="CB70" i="97"/>
  <c r="CA70" i="97"/>
  <c r="BZ70" i="97"/>
  <c r="BY70" i="97"/>
  <c r="BX70" i="97"/>
  <c r="BW70" i="97"/>
  <c r="BV70" i="97"/>
  <c r="BU70" i="97"/>
  <c r="BT70" i="97"/>
  <c r="BS70" i="97"/>
  <c r="BR70" i="97"/>
  <c r="BQ70" i="97"/>
  <c r="CB68" i="97"/>
  <c r="CA68" i="97"/>
  <c r="BZ68" i="97"/>
  <c r="BY68" i="97"/>
  <c r="BX68" i="97"/>
  <c r="BW68" i="97"/>
  <c r="BV68" i="97"/>
  <c r="BU68" i="97"/>
  <c r="BT68" i="97"/>
  <c r="BS68" i="97"/>
  <c r="BR68" i="97"/>
  <c r="BQ68" i="97"/>
  <c r="CB67" i="97"/>
  <c r="CA67" i="97"/>
  <c r="BZ67" i="97"/>
  <c r="BY67" i="97"/>
  <c r="BX67" i="97"/>
  <c r="BW67" i="97"/>
  <c r="BV67" i="97"/>
  <c r="BU67" i="97"/>
  <c r="BT67" i="97"/>
  <c r="BS67" i="97"/>
  <c r="BR67" i="97"/>
  <c r="BQ67" i="97"/>
  <c r="CB65" i="97"/>
  <c r="CA65" i="97"/>
  <c r="BZ65" i="97"/>
  <c r="BY65" i="97"/>
  <c r="BX65" i="97"/>
  <c r="BW65" i="97"/>
  <c r="BV65" i="97"/>
  <c r="BU65" i="97"/>
  <c r="BT65" i="97"/>
  <c r="BS65" i="97"/>
  <c r="BR65" i="97"/>
  <c r="BQ65" i="97"/>
  <c r="CB64" i="97"/>
  <c r="CA64" i="97"/>
  <c r="BZ64" i="97"/>
  <c r="BY64" i="97"/>
  <c r="BX64" i="97"/>
  <c r="BW64" i="97"/>
  <c r="BV64" i="97"/>
  <c r="BU64" i="97"/>
  <c r="BT64" i="97"/>
  <c r="BS64" i="97"/>
  <c r="BR64" i="97"/>
  <c r="BQ64" i="97"/>
  <c r="CB62" i="97"/>
  <c r="CA62" i="97"/>
  <c r="BZ62" i="97"/>
  <c r="BY62" i="97"/>
  <c r="BX62" i="97"/>
  <c r="BW62" i="97"/>
  <c r="BV62" i="97"/>
  <c r="BU62" i="97"/>
  <c r="BT62" i="97"/>
  <c r="BS62" i="97"/>
  <c r="BR62" i="97"/>
  <c r="BQ62" i="97"/>
  <c r="CB61" i="97"/>
  <c r="CA61" i="97"/>
  <c r="BZ61" i="97"/>
  <c r="BY61" i="97"/>
  <c r="BX61" i="97"/>
  <c r="BW61" i="97"/>
  <c r="BV61" i="97"/>
  <c r="BU61" i="97"/>
  <c r="BT61" i="97"/>
  <c r="BS61" i="97"/>
  <c r="BR61" i="97"/>
  <c r="BQ61" i="97"/>
  <c r="CB60" i="97"/>
  <c r="CA60" i="97"/>
  <c r="BZ60" i="97"/>
  <c r="BY60" i="97"/>
  <c r="BX60" i="97"/>
  <c r="BW60" i="97"/>
  <c r="BV60" i="97"/>
  <c r="BU60" i="97"/>
  <c r="BT60" i="97"/>
  <c r="BS60" i="97"/>
  <c r="BR60" i="97"/>
  <c r="BQ60" i="97"/>
  <c r="CB59" i="97"/>
  <c r="CA59" i="97"/>
  <c r="BZ59" i="97"/>
  <c r="BY59" i="97"/>
  <c r="BX59" i="97"/>
  <c r="BW59" i="97"/>
  <c r="BV59" i="97"/>
  <c r="BU59" i="97"/>
  <c r="BT59" i="97"/>
  <c r="BS59" i="97"/>
  <c r="BR59" i="97"/>
  <c r="BQ59" i="97"/>
  <c r="CB58" i="97"/>
  <c r="CA58" i="97"/>
  <c r="BZ58" i="97"/>
  <c r="BY58" i="97"/>
  <c r="BX58" i="97"/>
  <c r="BW58" i="97"/>
  <c r="BV58" i="97"/>
  <c r="BU58" i="97"/>
  <c r="BT58" i="97"/>
  <c r="BS58" i="97"/>
  <c r="BR58" i="97"/>
  <c r="BQ58" i="97"/>
  <c r="CB56" i="97"/>
  <c r="CA56" i="97"/>
  <c r="BZ56" i="97"/>
  <c r="BY56" i="97"/>
  <c r="BX56" i="97"/>
  <c r="BW56" i="97"/>
  <c r="BV56" i="97"/>
  <c r="BU56" i="97"/>
  <c r="BT56" i="97"/>
  <c r="BS56" i="97"/>
  <c r="BR56" i="97"/>
  <c r="BQ56" i="97"/>
  <c r="CB53" i="97"/>
  <c r="CA53" i="97"/>
  <c r="BZ53" i="97"/>
  <c r="BY53" i="97"/>
  <c r="BX53" i="97"/>
  <c r="BW53" i="97"/>
  <c r="BV53" i="97"/>
  <c r="BU53" i="97"/>
  <c r="BT53" i="97"/>
  <c r="BS53" i="97"/>
  <c r="BR53" i="97"/>
  <c r="BQ53" i="97"/>
  <c r="CB52" i="97"/>
  <c r="CA52" i="97"/>
  <c r="BZ52" i="97"/>
  <c r="BY52" i="97"/>
  <c r="BX52" i="97"/>
  <c r="BW52" i="97"/>
  <c r="BV52" i="97"/>
  <c r="BU52" i="97"/>
  <c r="BT52" i="97"/>
  <c r="BS52" i="97"/>
  <c r="BR52" i="97"/>
  <c r="BQ52" i="97"/>
  <c r="CB50" i="97"/>
  <c r="CA50" i="97"/>
  <c r="BZ50" i="97"/>
  <c r="BY50" i="97"/>
  <c r="BX50" i="97"/>
  <c r="BW50" i="97"/>
  <c r="BV50" i="97"/>
  <c r="BU50" i="97"/>
  <c r="BT50" i="97"/>
  <c r="BS50" i="97"/>
  <c r="BR50" i="97"/>
  <c r="BQ50" i="97"/>
  <c r="CB49" i="97"/>
  <c r="CA49" i="97"/>
  <c r="BZ49" i="97"/>
  <c r="BY49" i="97"/>
  <c r="BX49" i="97"/>
  <c r="BW49" i="97"/>
  <c r="BV49" i="97"/>
  <c r="BU49" i="97"/>
  <c r="BT49" i="97"/>
  <c r="BS49" i="97"/>
  <c r="BR49" i="97"/>
  <c r="BQ49" i="97"/>
  <c r="CB47" i="97"/>
  <c r="CA47" i="97"/>
  <c r="BZ47" i="97"/>
  <c r="BY47" i="97"/>
  <c r="BX47" i="97"/>
  <c r="BW47" i="97"/>
  <c r="BV47" i="97"/>
  <c r="BU47" i="97"/>
  <c r="BT47" i="97"/>
  <c r="BS47" i="97"/>
  <c r="BR47" i="97"/>
  <c r="BQ47" i="97"/>
  <c r="CB46" i="97"/>
  <c r="CA46" i="97"/>
  <c r="BZ46" i="97"/>
  <c r="BY46" i="97"/>
  <c r="BX46" i="97"/>
  <c r="BW46" i="97"/>
  <c r="BV46" i="97"/>
  <c r="BU46" i="97"/>
  <c r="BT46" i="97"/>
  <c r="BS46" i="97"/>
  <c r="BR46" i="97"/>
  <c r="BQ46" i="97"/>
  <c r="CB43" i="97"/>
  <c r="CA43" i="97"/>
  <c r="BZ43" i="97"/>
  <c r="BY43" i="97"/>
  <c r="BX43" i="97"/>
  <c r="BW43" i="97"/>
  <c r="BV43" i="97"/>
  <c r="BU43" i="97"/>
  <c r="BT43" i="97"/>
  <c r="BS43" i="97"/>
  <c r="BR43" i="97"/>
  <c r="BQ43" i="97"/>
  <c r="CB42" i="97"/>
  <c r="CA42" i="97"/>
  <c r="BZ42" i="97"/>
  <c r="BY42" i="97"/>
  <c r="BX42" i="97"/>
  <c r="BW42" i="97"/>
  <c r="BV42" i="97"/>
  <c r="BU42" i="97"/>
  <c r="BT42" i="97"/>
  <c r="BS42" i="97"/>
  <c r="BR42" i="97"/>
  <c r="BQ42" i="97"/>
  <c r="CB41" i="97"/>
  <c r="CA41" i="97"/>
  <c r="BZ41" i="97"/>
  <c r="BY41" i="97"/>
  <c r="BX41" i="97"/>
  <c r="BW41" i="97"/>
  <c r="BV41" i="97"/>
  <c r="BU41" i="97"/>
  <c r="BT41" i="97"/>
  <c r="BS41" i="97"/>
  <c r="BR41" i="97"/>
  <c r="BQ41" i="97"/>
  <c r="CB40" i="97"/>
  <c r="CA40" i="97"/>
  <c r="BZ40" i="97"/>
  <c r="BY40" i="97"/>
  <c r="BX40" i="97"/>
  <c r="BW40" i="97"/>
  <c r="BV40" i="97"/>
  <c r="BU40" i="97"/>
  <c r="BT40" i="97"/>
  <c r="BS40" i="97"/>
  <c r="BR40" i="97"/>
  <c r="BQ40" i="97"/>
  <c r="CB39" i="97"/>
  <c r="CA39" i="97"/>
  <c r="BZ39" i="97"/>
  <c r="BY39" i="97"/>
  <c r="BX39" i="97"/>
  <c r="BW39" i="97"/>
  <c r="BV39" i="97"/>
  <c r="BU39" i="97"/>
  <c r="BT39" i="97"/>
  <c r="BS39" i="97"/>
  <c r="BR39" i="97"/>
  <c r="BQ39" i="97"/>
  <c r="CB38" i="97"/>
  <c r="CA38" i="97"/>
  <c r="BZ38" i="97"/>
  <c r="BY38" i="97"/>
  <c r="BX38" i="97"/>
  <c r="BW38" i="97"/>
  <c r="BV38" i="97"/>
  <c r="BU38" i="97"/>
  <c r="BT38" i="97"/>
  <c r="BS38" i="97"/>
  <c r="BR38" i="97"/>
  <c r="BQ38" i="97"/>
  <c r="CB35" i="97"/>
  <c r="CA35" i="97"/>
  <c r="BZ35" i="97"/>
  <c r="BY35" i="97"/>
  <c r="BX35" i="97"/>
  <c r="BW35" i="97"/>
  <c r="BV35" i="97"/>
  <c r="BU35" i="97"/>
  <c r="BT35" i="97"/>
  <c r="BS35" i="97"/>
  <c r="BR35" i="97"/>
  <c r="BQ35" i="97"/>
  <c r="CB34" i="97"/>
  <c r="CA34" i="97"/>
  <c r="BZ34" i="97"/>
  <c r="BY34" i="97"/>
  <c r="BX34" i="97"/>
  <c r="BW34" i="97"/>
  <c r="BV34" i="97"/>
  <c r="BU34" i="97"/>
  <c r="BT34" i="97"/>
  <c r="BS34" i="97"/>
  <c r="BR34" i="97"/>
  <c r="BQ34" i="97"/>
  <c r="CB33" i="97"/>
  <c r="CA33" i="97"/>
  <c r="BZ33" i="97"/>
  <c r="BY33" i="97"/>
  <c r="BX33" i="97"/>
  <c r="BW33" i="97"/>
  <c r="BV33" i="97"/>
  <c r="BU33" i="97"/>
  <c r="BT33" i="97"/>
  <c r="BS33" i="97"/>
  <c r="BR33" i="97"/>
  <c r="BQ33" i="97"/>
  <c r="CB32" i="97"/>
  <c r="CA32" i="97"/>
  <c r="BZ32" i="97"/>
  <c r="BY32" i="97"/>
  <c r="BX32" i="97"/>
  <c r="BW32" i="97"/>
  <c r="BV32" i="97"/>
  <c r="BU32" i="97"/>
  <c r="BT32" i="97"/>
  <c r="BS32" i="97"/>
  <c r="BR32" i="97"/>
  <c r="BQ32" i="97"/>
  <c r="CB31" i="97"/>
  <c r="CA31" i="97"/>
  <c r="BZ31" i="97"/>
  <c r="BY31" i="97"/>
  <c r="BX31" i="97"/>
  <c r="BW31" i="97"/>
  <c r="BV31" i="97"/>
  <c r="BU31" i="97"/>
  <c r="BT31" i="97"/>
  <c r="BS31" i="97"/>
  <c r="BR31" i="97"/>
  <c r="BQ31" i="97"/>
  <c r="CB29" i="97"/>
  <c r="CA29" i="97"/>
  <c r="BZ29" i="97"/>
  <c r="BY29" i="97"/>
  <c r="BX29" i="97"/>
  <c r="BW29" i="97"/>
  <c r="BV29" i="97"/>
  <c r="BU29" i="97"/>
  <c r="BT29" i="97"/>
  <c r="BS29" i="97"/>
  <c r="BR29" i="97"/>
  <c r="BQ29" i="97"/>
  <c r="CB28" i="97"/>
  <c r="CA28" i="97"/>
  <c r="BZ28" i="97"/>
  <c r="BY28" i="97"/>
  <c r="BX28" i="97"/>
  <c r="BW28" i="97"/>
  <c r="BV28" i="97"/>
  <c r="BU28" i="97"/>
  <c r="BT28" i="97"/>
  <c r="BS28" i="97"/>
  <c r="BR28" i="97"/>
  <c r="BQ28" i="97"/>
  <c r="CB27" i="97"/>
  <c r="CA27" i="97"/>
  <c r="BZ27" i="97"/>
  <c r="BY27" i="97"/>
  <c r="BX27" i="97"/>
  <c r="BW27" i="97"/>
  <c r="BV27" i="97"/>
  <c r="BU27" i="97"/>
  <c r="BT27" i="97"/>
  <c r="BS27" i="97"/>
  <c r="BR27" i="97"/>
  <c r="BQ27" i="97"/>
  <c r="CB25" i="97"/>
  <c r="CA25" i="97"/>
  <c r="BZ25" i="97"/>
  <c r="BY25" i="97"/>
  <c r="BX25" i="97"/>
  <c r="BW25" i="97"/>
  <c r="BV25" i="97"/>
  <c r="BU25" i="97"/>
  <c r="BT25" i="97"/>
  <c r="BS25" i="97"/>
  <c r="BR25" i="97"/>
  <c r="BQ25" i="97"/>
  <c r="CB24" i="97"/>
  <c r="CA24" i="97"/>
  <c r="BZ24" i="97"/>
  <c r="BY24" i="97"/>
  <c r="BX24" i="97"/>
  <c r="BW24" i="97"/>
  <c r="BV24" i="97"/>
  <c r="BU24" i="97"/>
  <c r="BT24" i="97"/>
  <c r="BS24" i="97"/>
  <c r="BR24" i="97"/>
  <c r="BQ24" i="97"/>
  <c r="CB22" i="97"/>
  <c r="CA22" i="97"/>
  <c r="BZ22" i="97"/>
  <c r="BY22" i="97"/>
  <c r="BX22" i="97"/>
  <c r="BW22" i="97"/>
  <c r="BV22" i="97"/>
  <c r="BU22" i="97"/>
  <c r="BT22" i="97"/>
  <c r="BS22" i="97"/>
  <c r="BR22" i="97"/>
  <c r="BQ22" i="97"/>
  <c r="CB21" i="97"/>
  <c r="CA21" i="97"/>
  <c r="BZ21" i="97"/>
  <c r="BY21" i="97"/>
  <c r="BX21" i="97"/>
  <c r="BW21" i="97"/>
  <c r="BV21" i="97"/>
  <c r="BU21" i="97"/>
  <c r="BT21" i="97"/>
  <c r="BS21" i="97"/>
  <c r="BR21" i="97"/>
  <c r="BQ21" i="97"/>
  <c r="CB20" i="97"/>
  <c r="CA20" i="97"/>
  <c r="BZ20" i="97"/>
  <c r="BY20" i="97"/>
  <c r="BX20" i="97"/>
  <c r="BW20" i="97"/>
  <c r="BV20" i="97"/>
  <c r="BU20" i="97"/>
  <c r="BT20" i="97"/>
  <c r="BS20" i="97"/>
  <c r="BR20" i="97"/>
  <c r="BQ20" i="97"/>
  <c r="CB19" i="97"/>
  <c r="CA19" i="97"/>
  <c r="BZ19" i="97"/>
  <c r="BY19" i="97"/>
  <c r="BX19" i="97"/>
  <c r="BW19" i="97"/>
  <c r="BV19" i="97"/>
  <c r="BU19" i="97"/>
  <c r="BT19" i="97"/>
  <c r="BS19" i="97"/>
  <c r="BR19" i="97"/>
  <c r="BQ19" i="97"/>
  <c r="CB18" i="97"/>
  <c r="CA18" i="97"/>
  <c r="BZ18" i="97"/>
  <c r="BY18" i="97"/>
  <c r="BX18" i="97"/>
  <c r="BW18" i="97"/>
  <c r="BV18" i="97"/>
  <c r="BU18" i="97"/>
  <c r="BT18" i="97"/>
  <c r="BS18" i="97"/>
  <c r="BR18" i="97"/>
  <c r="BQ18" i="97"/>
  <c r="CB17" i="97"/>
  <c r="CA17" i="97"/>
  <c r="BZ17" i="97"/>
  <c r="BY17" i="97"/>
  <c r="BX17" i="97"/>
  <c r="BW17" i="97"/>
  <c r="BV17" i="97"/>
  <c r="BU17" i="97"/>
  <c r="BT17" i="97"/>
  <c r="BS17" i="97"/>
  <c r="BR17" i="97"/>
  <c r="BQ17" i="97"/>
  <c r="CB16" i="97"/>
  <c r="CA16" i="97"/>
  <c r="BZ16" i="97"/>
  <c r="BY16" i="97"/>
  <c r="BX16" i="97"/>
  <c r="BW16" i="97"/>
  <c r="BV16" i="97"/>
  <c r="BU16" i="97"/>
  <c r="BT16" i="97"/>
  <c r="BS16" i="97"/>
  <c r="BR16" i="97"/>
  <c r="BQ16" i="97"/>
  <c r="CB14" i="97"/>
  <c r="CA14" i="97"/>
  <c r="BZ14" i="97"/>
  <c r="BY14" i="97"/>
  <c r="BX14" i="97"/>
  <c r="BW14" i="97"/>
  <c r="BV14" i="97"/>
  <c r="BU14" i="97"/>
  <c r="BT14" i="97"/>
  <c r="BS14" i="97"/>
  <c r="BR14" i="97"/>
  <c r="BQ14" i="97"/>
  <c r="CB13" i="97"/>
  <c r="CA13" i="97"/>
  <c r="BZ13" i="97"/>
  <c r="BY13" i="97"/>
  <c r="BX13" i="97"/>
  <c r="BW13" i="97"/>
  <c r="BV13" i="97"/>
  <c r="BU13" i="97"/>
  <c r="BT13" i="97"/>
  <c r="BS13" i="97"/>
  <c r="BR13" i="97"/>
  <c r="BQ13" i="97"/>
  <c r="CB12" i="97"/>
  <c r="CA12" i="97"/>
  <c r="BZ12" i="97"/>
  <c r="BY12" i="97"/>
  <c r="BX12" i="97"/>
  <c r="BW12" i="97"/>
  <c r="BV12" i="97"/>
  <c r="BU12" i="97"/>
  <c r="BT12" i="97"/>
  <c r="BS12" i="97"/>
  <c r="BR12" i="97"/>
  <c r="BQ12" i="97"/>
  <c r="CB11" i="97"/>
  <c r="CA11" i="97"/>
  <c r="BZ11" i="97"/>
  <c r="BY11" i="97"/>
  <c r="BX11" i="97"/>
  <c r="BW11" i="97"/>
  <c r="BV11" i="97"/>
  <c r="BU11" i="97"/>
  <c r="BT11" i="97"/>
  <c r="BS11" i="97"/>
  <c r="BR11" i="97"/>
  <c r="BQ11" i="97"/>
  <c r="CB10" i="97"/>
  <c r="CA10" i="97"/>
  <c r="BZ10" i="97"/>
  <c r="BY10" i="97"/>
  <c r="BX10" i="97"/>
  <c r="BW10" i="97"/>
  <c r="BV10" i="97"/>
  <c r="BU10" i="97"/>
  <c r="BT10" i="97"/>
  <c r="BS10" i="97"/>
  <c r="BR10" i="97"/>
  <c r="BQ10" i="97"/>
  <c r="CB9" i="97"/>
  <c r="CA9" i="97"/>
  <c r="BZ9" i="97"/>
  <c r="BY9" i="97"/>
  <c r="BX9" i="97"/>
  <c r="BW9" i="97"/>
  <c r="BV9" i="97"/>
  <c r="BU9" i="97"/>
  <c r="BT9" i="97"/>
  <c r="BS9" i="97"/>
  <c r="BR9" i="97"/>
  <c r="BQ9" i="97"/>
  <c r="CB7" i="97"/>
  <c r="CA7" i="97"/>
  <c r="BZ7" i="97"/>
  <c r="BY7" i="97"/>
  <c r="BX7" i="97"/>
  <c r="BW7" i="97"/>
  <c r="BV7" i="97"/>
  <c r="BU7" i="97"/>
  <c r="BT7" i="97"/>
  <c r="BS7" i="97"/>
  <c r="BR7" i="97"/>
  <c r="BQ7" i="97"/>
  <c r="BS6" i="97"/>
  <c r="BR6" i="97"/>
  <c r="BQ6" i="97"/>
  <c r="BE127" i="97"/>
  <c r="BF127" i="97" s="1"/>
  <c r="BG127" i="97" s="1"/>
  <c r="BB128" i="97"/>
  <c r="BA128" i="97"/>
  <c r="AZ128" i="97"/>
  <c r="AY128" i="97"/>
  <c r="AL128" i="97" s="1"/>
  <c r="AX128" i="97"/>
  <c r="AK128" i="97" s="1"/>
  <c r="AW128" i="97"/>
  <c r="AJ128" i="97" s="1"/>
  <c r="AV128" i="97"/>
  <c r="AI128" i="97" s="1"/>
  <c r="AU128" i="97"/>
  <c r="AT128" i="97"/>
  <c r="AS128" i="97"/>
  <c r="AF128" i="97" s="1"/>
  <c r="AR128" i="97"/>
  <c r="AQ128" i="97"/>
  <c r="BB127" i="97"/>
  <c r="BA127" i="97"/>
  <c r="AZ127" i="97"/>
  <c r="AY127" i="97"/>
  <c r="AX127" i="97"/>
  <c r="AW127" i="97"/>
  <c r="AV127" i="97"/>
  <c r="AU127" i="97"/>
  <c r="AT127" i="97"/>
  <c r="AS127" i="97"/>
  <c r="AR127" i="97"/>
  <c r="AQ127" i="97"/>
  <c r="BB125" i="97"/>
  <c r="AO125" i="97" s="1"/>
  <c r="BA125" i="97"/>
  <c r="AN125" i="97" s="1"/>
  <c r="AZ125" i="97"/>
  <c r="AM125" i="97" s="1"/>
  <c r="AY125" i="97"/>
  <c r="AX125" i="97"/>
  <c r="AW125" i="97"/>
  <c r="AV125" i="97"/>
  <c r="AU125" i="97"/>
  <c r="AT125" i="97"/>
  <c r="AS125" i="97"/>
  <c r="AF125" i="97" s="1"/>
  <c r="AR125" i="97"/>
  <c r="AQ125" i="97"/>
  <c r="BB124" i="97"/>
  <c r="BA124" i="97"/>
  <c r="AZ124" i="97"/>
  <c r="AM124" i="97" s="1"/>
  <c r="AY124" i="97"/>
  <c r="AL124" i="97" s="1"/>
  <c r="AX124" i="97"/>
  <c r="AK124" i="97" s="1"/>
  <c r="AW124" i="97"/>
  <c r="AJ124" i="97" s="1"/>
  <c r="AV124" i="97"/>
  <c r="AI124" i="97" s="1"/>
  <c r="AU124" i="97"/>
  <c r="AT124" i="97"/>
  <c r="AS124" i="97"/>
  <c r="AR124" i="97"/>
  <c r="AQ124" i="97"/>
  <c r="BB123" i="97"/>
  <c r="BA123" i="97"/>
  <c r="AZ123" i="97"/>
  <c r="AY123" i="97"/>
  <c r="AX123" i="97"/>
  <c r="AW123" i="97"/>
  <c r="AV123" i="97"/>
  <c r="AI123" i="97" s="1"/>
  <c r="AU123" i="97"/>
  <c r="AH123" i="97" s="1"/>
  <c r="AT123" i="97"/>
  <c r="AG123" i="97" s="1"/>
  <c r="AS123" i="97"/>
  <c r="AF123" i="97" s="1"/>
  <c r="AR123" i="97"/>
  <c r="AE123" i="97" s="1"/>
  <c r="AQ123" i="97"/>
  <c r="BB122" i="97"/>
  <c r="BA122" i="97"/>
  <c r="AZ122" i="97"/>
  <c r="AY122" i="97"/>
  <c r="AX122" i="97"/>
  <c r="AW122" i="97"/>
  <c r="AV122" i="97"/>
  <c r="AU122" i="97"/>
  <c r="AT122" i="97"/>
  <c r="AS122" i="97"/>
  <c r="AR122" i="97"/>
  <c r="AE122" i="97" s="1"/>
  <c r="AQ122" i="97"/>
  <c r="BB121" i="97"/>
  <c r="AO121" i="97" s="1"/>
  <c r="BA121" i="97"/>
  <c r="AN121" i="97" s="1"/>
  <c r="AZ121" i="97"/>
  <c r="AM121" i="97" s="1"/>
  <c r="AY121" i="97"/>
  <c r="AX121" i="97"/>
  <c r="AW121" i="97"/>
  <c r="AV121" i="97"/>
  <c r="AU121" i="97"/>
  <c r="AT121" i="97"/>
  <c r="AS121" i="97"/>
  <c r="AR121" i="97"/>
  <c r="AQ121" i="97"/>
  <c r="BB120" i="97"/>
  <c r="BA120" i="97"/>
  <c r="AZ120" i="97"/>
  <c r="AM120" i="97" s="1"/>
  <c r="AY120" i="97"/>
  <c r="AL120" i="97" s="1"/>
  <c r="AX120" i="97"/>
  <c r="AK120" i="97" s="1"/>
  <c r="AW120" i="97"/>
  <c r="AJ120" i="97" s="1"/>
  <c r="AV120" i="97"/>
  <c r="AI120" i="97" s="1"/>
  <c r="AU120" i="97"/>
  <c r="AT120" i="97"/>
  <c r="AS120" i="97"/>
  <c r="AR120" i="97"/>
  <c r="AQ120" i="97"/>
  <c r="BB119" i="97"/>
  <c r="BA119" i="97"/>
  <c r="AZ119" i="97"/>
  <c r="AY119" i="97"/>
  <c r="AX119" i="97"/>
  <c r="AW119" i="97"/>
  <c r="AV119" i="97"/>
  <c r="AI119" i="97" s="1"/>
  <c r="AU119" i="97"/>
  <c r="AH119" i="97" s="1"/>
  <c r="AT119" i="97"/>
  <c r="AG119" i="97" s="1"/>
  <c r="AS119" i="97"/>
  <c r="AF119" i="97" s="1"/>
  <c r="AR119" i="97"/>
  <c r="AE119" i="97" s="1"/>
  <c r="AQ119" i="97"/>
  <c r="BB118" i="97"/>
  <c r="BA118" i="97"/>
  <c r="AZ118" i="97"/>
  <c r="AY118" i="97"/>
  <c r="AX118" i="97"/>
  <c r="AW118" i="97"/>
  <c r="AV118" i="97"/>
  <c r="AU118" i="97"/>
  <c r="AT118" i="97"/>
  <c r="AS118" i="97"/>
  <c r="AR118" i="97"/>
  <c r="AE118" i="97" s="1"/>
  <c r="AQ118" i="97"/>
  <c r="BB117" i="97"/>
  <c r="AO117" i="97" s="1"/>
  <c r="BA117" i="97"/>
  <c r="AN117" i="97" s="1"/>
  <c r="AZ117" i="97"/>
  <c r="AM117" i="97" s="1"/>
  <c r="AY117" i="97"/>
  <c r="AX117" i="97"/>
  <c r="AW117" i="97"/>
  <c r="AV117" i="97"/>
  <c r="AU117" i="97"/>
  <c r="AT117" i="97"/>
  <c r="AS117" i="97"/>
  <c r="AR117" i="97"/>
  <c r="AQ117" i="97"/>
  <c r="BB116" i="97"/>
  <c r="BA116" i="97"/>
  <c r="AZ116" i="97"/>
  <c r="AM116" i="97" s="1"/>
  <c r="AY116" i="97"/>
  <c r="AL116" i="97" s="1"/>
  <c r="AX116" i="97"/>
  <c r="AK116" i="97" s="1"/>
  <c r="AW116" i="97"/>
  <c r="AJ116" i="97" s="1"/>
  <c r="AV116" i="97"/>
  <c r="AI116" i="97" s="1"/>
  <c r="AU116" i="97"/>
  <c r="AT116" i="97"/>
  <c r="AS116" i="97"/>
  <c r="AR116" i="97"/>
  <c r="AQ116" i="97"/>
  <c r="BB113" i="97"/>
  <c r="BA113" i="97"/>
  <c r="AZ113" i="97"/>
  <c r="AY113" i="97"/>
  <c r="AX113" i="97"/>
  <c r="AW113" i="97"/>
  <c r="AV113" i="97"/>
  <c r="AI113" i="97" s="1"/>
  <c r="AU113" i="97"/>
  <c r="AH113" i="97" s="1"/>
  <c r="AT113" i="97"/>
  <c r="AG113" i="97" s="1"/>
  <c r="AS113" i="97"/>
  <c r="AF113" i="97" s="1"/>
  <c r="AR113" i="97"/>
  <c r="AE113" i="97" s="1"/>
  <c r="AQ113" i="97"/>
  <c r="BB112" i="97"/>
  <c r="BA112" i="97"/>
  <c r="AZ112" i="97"/>
  <c r="AY112" i="97"/>
  <c r="AX112" i="97"/>
  <c r="AW112" i="97"/>
  <c r="AV112" i="97"/>
  <c r="AU112" i="97"/>
  <c r="AT112" i="97"/>
  <c r="AS112" i="97"/>
  <c r="AR112" i="97"/>
  <c r="AE112" i="97" s="1"/>
  <c r="AQ112" i="97"/>
  <c r="BB111" i="97"/>
  <c r="AO111" i="97" s="1"/>
  <c r="BA111" i="97"/>
  <c r="AN111" i="97" s="1"/>
  <c r="AZ111" i="97"/>
  <c r="AM111" i="97" s="1"/>
  <c r="AY111" i="97"/>
  <c r="AX111" i="97"/>
  <c r="AW111" i="97"/>
  <c r="AV111" i="97"/>
  <c r="AU111" i="97"/>
  <c r="AT111" i="97"/>
  <c r="AS111" i="97"/>
  <c r="AR111" i="97"/>
  <c r="AQ111" i="97"/>
  <c r="BB110" i="97"/>
  <c r="BA110" i="97"/>
  <c r="AZ110" i="97"/>
  <c r="AM110" i="97" s="1"/>
  <c r="AY110" i="97"/>
  <c r="AL110" i="97" s="1"/>
  <c r="AX110" i="97"/>
  <c r="AK110" i="97" s="1"/>
  <c r="AW110" i="97"/>
  <c r="AJ110" i="97" s="1"/>
  <c r="AV110" i="97"/>
  <c r="AI110" i="97" s="1"/>
  <c r="AU110" i="97"/>
  <c r="AT110" i="97"/>
  <c r="AS110" i="97"/>
  <c r="AR110" i="97"/>
  <c r="AQ110" i="97"/>
  <c r="BB109" i="97"/>
  <c r="BA109" i="97"/>
  <c r="AZ109" i="97"/>
  <c r="AY109" i="97"/>
  <c r="AX109" i="97"/>
  <c r="AW109" i="97"/>
  <c r="AV109" i="97"/>
  <c r="AI109" i="97" s="1"/>
  <c r="AU109" i="97"/>
  <c r="AH109" i="97" s="1"/>
  <c r="AT109" i="97"/>
  <c r="AG109" i="97" s="1"/>
  <c r="AS109" i="97"/>
  <c r="AF109" i="97" s="1"/>
  <c r="AR109" i="97"/>
  <c r="AE109" i="97" s="1"/>
  <c r="AQ109" i="97"/>
  <c r="BB108" i="97"/>
  <c r="BA108" i="97"/>
  <c r="AZ108" i="97"/>
  <c r="AY108" i="97"/>
  <c r="AX108" i="97"/>
  <c r="AW108" i="97"/>
  <c r="AV108" i="97"/>
  <c r="AU108" i="97"/>
  <c r="AT108" i="97"/>
  <c r="AS108" i="97"/>
  <c r="AR108" i="97"/>
  <c r="AE108" i="97" s="1"/>
  <c r="AQ108" i="97"/>
  <c r="BB107" i="97"/>
  <c r="AO107" i="97" s="1"/>
  <c r="BA107" i="97"/>
  <c r="AN107" i="97" s="1"/>
  <c r="AZ107" i="97"/>
  <c r="AM107" i="97" s="1"/>
  <c r="AY107" i="97"/>
  <c r="AX107" i="97"/>
  <c r="AW107" i="97"/>
  <c r="AV107" i="97"/>
  <c r="AU107" i="97"/>
  <c r="AT107" i="97"/>
  <c r="AS107" i="97"/>
  <c r="AR107" i="97"/>
  <c r="AQ107" i="97"/>
  <c r="BB106" i="97"/>
  <c r="BA106" i="97"/>
  <c r="AZ106" i="97"/>
  <c r="AM106" i="97" s="1"/>
  <c r="AY106" i="97"/>
  <c r="AL106" i="97" s="1"/>
  <c r="AX106" i="97"/>
  <c r="AK106" i="97" s="1"/>
  <c r="AW106" i="97"/>
  <c r="AJ106" i="97" s="1"/>
  <c r="AV106" i="97"/>
  <c r="AI106" i="97" s="1"/>
  <c r="AU106" i="97"/>
  <c r="AT106" i="97"/>
  <c r="AS106" i="97"/>
  <c r="AR106" i="97"/>
  <c r="AQ106" i="97"/>
  <c r="BB105" i="97"/>
  <c r="BA105" i="97"/>
  <c r="AZ105" i="97"/>
  <c r="AY105" i="97"/>
  <c r="AX105" i="97"/>
  <c r="AW105" i="97"/>
  <c r="AV105" i="97"/>
  <c r="AI105" i="97" s="1"/>
  <c r="AU105" i="97"/>
  <c r="AH105" i="97" s="1"/>
  <c r="AT105" i="97"/>
  <c r="AG105" i="97" s="1"/>
  <c r="AS105" i="97"/>
  <c r="AF105" i="97" s="1"/>
  <c r="AR105" i="97"/>
  <c r="AE105" i="97" s="1"/>
  <c r="AQ105" i="97"/>
  <c r="BB104" i="97"/>
  <c r="BA104" i="97"/>
  <c r="AZ104" i="97"/>
  <c r="AY104" i="97"/>
  <c r="AX104" i="97"/>
  <c r="AW104" i="97"/>
  <c r="AV104" i="97"/>
  <c r="AU104" i="97"/>
  <c r="AT104" i="97"/>
  <c r="AS104" i="97"/>
  <c r="AR104" i="97"/>
  <c r="AE104" i="97" s="1"/>
  <c r="AQ104" i="97"/>
  <c r="BB103" i="97"/>
  <c r="AO103" i="97" s="1"/>
  <c r="BA103" i="97"/>
  <c r="AN103" i="97" s="1"/>
  <c r="AZ103" i="97"/>
  <c r="AM103" i="97" s="1"/>
  <c r="AY103" i="97"/>
  <c r="AX103" i="97"/>
  <c r="AW103" i="97"/>
  <c r="AV103" i="97"/>
  <c r="AU103" i="97"/>
  <c r="AT103" i="97"/>
  <c r="AS103" i="97"/>
  <c r="AR103" i="97"/>
  <c r="AQ103" i="97"/>
  <c r="BB102" i="97"/>
  <c r="BA102" i="97"/>
  <c r="AZ102" i="97"/>
  <c r="AM102" i="97" s="1"/>
  <c r="AY102" i="97"/>
  <c r="AL102" i="97" s="1"/>
  <c r="AX102" i="97"/>
  <c r="AK102" i="97" s="1"/>
  <c r="AW102" i="97"/>
  <c r="AJ102" i="97" s="1"/>
  <c r="AV102" i="97"/>
  <c r="AI102" i="97" s="1"/>
  <c r="AU102" i="97"/>
  <c r="AT102" i="97"/>
  <c r="AS102" i="97"/>
  <c r="AR102" i="97"/>
  <c r="AQ102" i="97"/>
  <c r="BB101" i="97"/>
  <c r="BA101" i="97"/>
  <c r="AZ101" i="97"/>
  <c r="AY101" i="97"/>
  <c r="AX101" i="97"/>
  <c r="AW101" i="97"/>
  <c r="AV101" i="97"/>
  <c r="AI101" i="97" s="1"/>
  <c r="AU101" i="97"/>
  <c r="AH101" i="97" s="1"/>
  <c r="AT101" i="97"/>
  <c r="AG101" i="97" s="1"/>
  <c r="AS101" i="97"/>
  <c r="AF101" i="97" s="1"/>
  <c r="AR101" i="97"/>
  <c r="AE101" i="97" s="1"/>
  <c r="AQ101" i="97"/>
  <c r="BB100" i="97"/>
  <c r="BA100" i="97"/>
  <c r="AZ100" i="97"/>
  <c r="AY100" i="97"/>
  <c r="AX100" i="97"/>
  <c r="AW100" i="97"/>
  <c r="AV100" i="97"/>
  <c r="AU100" i="97"/>
  <c r="AT100" i="97"/>
  <c r="AS100" i="97"/>
  <c r="AR100" i="97"/>
  <c r="AE100" i="97" s="1"/>
  <c r="AQ100" i="97"/>
  <c r="BB98" i="97"/>
  <c r="AO98" i="97" s="1"/>
  <c r="BA98" i="97"/>
  <c r="AN98" i="97" s="1"/>
  <c r="AZ98" i="97"/>
  <c r="AM98" i="97" s="1"/>
  <c r="AY98" i="97"/>
  <c r="AX98" i="97"/>
  <c r="AW98" i="97"/>
  <c r="AV98" i="97"/>
  <c r="AU98" i="97"/>
  <c r="AT98" i="97"/>
  <c r="AS98" i="97"/>
  <c r="AR98" i="97"/>
  <c r="AQ98" i="97"/>
  <c r="BB97" i="97"/>
  <c r="BA97" i="97"/>
  <c r="AZ97" i="97"/>
  <c r="AM97" i="97" s="1"/>
  <c r="AY97" i="97"/>
  <c r="AL97" i="97" s="1"/>
  <c r="AX97" i="97"/>
  <c r="AK97" i="97" s="1"/>
  <c r="AW97" i="97"/>
  <c r="AJ97" i="97" s="1"/>
  <c r="AV97" i="97"/>
  <c r="AI97" i="97" s="1"/>
  <c r="AU97" i="97"/>
  <c r="AT97" i="97"/>
  <c r="AS97" i="97"/>
  <c r="AR97" i="97"/>
  <c r="AQ97" i="97"/>
  <c r="BB96" i="97"/>
  <c r="BA96" i="97"/>
  <c r="AZ96" i="97"/>
  <c r="AY96" i="97"/>
  <c r="AX96" i="97"/>
  <c r="AW96" i="97"/>
  <c r="AV96" i="97"/>
  <c r="AI96" i="97" s="1"/>
  <c r="AU96" i="97"/>
  <c r="AH96" i="97" s="1"/>
  <c r="AT96" i="97"/>
  <c r="AG96" i="97" s="1"/>
  <c r="AS96" i="97"/>
  <c r="AF96" i="97" s="1"/>
  <c r="AR96" i="97"/>
  <c r="AE96" i="97" s="1"/>
  <c r="AQ96" i="97"/>
  <c r="BB95" i="97"/>
  <c r="BA95" i="97"/>
  <c r="AZ95" i="97"/>
  <c r="AY95" i="97"/>
  <c r="AX95" i="97"/>
  <c r="AW95" i="97"/>
  <c r="AV95" i="97"/>
  <c r="AU95" i="97"/>
  <c r="AT95" i="97"/>
  <c r="AS95" i="97"/>
  <c r="AR95" i="97"/>
  <c r="AE95" i="97" s="1"/>
  <c r="AQ95" i="97"/>
  <c r="BB94" i="97"/>
  <c r="AO94" i="97" s="1"/>
  <c r="BA94" i="97"/>
  <c r="AN94" i="97" s="1"/>
  <c r="AZ94" i="97"/>
  <c r="AM94" i="97" s="1"/>
  <c r="AY94" i="97"/>
  <c r="AX94" i="97"/>
  <c r="AW94" i="97"/>
  <c r="AV94" i="97"/>
  <c r="AU94" i="97"/>
  <c r="AT94" i="97"/>
  <c r="AS94" i="97"/>
  <c r="AR94" i="97"/>
  <c r="AQ94" i="97"/>
  <c r="BB93" i="97"/>
  <c r="BA93" i="97"/>
  <c r="AZ93" i="97"/>
  <c r="AM93" i="97" s="1"/>
  <c r="AY93" i="97"/>
  <c r="AL93" i="97" s="1"/>
  <c r="AX93" i="97"/>
  <c r="AK93" i="97" s="1"/>
  <c r="AW93" i="97"/>
  <c r="AJ93" i="97" s="1"/>
  <c r="AV93" i="97"/>
  <c r="AI93" i="97" s="1"/>
  <c r="AU93" i="97"/>
  <c r="AT93" i="97"/>
  <c r="AS93" i="97"/>
  <c r="AR93" i="97"/>
  <c r="AQ93" i="97"/>
  <c r="BB92" i="97"/>
  <c r="BA92" i="97"/>
  <c r="AZ92" i="97"/>
  <c r="AY92" i="97"/>
  <c r="AX92" i="97"/>
  <c r="AW92" i="97"/>
  <c r="AV92" i="97"/>
  <c r="AI92" i="97" s="1"/>
  <c r="AU92" i="97"/>
  <c r="AH92" i="97" s="1"/>
  <c r="AT92" i="97"/>
  <c r="AG92" i="97" s="1"/>
  <c r="AS92" i="97"/>
  <c r="AF92" i="97" s="1"/>
  <c r="AR92" i="97"/>
  <c r="AE92" i="97" s="1"/>
  <c r="AQ92" i="97"/>
  <c r="BB91" i="97"/>
  <c r="BA91" i="97"/>
  <c r="AZ91" i="97"/>
  <c r="AY91" i="97"/>
  <c r="AX91" i="97"/>
  <c r="AW91" i="97"/>
  <c r="AV91" i="97"/>
  <c r="AU91" i="97"/>
  <c r="AT91" i="97"/>
  <c r="AS91" i="97"/>
  <c r="AR91" i="97"/>
  <c r="AE91" i="97" s="1"/>
  <c r="AQ91" i="97"/>
  <c r="BB90" i="97"/>
  <c r="AO90" i="97" s="1"/>
  <c r="BA90" i="97"/>
  <c r="AN90" i="97" s="1"/>
  <c r="AZ90" i="97"/>
  <c r="AM90" i="97" s="1"/>
  <c r="AY90" i="97"/>
  <c r="AX90" i="97"/>
  <c r="AW90" i="97"/>
  <c r="AV90" i="97"/>
  <c r="AU90" i="97"/>
  <c r="AT90" i="97"/>
  <c r="AS90" i="97"/>
  <c r="AR90" i="97"/>
  <c r="AQ90" i="97"/>
  <c r="BB89" i="97"/>
  <c r="BA89" i="97"/>
  <c r="AZ89" i="97"/>
  <c r="AM89" i="97" s="1"/>
  <c r="AY89" i="97"/>
  <c r="AL89" i="97" s="1"/>
  <c r="AX89" i="97"/>
  <c r="AK89" i="97" s="1"/>
  <c r="AW89" i="97"/>
  <c r="AJ89" i="97" s="1"/>
  <c r="AV89" i="97"/>
  <c r="AI89" i="97" s="1"/>
  <c r="AU89" i="97"/>
  <c r="AT89" i="97"/>
  <c r="AS89" i="97"/>
  <c r="AR89" i="97"/>
  <c r="AQ89" i="97"/>
  <c r="BB88" i="97"/>
  <c r="BA88" i="97"/>
  <c r="AZ88" i="97"/>
  <c r="AY88" i="97"/>
  <c r="AX88" i="97"/>
  <c r="AW88" i="97"/>
  <c r="AV88" i="97"/>
  <c r="AI88" i="97" s="1"/>
  <c r="AU88" i="97"/>
  <c r="AH88" i="97" s="1"/>
  <c r="AT88" i="97"/>
  <c r="AG88" i="97" s="1"/>
  <c r="AS88" i="97"/>
  <c r="AF88" i="97" s="1"/>
  <c r="AR88" i="97"/>
  <c r="AE88" i="97" s="1"/>
  <c r="AQ88" i="97"/>
  <c r="BB87" i="97"/>
  <c r="BA87" i="97"/>
  <c r="AZ87" i="97"/>
  <c r="AY87" i="97"/>
  <c r="AX87" i="97"/>
  <c r="AW87" i="97"/>
  <c r="AV87" i="97"/>
  <c r="AU87" i="97"/>
  <c r="AT87" i="97"/>
  <c r="AS87" i="97"/>
  <c r="AR87" i="97"/>
  <c r="AE87" i="97" s="1"/>
  <c r="AQ87" i="97"/>
  <c r="BB86" i="97"/>
  <c r="AO86" i="97" s="1"/>
  <c r="BA86" i="97"/>
  <c r="AN86" i="97" s="1"/>
  <c r="AZ86" i="97"/>
  <c r="AM86" i="97" s="1"/>
  <c r="AY86" i="97"/>
  <c r="AX86" i="97"/>
  <c r="AW86" i="97"/>
  <c r="AV86" i="97"/>
  <c r="AU86" i="97"/>
  <c r="AT86" i="97"/>
  <c r="AS86" i="97"/>
  <c r="AR86" i="97"/>
  <c r="AQ86" i="97"/>
  <c r="BB85" i="97"/>
  <c r="BA85" i="97"/>
  <c r="AZ85" i="97"/>
  <c r="AM85" i="97" s="1"/>
  <c r="AY85" i="97"/>
  <c r="AL85" i="97" s="1"/>
  <c r="AX85" i="97"/>
  <c r="AK85" i="97" s="1"/>
  <c r="AW85" i="97"/>
  <c r="AJ85" i="97" s="1"/>
  <c r="AV85" i="97"/>
  <c r="AI85" i="97" s="1"/>
  <c r="AU85" i="97"/>
  <c r="AT85" i="97"/>
  <c r="AS85" i="97"/>
  <c r="AR85" i="97"/>
  <c r="AQ85" i="97"/>
  <c r="BB84" i="97"/>
  <c r="BA84" i="97"/>
  <c r="AZ84" i="97"/>
  <c r="AY84" i="97"/>
  <c r="AX84" i="97"/>
  <c r="AW84" i="97"/>
  <c r="AV84" i="97"/>
  <c r="AI84" i="97" s="1"/>
  <c r="AU84" i="97"/>
  <c r="AH84" i="97" s="1"/>
  <c r="AT84" i="97"/>
  <c r="AG84" i="97" s="1"/>
  <c r="AS84" i="97"/>
  <c r="AF84" i="97" s="1"/>
  <c r="AR84" i="97"/>
  <c r="AE84" i="97" s="1"/>
  <c r="AQ84" i="97"/>
  <c r="BB80" i="97"/>
  <c r="BA80" i="97"/>
  <c r="AZ80" i="97"/>
  <c r="AY80" i="97"/>
  <c r="AX80" i="97"/>
  <c r="AW80" i="97"/>
  <c r="AV80" i="97"/>
  <c r="AU80" i="97"/>
  <c r="AT80" i="97"/>
  <c r="AS80" i="97"/>
  <c r="AR80" i="97"/>
  <c r="AE80" i="97" s="1"/>
  <c r="AQ80" i="97"/>
  <c r="BB79" i="97"/>
  <c r="AO79" i="97" s="1"/>
  <c r="BA79" i="97"/>
  <c r="AN79" i="97" s="1"/>
  <c r="AZ79" i="97"/>
  <c r="AM79" i="97" s="1"/>
  <c r="AY79" i="97"/>
  <c r="AX79" i="97"/>
  <c r="AW79" i="97"/>
  <c r="AV79" i="97"/>
  <c r="AU79" i="97"/>
  <c r="AT79" i="97"/>
  <c r="AS79" i="97"/>
  <c r="AR79" i="97"/>
  <c r="AQ79" i="97"/>
  <c r="BB78" i="97"/>
  <c r="BA78" i="97"/>
  <c r="AZ78" i="97"/>
  <c r="AM78" i="97" s="1"/>
  <c r="AY78" i="97"/>
  <c r="AL78" i="97" s="1"/>
  <c r="AX78" i="97"/>
  <c r="AK78" i="97" s="1"/>
  <c r="AW78" i="97"/>
  <c r="AJ78" i="97" s="1"/>
  <c r="AV78" i="97"/>
  <c r="AI78" i="97" s="1"/>
  <c r="AU78" i="97"/>
  <c r="AT78" i="97"/>
  <c r="AS78" i="97"/>
  <c r="AR78" i="97"/>
  <c r="AQ78" i="97"/>
  <c r="BB77" i="97"/>
  <c r="BA77" i="97"/>
  <c r="AZ77" i="97"/>
  <c r="AY77" i="97"/>
  <c r="AX77" i="97"/>
  <c r="AW77" i="97"/>
  <c r="AV77" i="97"/>
  <c r="AI77" i="97" s="1"/>
  <c r="AU77" i="97"/>
  <c r="AH77" i="97" s="1"/>
  <c r="AT77" i="97"/>
  <c r="AG77" i="97" s="1"/>
  <c r="AS77" i="97"/>
  <c r="AF77" i="97" s="1"/>
  <c r="AR77" i="97"/>
  <c r="AE77" i="97" s="1"/>
  <c r="AQ77" i="97"/>
  <c r="BB75" i="97"/>
  <c r="BA75" i="97"/>
  <c r="AZ75" i="97"/>
  <c r="AY75" i="97"/>
  <c r="AX75" i="97"/>
  <c r="AW75" i="97"/>
  <c r="AV75" i="97"/>
  <c r="AU75" i="97"/>
  <c r="AT75" i="97"/>
  <c r="AS75" i="97"/>
  <c r="AR75" i="97"/>
  <c r="AE75" i="97" s="1"/>
  <c r="AQ75" i="97"/>
  <c r="BB74" i="97"/>
  <c r="AO74" i="97" s="1"/>
  <c r="BA74" i="97"/>
  <c r="AN74" i="97" s="1"/>
  <c r="AZ74" i="97"/>
  <c r="AM74" i="97" s="1"/>
  <c r="AY74" i="97"/>
  <c r="AX74" i="97"/>
  <c r="AW74" i="97"/>
  <c r="AV74" i="97"/>
  <c r="AU74" i="97"/>
  <c r="AT74" i="97"/>
  <c r="AS74" i="97"/>
  <c r="AR74" i="97"/>
  <c r="AQ74" i="97"/>
  <c r="BB73" i="97"/>
  <c r="BA73" i="97"/>
  <c r="AZ73" i="97"/>
  <c r="AM73" i="97" s="1"/>
  <c r="AY73" i="97"/>
  <c r="AL73" i="97" s="1"/>
  <c r="AX73" i="97"/>
  <c r="AK73" i="97" s="1"/>
  <c r="AW73" i="97"/>
  <c r="AJ73" i="97" s="1"/>
  <c r="AV73" i="97"/>
  <c r="AI73" i="97" s="1"/>
  <c r="AU73" i="97"/>
  <c r="AT73" i="97"/>
  <c r="AS73" i="97"/>
  <c r="AR73" i="97"/>
  <c r="AQ73" i="97"/>
  <c r="BB72" i="97"/>
  <c r="BA72" i="97"/>
  <c r="AZ72" i="97"/>
  <c r="AY72" i="97"/>
  <c r="AX72" i="97"/>
  <c r="AW72" i="97"/>
  <c r="AV72" i="97"/>
  <c r="AI72" i="97" s="1"/>
  <c r="AU72" i="97"/>
  <c r="AH72" i="97" s="1"/>
  <c r="AT72" i="97"/>
  <c r="AG72" i="97" s="1"/>
  <c r="AS72" i="97"/>
  <c r="AF72" i="97" s="1"/>
  <c r="AR72" i="97"/>
  <c r="AE72" i="97" s="1"/>
  <c r="AQ72" i="97"/>
  <c r="BB71" i="97"/>
  <c r="BA71" i="97"/>
  <c r="AZ71" i="97"/>
  <c r="AY71" i="97"/>
  <c r="AX71" i="97"/>
  <c r="AW71" i="97"/>
  <c r="AV71" i="97"/>
  <c r="AU71" i="97"/>
  <c r="AT71" i="97"/>
  <c r="AS71" i="97"/>
  <c r="AR71" i="97"/>
  <c r="AE71" i="97" s="1"/>
  <c r="AQ71" i="97"/>
  <c r="BB70" i="97"/>
  <c r="AO70" i="97" s="1"/>
  <c r="BA70" i="97"/>
  <c r="AN70" i="97" s="1"/>
  <c r="AZ70" i="97"/>
  <c r="AM70" i="97" s="1"/>
  <c r="AY70" i="97"/>
  <c r="AX70" i="97"/>
  <c r="AW70" i="97"/>
  <c r="AV70" i="97"/>
  <c r="AU70" i="97"/>
  <c r="AT70" i="97"/>
  <c r="AS70" i="97"/>
  <c r="AR70" i="97"/>
  <c r="AQ70" i="97"/>
  <c r="BB68" i="97"/>
  <c r="BA68" i="97"/>
  <c r="AZ68" i="97"/>
  <c r="AM68" i="97" s="1"/>
  <c r="AY68" i="97"/>
  <c r="AL68" i="97" s="1"/>
  <c r="AX68" i="97"/>
  <c r="AK68" i="97" s="1"/>
  <c r="AW68" i="97"/>
  <c r="AJ68" i="97" s="1"/>
  <c r="AV68" i="97"/>
  <c r="AI68" i="97" s="1"/>
  <c r="AU68" i="97"/>
  <c r="AT68" i="97"/>
  <c r="AS68" i="97"/>
  <c r="AR68" i="97"/>
  <c r="AQ68" i="97"/>
  <c r="BB67" i="97"/>
  <c r="BA67" i="97"/>
  <c r="AZ67" i="97"/>
  <c r="AY67" i="97"/>
  <c r="AX67" i="97"/>
  <c r="AW67" i="97"/>
  <c r="AV67" i="97"/>
  <c r="AI67" i="97" s="1"/>
  <c r="AU67" i="97"/>
  <c r="AH67" i="97" s="1"/>
  <c r="AT67" i="97"/>
  <c r="AG67" i="97" s="1"/>
  <c r="AS67" i="97"/>
  <c r="AF67" i="97" s="1"/>
  <c r="AR67" i="97"/>
  <c r="AE67" i="97" s="1"/>
  <c r="AQ67" i="97"/>
  <c r="BB65" i="97"/>
  <c r="BA65" i="97"/>
  <c r="AZ65" i="97"/>
  <c r="AY65" i="97"/>
  <c r="AX65" i="97"/>
  <c r="AW65" i="97"/>
  <c r="AV65" i="97"/>
  <c r="AU65" i="97"/>
  <c r="AT65" i="97"/>
  <c r="AS65" i="97"/>
  <c r="AR65" i="97"/>
  <c r="AE65" i="97" s="1"/>
  <c r="AQ65" i="97"/>
  <c r="BB64" i="97"/>
  <c r="AO64" i="97" s="1"/>
  <c r="BA64" i="97"/>
  <c r="AN64" i="97" s="1"/>
  <c r="AZ64" i="97"/>
  <c r="AM64" i="97" s="1"/>
  <c r="AY64" i="97"/>
  <c r="AX64" i="97"/>
  <c r="AW64" i="97"/>
  <c r="AV64" i="97"/>
  <c r="AU64" i="97"/>
  <c r="AT64" i="97"/>
  <c r="AS64" i="97"/>
  <c r="AR64" i="97"/>
  <c r="AQ64" i="97"/>
  <c r="BB62" i="97"/>
  <c r="BA62" i="97"/>
  <c r="AZ62" i="97"/>
  <c r="AM62" i="97" s="1"/>
  <c r="AY62" i="97"/>
  <c r="AL62" i="97" s="1"/>
  <c r="AX62" i="97"/>
  <c r="AK62" i="97" s="1"/>
  <c r="AW62" i="97"/>
  <c r="AJ62" i="97" s="1"/>
  <c r="AV62" i="97"/>
  <c r="AI62" i="97" s="1"/>
  <c r="AU62" i="97"/>
  <c r="AT62" i="97"/>
  <c r="AS62" i="97"/>
  <c r="AF62" i="97" s="1"/>
  <c r="AR62" i="97"/>
  <c r="AQ62" i="97"/>
  <c r="BB61" i="97"/>
  <c r="BA61" i="97"/>
  <c r="AZ61" i="97"/>
  <c r="AY61" i="97"/>
  <c r="AX61" i="97"/>
  <c r="AW61" i="97"/>
  <c r="AV61" i="97"/>
  <c r="AI61" i="97" s="1"/>
  <c r="AU61" i="97"/>
  <c r="AH61" i="97" s="1"/>
  <c r="AT61" i="97"/>
  <c r="AG61" i="97" s="1"/>
  <c r="AS61" i="97"/>
  <c r="AF61" i="97" s="1"/>
  <c r="AR61" i="97"/>
  <c r="AE61" i="97" s="1"/>
  <c r="AQ61" i="97"/>
  <c r="BB60" i="97"/>
  <c r="BA60" i="97"/>
  <c r="AN60" i="97" s="1"/>
  <c r="AZ60" i="97"/>
  <c r="AY60" i="97"/>
  <c r="AX60" i="97"/>
  <c r="AW60" i="97"/>
  <c r="AV60" i="97"/>
  <c r="AU60" i="97"/>
  <c r="AT60" i="97"/>
  <c r="AS60" i="97"/>
  <c r="AR60" i="97"/>
  <c r="AE60" i="97" s="1"/>
  <c r="AQ60" i="97"/>
  <c r="BB59" i="97"/>
  <c r="AO59" i="97" s="1"/>
  <c r="BA59" i="97"/>
  <c r="AN59" i="97" s="1"/>
  <c r="AZ59" i="97"/>
  <c r="AM59" i="97" s="1"/>
  <c r="AY59" i="97"/>
  <c r="AX59" i="97"/>
  <c r="AW59" i="97"/>
  <c r="AJ59" i="97" s="1"/>
  <c r="AV59" i="97"/>
  <c r="AU59" i="97"/>
  <c r="AT59" i="97"/>
  <c r="AS59" i="97"/>
  <c r="AR59" i="97"/>
  <c r="AQ59" i="97"/>
  <c r="BB58" i="97"/>
  <c r="BA58" i="97"/>
  <c r="AZ58" i="97"/>
  <c r="AM58" i="97" s="1"/>
  <c r="AY58" i="97"/>
  <c r="AL58" i="97" s="1"/>
  <c r="AX58" i="97"/>
  <c r="AK58" i="97" s="1"/>
  <c r="AW58" i="97"/>
  <c r="AJ58" i="97" s="1"/>
  <c r="AV58" i="97"/>
  <c r="AI58" i="97" s="1"/>
  <c r="AU58" i="97"/>
  <c r="AT58" i="97"/>
  <c r="AS58" i="97"/>
  <c r="AF58" i="97" s="1"/>
  <c r="AR58" i="97"/>
  <c r="AQ58" i="97"/>
  <c r="BB56" i="97"/>
  <c r="BA56" i="97"/>
  <c r="AZ56" i="97"/>
  <c r="AY56" i="97"/>
  <c r="AX56" i="97"/>
  <c r="AW56" i="97"/>
  <c r="AV56" i="97"/>
  <c r="AI56" i="97" s="1"/>
  <c r="AU56" i="97"/>
  <c r="AH56" i="97" s="1"/>
  <c r="AT56" i="97"/>
  <c r="AG56" i="97" s="1"/>
  <c r="AS56" i="97"/>
  <c r="AF56" i="97" s="1"/>
  <c r="AR56" i="97"/>
  <c r="AE56" i="97" s="1"/>
  <c r="AQ56" i="97"/>
  <c r="BB53" i="97"/>
  <c r="BA53" i="97"/>
  <c r="AN53" i="97" s="1"/>
  <c r="AZ53" i="97"/>
  <c r="AY53" i="97"/>
  <c r="AX53" i="97"/>
  <c r="AW53" i="97"/>
  <c r="AV53" i="97"/>
  <c r="AU53" i="97"/>
  <c r="AT53" i="97"/>
  <c r="AS53" i="97"/>
  <c r="AR53" i="97"/>
  <c r="AE53" i="97" s="1"/>
  <c r="AQ53" i="97"/>
  <c r="BB52" i="97"/>
  <c r="AO52" i="97" s="1"/>
  <c r="BA52" i="97"/>
  <c r="AN52" i="97" s="1"/>
  <c r="AZ52" i="97"/>
  <c r="AM52" i="97" s="1"/>
  <c r="AY52" i="97"/>
  <c r="AX52" i="97"/>
  <c r="AW52" i="97"/>
  <c r="AJ52" i="97" s="1"/>
  <c r="AV52" i="97"/>
  <c r="AU52" i="97"/>
  <c r="AT52" i="97"/>
  <c r="AS52" i="97"/>
  <c r="AR52" i="97"/>
  <c r="AQ52" i="97"/>
  <c r="BB50" i="97"/>
  <c r="BA50" i="97"/>
  <c r="AZ50" i="97"/>
  <c r="AM50" i="97" s="1"/>
  <c r="AY50" i="97"/>
  <c r="AL50" i="97" s="1"/>
  <c r="AX50" i="97"/>
  <c r="AK50" i="97" s="1"/>
  <c r="AW50" i="97"/>
  <c r="AJ50" i="97" s="1"/>
  <c r="AV50" i="97"/>
  <c r="AI50" i="97" s="1"/>
  <c r="AU50" i="97"/>
  <c r="AT50" i="97"/>
  <c r="AS50" i="97"/>
  <c r="AF50" i="97" s="1"/>
  <c r="AR50" i="97"/>
  <c r="AQ50" i="97"/>
  <c r="BB49" i="97"/>
  <c r="BA49" i="97"/>
  <c r="AZ49" i="97"/>
  <c r="AY49" i="97"/>
  <c r="AX49" i="97"/>
  <c r="AW49" i="97"/>
  <c r="AV49" i="97"/>
  <c r="AI49" i="97" s="1"/>
  <c r="AU49" i="97"/>
  <c r="AH49" i="97" s="1"/>
  <c r="AT49" i="97"/>
  <c r="AG49" i="97" s="1"/>
  <c r="AS49" i="97"/>
  <c r="AF49" i="97" s="1"/>
  <c r="AF48" i="97" s="1"/>
  <c r="AR49" i="97"/>
  <c r="AE49" i="97" s="1"/>
  <c r="AQ49" i="97"/>
  <c r="BB47" i="97"/>
  <c r="BA47" i="97"/>
  <c r="AN47" i="97" s="1"/>
  <c r="AZ47" i="97"/>
  <c r="AY47" i="97"/>
  <c r="AX47" i="97"/>
  <c r="AW47" i="97"/>
  <c r="AV47" i="97"/>
  <c r="AU47" i="97"/>
  <c r="AT47" i="97"/>
  <c r="AS47" i="97"/>
  <c r="AR47" i="97"/>
  <c r="AE47" i="97" s="1"/>
  <c r="AQ47" i="97"/>
  <c r="BB46" i="97"/>
  <c r="AO46" i="97" s="1"/>
  <c r="BA46" i="97"/>
  <c r="AN46" i="97" s="1"/>
  <c r="AZ46" i="97"/>
  <c r="AM46" i="97" s="1"/>
  <c r="AY46" i="97"/>
  <c r="AX46" i="97"/>
  <c r="AW46" i="97"/>
  <c r="AJ46" i="97" s="1"/>
  <c r="AV46" i="97"/>
  <c r="AU46" i="97"/>
  <c r="AT46" i="97"/>
  <c r="AS46" i="97"/>
  <c r="AR46" i="97"/>
  <c r="AQ46" i="97"/>
  <c r="BB43" i="97"/>
  <c r="BA43" i="97"/>
  <c r="AZ43" i="97"/>
  <c r="AM43" i="97" s="1"/>
  <c r="AY43" i="97"/>
  <c r="AL43" i="97" s="1"/>
  <c r="AX43" i="97"/>
  <c r="AK43" i="97" s="1"/>
  <c r="AW43" i="97"/>
  <c r="AJ43" i="97" s="1"/>
  <c r="AV43" i="97"/>
  <c r="AI43" i="97" s="1"/>
  <c r="AU43" i="97"/>
  <c r="AT43" i="97"/>
  <c r="AS43" i="97"/>
  <c r="AF43" i="97" s="1"/>
  <c r="AR43" i="97"/>
  <c r="AQ43" i="97"/>
  <c r="BB42" i="97"/>
  <c r="BA42" i="97"/>
  <c r="AZ42" i="97"/>
  <c r="AY42" i="97"/>
  <c r="AX42" i="97"/>
  <c r="AW42" i="97"/>
  <c r="AV42" i="97"/>
  <c r="AI42" i="97" s="1"/>
  <c r="AU42" i="97"/>
  <c r="AH42" i="97" s="1"/>
  <c r="AT42" i="97"/>
  <c r="AG42" i="97" s="1"/>
  <c r="AS42" i="97"/>
  <c r="AF42" i="97" s="1"/>
  <c r="AR42" i="97"/>
  <c r="AE42" i="97" s="1"/>
  <c r="AQ42" i="97"/>
  <c r="BB41" i="97"/>
  <c r="BA41" i="97"/>
  <c r="AN41" i="97" s="1"/>
  <c r="AZ41" i="97"/>
  <c r="AY41" i="97"/>
  <c r="AX41" i="97"/>
  <c r="AW41" i="97"/>
  <c r="AV41" i="97"/>
  <c r="AU41" i="97"/>
  <c r="AT41" i="97"/>
  <c r="AS41" i="97"/>
  <c r="AR41" i="97"/>
  <c r="AE41" i="97" s="1"/>
  <c r="AQ41" i="97"/>
  <c r="BB40" i="97"/>
  <c r="AO40" i="97" s="1"/>
  <c r="BA40" i="97"/>
  <c r="AN40" i="97" s="1"/>
  <c r="AZ40" i="97"/>
  <c r="AM40" i="97" s="1"/>
  <c r="AY40" i="97"/>
  <c r="AX40" i="97"/>
  <c r="AW40" i="97"/>
  <c r="AJ40" i="97" s="1"/>
  <c r="AV40" i="97"/>
  <c r="AU40" i="97"/>
  <c r="AT40" i="97"/>
  <c r="AS40" i="97"/>
  <c r="AR40" i="97"/>
  <c r="AQ40" i="97"/>
  <c r="BB39" i="97"/>
  <c r="BA39" i="97"/>
  <c r="AZ39" i="97"/>
  <c r="AM39" i="97" s="1"/>
  <c r="AY39" i="97"/>
  <c r="AL39" i="97" s="1"/>
  <c r="AX39" i="97"/>
  <c r="AK39" i="97" s="1"/>
  <c r="AW39" i="97"/>
  <c r="AJ39" i="97" s="1"/>
  <c r="AV39" i="97"/>
  <c r="AI39" i="97" s="1"/>
  <c r="AU39" i="97"/>
  <c r="AT39" i="97"/>
  <c r="AS39" i="97"/>
  <c r="AF39" i="97" s="1"/>
  <c r="AR39" i="97"/>
  <c r="AQ39" i="97"/>
  <c r="BB38" i="97"/>
  <c r="BA38" i="97"/>
  <c r="AZ38" i="97"/>
  <c r="AY38" i="97"/>
  <c r="AX38" i="97"/>
  <c r="AW38" i="97"/>
  <c r="AV38" i="97"/>
  <c r="AI38" i="97" s="1"/>
  <c r="AU38" i="97"/>
  <c r="AH38" i="97" s="1"/>
  <c r="AT38" i="97"/>
  <c r="AG38" i="97" s="1"/>
  <c r="AS38" i="97"/>
  <c r="AF38" i="97" s="1"/>
  <c r="AR38" i="97"/>
  <c r="AE38" i="97" s="1"/>
  <c r="AQ38" i="97"/>
  <c r="BB35" i="97"/>
  <c r="BA35" i="97"/>
  <c r="AN35" i="97" s="1"/>
  <c r="AZ35" i="97"/>
  <c r="AY35" i="97"/>
  <c r="AX35" i="97"/>
  <c r="AW35" i="97"/>
  <c r="AV35" i="97"/>
  <c r="AU35" i="97"/>
  <c r="AT35" i="97"/>
  <c r="AS35" i="97"/>
  <c r="AR35" i="97"/>
  <c r="AE35" i="97" s="1"/>
  <c r="AQ35" i="97"/>
  <c r="BB34" i="97"/>
  <c r="AO34" i="97" s="1"/>
  <c r="BA34" i="97"/>
  <c r="AN34" i="97" s="1"/>
  <c r="AZ34" i="97"/>
  <c r="AM34" i="97" s="1"/>
  <c r="AY34" i="97"/>
  <c r="AX34" i="97"/>
  <c r="AW34" i="97"/>
  <c r="AJ34" i="97" s="1"/>
  <c r="AV34" i="97"/>
  <c r="AU34" i="97"/>
  <c r="AT34" i="97"/>
  <c r="AS34" i="97"/>
  <c r="AR34" i="97"/>
  <c r="AQ34" i="97"/>
  <c r="BB33" i="97"/>
  <c r="BA33" i="97"/>
  <c r="AZ33" i="97"/>
  <c r="AM33" i="97" s="1"/>
  <c r="AY33" i="97"/>
  <c r="AL33" i="97" s="1"/>
  <c r="AX33" i="97"/>
  <c r="AK33" i="97" s="1"/>
  <c r="AW33" i="97"/>
  <c r="AJ33" i="97" s="1"/>
  <c r="AV33" i="97"/>
  <c r="AI33" i="97" s="1"/>
  <c r="AU33" i="97"/>
  <c r="AT33" i="97"/>
  <c r="AS33" i="97"/>
  <c r="AF33" i="97" s="1"/>
  <c r="AR33" i="97"/>
  <c r="AQ33" i="97"/>
  <c r="BB32" i="97"/>
  <c r="BA32" i="97"/>
  <c r="AZ32" i="97"/>
  <c r="AY32" i="97"/>
  <c r="AX32" i="97"/>
  <c r="AW32" i="97"/>
  <c r="AV32" i="97"/>
  <c r="AI32" i="97" s="1"/>
  <c r="AU32" i="97"/>
  <c r="AH32" i="97" s="1"/>
  <c r="AT32" i="97"/>
  <c r="AG32" i="97" s="1"/>
  <c r="AS32" i="97"/>
  <c r="AF32" i="97" s="1"/>
  <c r="AR32" i="97"/>
  <c r="AE32" i="97" s="1"/>
  <c r="AQ32" i="97"/>
  <c r="BB31" i="97"/>
  <c r="BA31" i="97"/>
  <c r="AN31" i="97" s="1"/>
  <c r="AZ31" i="97"/>
  <c r="AY31" i="97"/>
  <c r="AX31" i="97"/>
  <c r="AW31" i="97"/>
  <c r="AV31" i="97"/>
  <c r="AU31" i="97"/>
  <c r="AT31" i="97"/>
  <c r="AS31" i="97"/>
  <c r="AR31" i="97"/>
  <c r="AE31" i="97" s="1"/>
  <c r="AQ31" i="97"/>
  <c r="BB29" i="97"/>
  <c r="AO29" i="97" s="1"/>
  <c r="BA29" i="97"/>
  <c r="AN29" i="97" s="1"/>
  <c r="AZ29" i="97"/>
  <c r="AM29" i="97" s="1"/>
  <c r="AY29" i="97"/>
  <c r="AX29" i="97"/>
  <c r="AW29" i="97"/>
  <c r="AJ29" i="97" s="1"/>
  <c r="AV29" i="97"/>
  <c r="AU29" i="97"/>
  <c r="AT29" i="97"/>
  <c r="AS29" i="97"/>
  <c r="AR29" i="97"/>
  <c r="AQ29" i="97"/>
  <c r="BB28" i="97"/>
  <c r="BA28" i="97"/>
  <c r="AZ28" i="97"/>
  <c r="AM28" i="97" s="1"/>
  <c r="AY28" i="97"/>
  <c r="AL28" i="97" s="1"/>
  <c r="AX28" i="97"/>
  <c r="AK28" i="97" s="1"/>
  <c r="AW28" i="97"/>
  <c r="AJ28" i="97" s="1"/>
  <c r="AV28" i="97"/>
  <c r="AI28" i="97" s="1"/>
  <c r="AU28" i="97"/>
  <c r="AT28" i="97"/>
  <c r="AS28" i="97"/>
  <c r="AF28" i="97" s="1"/>
  <c r="AR28" i="97"/>
  <c r="AQ28" i="97"/>
  <c r="BB27" i="97"/>
  <c r="BA27" i="97"/>
  <c r="AZ27" i="97"/>
  <c r="AY27" i="97"/>
  <c r="AX27" i="97"/>
  <c r="AW27" i="97"/>
  <c r="AV27" i="97"/>
  <c r="AI27" i="97" s="1"/>
  <c r="AU27" i="97"/>
  <c r="AH27" i="97" s="1"/>
  <c r="AT27" i="97"/>
  <c r="AG27" i="97" s="1"/>
  <c r="AS27" i="97"/>
  <c r="AF27" i="97" s="1"/>
  <c r="AR27" i="97"/>
  <c r="AE27" i="97" s="1"/>
  <c r="AQ27" i="97"/>
  <c r="BB25" i="97"/>
  <c r="BA25" i="97"/>
  <c r="AN25" i="97" s="1"/>
  <c r="AZ25" i="97"/>
  <c r="AY25" i="97"/>
  <c r="AX25" i="97"/>
  <c r="AW25" i="97"/>
  <c r="AV25" i="97"/>
  <c r="AU25" i="97"/>
  <c r="AT25" i="97"/>
  <c r="AS25" i="97"/>
  <c r="AR25" i="97"/>
  <c r="AE25" i="97" s="1"/>
  <c r="AQ25" i="97"/>
  <c r="BB24" i="97"/>
  <c r="AO24" i="97" s="1"/>
  <c r="BA24" i="97"/>
  <c r="AN24" i="97" s="1"/>
  <c r="AN23" i="97" s="1"/>
  <c r="AZ24" i="97"/>
  <c r="AM24" i="97" s="1"/>
  <c r="AY24" i="97"/>
  <c r="AX24" i="97"/>
  <c r="AW24" i="97"/>
  <c r="AJ24" i="97" s="1"/>
  <c r="AV24" i="97"/>
  <c r="AU24" i="97"/>
  <c r="AT24" i="97"/>
  <c r="AS24" i="97"/>
  <c r="AR24" i="97"/>
  <c r="AQ24" i="97"/>
  <c r="BB22" i="97"/>
  <c r="BA22" i="97"/>
  <c r="AZ22" i="97"/>
  <c r="AM22" i="97" s="1"/>
  <c r="AY22" i="97"/>
  <c r="AL22" i="97" s="1"/>
  <c r="AX22" i="97"/>
  <c r="AK22" i="97" s="1"/>
  <c r="AW22" i="97"/>
  <c r="AJ22" i="97" s="1"/>
  <c r="AV22" i="97"/>
  <c r="AI22" i="97" s="1"/>
  <c r="AU22" i="97"/>
  <c r="AT22" i="97"/>
  <c r="AS22" i="97"/>
  <c r="AF22" i="97" s="1"/>
  <c r="AR22" i="97"/>
  <c r="AQ22" i="97"/>
  <c r="BB21" i="97"/>
  <c r="BA21" i="97"/>
  <c r="AZ21" i="97"/>
  <c r="AY21" i="97"/>
  <c r="AX21" i="97"/>
  <c r="AW21" i="97"/>
  <c r="AV21" i="97"/>
  <c r="AI21" i="97" s="1"/>
  <c r="AU21" i="97"/>
  <c r="AH21" i="97" s="1"/>
  <c r="AT21" i="97"/>
  <c r="AG21" i="97" s="1"/>
  <c r="AS21" i="97"/>
  <c r="AF21" i="97" s="1"/>
  <c r="AR21" i="97"/>
  <c r="AE21" i="97" s="1"/>
  <c r="AQ21" i="97"/>
  <c r="BB20" i="97"/>
  <c r="BA20" i="97"/>
  <c r="AN20" i="97" s="1"/>
  <c r="AZ20" i="97"/>
  <c r="AY20" i="97"/>
  <c r="AX20" i="97"/>
  <c r="AW20" i="97"/>
  <c r="AV20" i="97"/>
  <c r="AU20" i="97"/>
  <c r="AT20" i="97"/>
  <c r="AS20" i="97"/>
  <c r="AR20" i="97"/>
  <c r="AE20" i="97" s="1"/>
  <c r="AQ20" i="97"/>
  <c r="BB19" i="97"/>
  <c r="AO19" i="97" s="1"/>
  <c r="BA19" i="97"/>
  <c r="AN19" i="97" s="1"/>
  <c r="AZ19" i="97"/>
  <c r="AM19" i="97" s="1"/>
  <c r="AY19" i="97"/>
  <c r="AX19" i="97"/>
  <c r="AW19" i="97"/>
  <c r="AJ19" i="97" s="1"/>
  <c r="AV19" i="97"/>
  <c r="AU19" i="97"/>
  <c r="AT19" i="97"/>
  <c r="AS19" i="97"/>
  <c r="AR19" i="97"/>
  <c r="AQ19" i="97"/>
  <c r="BB18" i="97"/>
  <c r="BA18" i="97"/>
  <c r="AZ18" i="97"/>
  <c r="AM18" i="97" s="1"/>
  <c r="AY18" i="97"/>
  <c r="AL18" i="97" s="1"/>
  <c r="AX18" i="97"/>
  <c r="AK18" i="97" s="1"/>
  <c r="AW18" i="97"/>
  <c r="AJ18" i="97" s="1"/>
  <c r="AV18" i="97"/>
  <c r="AI18" i="97" s="1"/>
  <c r="AU18" i="97"/>
  <c r="AT18" i="97"/>
  <c r="AS18" i="97"/>
  <c r="AF18" i="97" s="1"/>
  <c r="AR18" i="97"/>
  <c r="AQ18" i="97"/>
  <c r="BB17" i="97"/>
  <c r="BA17" i="97"/>
  <c r="AZ17" i="97"/>
  <c r="AY17" i="97"/>
  <c r="AX17" i="97"/>
  <c r="AW17" i="97"/>
  <c r="AV17" i="97"/>
  <c r="AI17" i="97" s="1"/>
  <c r="AU17" i="97"/>
  <c r="AH17" i="97" s="1"/>
  <c r="AT17" i="97"/>
  <c r="AG17" i="97" s="1"/>
  <c r="AS17" i="97"/>
  <c r="AF17" i="97" s="1"/>
  <c r="AR17" i="97"/>
  <c r="AE17" i="97" s="1"/>
  <c r="AQ17" i="97"/>
  <c r="BB16" i="97"/>
  <c r="BA16" i="97"/>
  <c r="AN16" i="97" s="1"/>
  <c r="AZ16" i="97"/>
  <c r="AY16" i="97"/>
  <c r="AX16" i="97"/>
  <c r="AW16" i="97"/>
  <c r="AV16" i="97"/>
  <c r="AU16" i="97"/>
  <c r="AT16" i="97"/>
  <c r="AS16" i="97"/>
  <c r="AR16" i="97"/>
  <c r="AE16" i="97" s="1"/>
  <c r="AQ16" i="97"/>
  <c r="BB14" i="97"/>
  <c r="AO14" i="97" s="1"/>
  <c r="BA14" i="97"/>
  <c r="AN14" i="97" s="1"/>
  <c r="AZ14" i="97"/>
  <c r="AM14" i="97" s="1"/>
  <c r="AY14" i="97"/>
  <c r="AX14" i="97"/>
  <c r="AW14" i="97"/>
  <c r="AJ14" i="97" s="1"/>
  <c r="AV14" i="97"/>
  <c r="AU14" i="97"/>
  <c r="AT14" i="97"/>
  <c r="AS14" i="97"/>
  <c r="AR14" i="97"/>
  <c r="AQ14" i="97"/>
  <c r="BB13" i="97"/>
  <c r="BA13" i="97"/>
  <c r="AZ13" i="97"/>
  <c r="AM13" i="97" s="1"/>
  <c r="AY13" i="97"/>
  <c r="AL13" i="97" s="1"/>
  <c r="AX13" i="97"/>
  <c r="AK13" i="97" s="1"/>
  <c r="AW13" i="97"/>
  <c r="AJ13" i="97" s="1"/>
  <c r="AV13" i="97"/>
  <c r="AI13" i="97" s="1"/>
  <c r="AU13" i="97"/>
  <c r="AT13" i="97"/>
  <c r="AS13" i="97"/>
  <c r="AF13" i="97" s="1"/>
  <c r="AR13" i="97"/>
  <c r="AQ13" i="97"/>
  <c r="BB12" i="97"/>
  <c r="BA12" i="97"/>
  <c r="AZ12" i="97"/>
  <c r="AY12" i="97"/>
  <c r="AX12" i="97"/>
  <c r="AW12" i="97"/>
  <c r="AV12" i="97"/>
  <c r="AI12" i="97" s="1"/>
  <c r="AU12" i="97"/>
  <c r="AH12" i="97" s="1"/>
  <c r="AT12" i="97"/>
  <c r="AG12" i="97" s="1"/>
  <c r="AS12" i="97"/>
  <c r="AF12" i="97" s="1"/>
  <c r="AR12" i="97"/>
  <c r="AE12" i="97" s="1"/>
  <c r="AQ12" i="97"/>
  <c r="BB11" i="97"/>
  <c r="BA11" i="97"/>
  <c r="AN11" i="97" s="1"/>
  <c r="AZ11" i="97"/>
  <c r="AY11" i="97"/>
  <c r="AX11" i="97"/>
  <c r="AW11" i="97"/>
  <c r="AV11" i="97"/>
  <c r="AU11" i="97"/>
  <c r="AT11" i="97"/>
  <c r="AS11" i="97"/>
  <c r="AR11" i="97"/>
  <c r="AE11" i="97" s="1"/>
  <c r="AQ11" i="97"/>
  <c r="BB10" i="97"/>
  <c r="AO10" i="97" s="1"/>
  <c r="BA10" i="97"/>
  <c r="AN10" i="97" s="1"/>
  <c r="AZ10" i="97"/>
  <c r="AM10" i="97" s="1"/>
  <c r="AY10" i="97"/>
  <c r="AX10" i="97"/>
  <c r="AW10" i="97"/>
  <c r="AJ10" i="97" s="1"/>
  <c r="AV10" i="97"/>
  <c r="AU10" i="97"/>
  <c r="AT10" i="97"/>
  <c r="AS10" i="97"/>
  <c r="AR10" i="97"/>
  <c r="AQ10" i="97"/>
  <c r="BB9" i="97"/>
  <c r="BA9" i="97"/>
  <c r="AZ9" i="97"/>
  <c r="AM9" i="97" s="1"/>
  <c r="AY9" i="97"/>
  <c r="AL9" i="97" s="1"/>
  <c r="AX9" i="97"/>
  <c r="AK9" i="97" s="1"/>
  <c r="AW9" i="97"/>
  <c r="AJ9" i="97" s="1"/>
  <c r="AV9" i="97"/>
  <c r="AI9" i="97" s="1"/>
  <c r="AU9" i="97"/>
  <c r="AT9" i="97"/>
  <c r="AS9" i="97"/>
  <c r="AF9" i="97" s="1"/>
  <c r="AR9" i="97"/>
  <c r="AQ9" i="97"/>
  <c r="BB7" i="97"/>
  <c r="BA7" i="97"/>
  <c r="AZ7" i="97"/>
  <c r="AY7" i="97"/>
  <c r="AX7" i="97"/>
  <c r="AW7" i="97"/>
  <c r="AV7" i="97"/>
  <c r="AI7" i="97" s="1"/>
  <c r="AU7" i="97"/>
  <c r="AH7" i="97" s="1"/>
  <c r="AT7" i="97"/>
  <c r="AG7" i="97" s="1"/>
  <c r="AS7" i="97"/>
  <c r="AF7" i="97" s="1"/>
  <c r="AR7" i="97"/>
  <c r="AE7" i="97" s="1"/>
  <c r="AQ7" i="97"/>
  <c r="BB6" i="97"/>
  <c r="BA6" i="97"/>
  <c r="AZ6" i="97"/>
  <c r="AY6" i="97"/>
  <c r="AX6" i="97"/>
  <c r="AW6" i="97"/>
  <c r="AV6" i="97"/>
  <c r="AU6" i="97"/>
  <c r="AT6" i="97"/>
  <c r="AS6" i="97"/>
  <c r="AR6" i="97"/>
  <c r="AQ6" i="97"/>
  <c r="AG9" i="97" l="1"/>
  <c r="AK10" i="97"/>
  <c r="AO11" i="97"/>
  <c r="AG13" i="97"/>
  <c r="AK14" i="97"/>
  <c r="AO16" i="97"/>
  <c r="AG18" i="97"/>
  <c r="AK19" i="97"/>
  <c r="AO20" i="97"/>
  <c r="AG22" i="97"/>
  <c r="AK24" i="97"/>
  <c r="AO25" i="97"/>
  <c r="AO23" i="97" s="1"/>
  <c r="AG28" i="97"/>
  <c r="AK29" i="97"/>
  <c r="K29" i="97" s="1"/>
  <c r="AO31" i="97"/>
  <c r="O31" i="97" s="1"/>
  <c r="AG33" i="97"/>
  <c r="AK34" i="97"/>
  <c r="AO35" i="97"/>
  <c r="AG39" i="97"/>
  <c r="AK40" i="97"/>
  <c r="AO41" i="97"/>
  <c r="AG43" i="97"/>
  <c r="AK46" i="97"/>
  <c r="AO47" i="97"/>
  <c r="AG50" i="97"/>
  <c r="AK52" i="97"/>
  <c r="AO53" i="97"/>
  <c r="AG58" i="97"/>
  <c r="AK59" i="97"/>
  <c r="AK57" i="97" s="1"/>
  <c r="AO60" i="97"/>
  <c r="O60" i="97" s="1"/>
  <c r="AG62" i="97"/>
  <c r="G62" i="97" s="1"/>
  <c r="AK64" i="97"/>
  <c r="AO65" i="97"/>
  <c r="AG68" i="97"/>
  <c r="AG66" i="97" s="1"/>
  <c r="AK70" i="97"/>
  <c r="AO71" i="97"/>
  <c r="AG73" i="97"/>
  <c r="AK74" i="97"/>
  <c r="AO75" i="97"/>
  <c r="AG78" i="97"/>
  <c r="AK79" i="97"/>
  <c r="AO80" i="97"/>
  <c r="AG85" i="97"/>
  <c r="AK86" i="97"/>
  <c r="AO87" i="97"/>
  <c r="AG89" i="97"/>
  <c r="G89" i="97" s="1"/>
  <c r="AK90" i="97"/>
  <c r="AO91" i="97"/>
  <c r="AG93" i="97"/>
  <c r="AK94" i="97"/>
  <c r="AO95" i="97"/>
  <c r="AG97" i="97"/>
  <c r="AK98" i="97"/>
  <c r="AO100" i="97"/>
  <c r="AG102" i="97"/>
  <c r="AK103" i="97"/>
  <c r="AO104" i="97"/>
  <c r="AG106" i="97"/>
  <c r="AK107" i="97"/>
  <c r="AO108" i="97"/>
  <c r="AG110" i="97"/>
  <c r="AK111" i="97"/>
  <c r="K111" i="97" s="1"/>
  <c r="AO112" i="97"/>
  <c r="O112" i="97" s="1"/>
  <c r="AG116" i="97"/>
  <c r="G116" i="97" s="1"/>
  <c r="AK117" i="97"/>
  <c r="AK115" i="97" s="1"/>
  <c r="AO118" i="97"/>
  <c r="AG120" i="97"/>
  <c r="AK121" i="97"/>
  <c r="AO122" i="97"/>
  <c r="AG124" i="97"/>
  <c r="AK125" i="97"/>
  <c r="AH9" i="97"/>
  <c r="AL10" i="97"/>
  <c r="AH13" i="97"/>
  <c r="AL14" i="97"/>
  <c r="AH18" i="97"/>
  <c r="AL19" i="97"/>
  <c r="AH22" i="97"/>
  <c r="H22" i="97" s="1"/>
  <c r="AL24" i="97"/>
  <c r="AH28" i="97"/>
  <c r="AL29" i="97"/>
  <c r="AH33" i="97"/>
  <c r="AL34" i="97"/>
  <c r="AH39" i="97"/>
  <c r="AL40" i="97"/>
  <c r="AH43" i="97"/>
  <c r="AL46" i="97"/>
  <c r="AH50" i="97"/>
  <c r="AL52" i="97"/>
  <c r="AH58" i="97"/>
  <c r="AL59" i="97"/>
  <c r="AL57" i="97" s="1"/>
  <c r="AH62" i="97"/>
  <c r="AL64" i="97"/>
  <c r="AH68" i="97"/>
  <c r="AH66" i="97" s="1"/>
  <c r="AL70" i="97"/>
  <c r="L70" i="97" s="1"/>
  <c r="AH73" i="97"/>
  <c r="AL74" i="97"/>
  <c r="AH78" i="97"/>
  <c r="AL79" i="97"/>
  <c r="AH85" i="97"/>
  <c r="AL86" i="97"/>
  <c r="AH89" i="97"/>
  <c r="AL90" i="97"/>
  <c r="AH93" i="97"/>
  <c r="AL94" i="97"/>
  <c r="AH97" i="97"/>
  <c r="AL98" i="97"/>
  <c r="AH102" i="97"/>
  <c r="AL103" i="97"/>
  <c r="AH106" i="97"/>
  <c r="H106" i="97" s="1"/>
  <c r="AL107" i="97"/>
  <c r="L107" i="97" s="1"/>
  <c r="AH110" i="97"/>
  <c r="AL111" i="97"/>
  <c r="AH116" i="97"/>
  <c r="AL117" i="97"/>
  <c r="AH120" i="97"/>
  <c r="AL121" i="97"/>
  <c r="AH124" i="97"/>
  <c r="AL125" i="97"/>
  <c r="CG127" i="97"/>
  <c r="CF126" i="97"/>
  <c r="CF114" i="97" s="1"/>
  <c r="AE9" i="97"/>
  <c r="AI10" i="97"/>
  <c r="I10" i="97" s="1"/>
  <c r="AM11" i="97"/>
  <c r="AM8" i="97" s="1"/>
  <c r="AE13" i="97"/>
  <c r="AI14" i="97"/>
  <c r="AM16" i="97"/>
  <c r="AE18" i="97"/>
  <c r="AI19" i="97"/>
  <c r="AM20" i="97"/>
  <c r="AE22" i="97"/>
  <c r="AI24" i="97"/>
  <c r="AM25" i="97"/>
  <c r="AE28" i="97"/>
  <c r="AI29" i="97"/>
  <c r="AI26" i="97" s="1"/>
  <c r="AM31" i="97"/>
  <c r="M31" i="97" s="1"/>
  <c r="AE33" i="97"/>
  <c r="AI34" i="97"/>
  <c r="AM35" i="97"/>
  <c r="M35" i="97" s="1"/>
  <c r="AE39" i="97"/>
  <c r="E39" i="97" s="1"/>
  <c r="AI40" i="97"/>
  <c r="AM41" i="97"/>
  <c r="AE43" i="97"/>
  <c r="AI46" i="97"/>
  <c r="AM47" i="97"/>
  <c r="AE50" i="97"/>
  <c r="AE48" i="97" s="1"/>
  <c r="AI52" i="97"/>
  <c r="BR127" i="97"/>
  <c r="BS127" i="97" s="1"/>
  <c r="AG128" i="97"/>
  <c r="AH128" i="97"/>
  <c r="AO128" i="97"/>
  <c r="AD128" i="97"/>
  <c r="AE128" i="97"/>
  <c r="AN128" i="97"/>
  <c r="AM128" i="97"/>
  <c r="AO45" i="97"/>
  <c r="AL17" i="97"/>
  <c r="L17" i="97" s="1"/>
  <c r="AL32" i="97"/>
  <c r="AH41" i="97"/>
  <c r="AH60" i="97"/>
  <c r="AL77" i="97"/>
  <c r="AL84" i="97"/>
  <c r="L84" i="97" s="1"/>
  <c r="AH87" i="97"/>
  <c r="H87" i="97" s="1"/>
  <c r="AL88" i="97"/>
  <c r="AH91" i="97"/>
  <c r="H91" i="97" s="1"/>
  <c r="AL92" i="97"/>
  <c r="L92" i="97" s="1"/>
  <c r="AH95" i="97"/>
  <c r="H95" i="97" s="1"/>
  <c r="AL96" i="97"/>
  <c r="L96" i="97" s="1"/>
  <c r="AH100" i="97"/>
  <c r="AL101" i="97"/>
  <c r="L101" i="97" s="1"/>
  <c r="AH104" i="97"/>
  <c r="AH99" i="97" s="1"/>
  <c r="AL105" i="97"/>
  <c r="AH108" i="97"/>
  <c r="H108" i="97" s="1"/>
  <c r="AL109" i="97"/>
  <c r="AH112" i="97"/>
  <c r="AL113" i="97"/>
  <c r="L113" i="97" s="1"/>
  <c r="AH118" i="97"/>
  <c r="H118" i="97" s="1"/>
  <c r="AL119" i="97"/>
  <c r="L119" i="97" s="1"/>
  <c r="AH122" i="97"/>
  <c r="H122" i="97" s="1"/>
  <c r="AL123" i="97"/>
  <c r="AL7" i="97"/>
  <c r="L7" i="97" s="1"/>
  <c r="AH11" i="97"/>
  <c r="AL21" i="97"/>
  <c r="AL27" i="97"/>
  <c r="AH31" i="97"/>
  <c r="AL38" i="97"/>
  <c r="AL42" i="97"/>
  <c r="L42" i="97" s="1"/>
  <c r="AH47" i="97"/>
  <c r="AH53" i="97"/>
  <c r="H53" i="97" s="1"/>
  <c r="AL67" i="97"/>
  <c r="AL66" i="97" s="1"/>
  <c r="AL72" i="97"/>
  <c r="AH75" i="97"/>
  <c r="H75" i="97" s="1"/>
  <c r="AE10" i="97"/>
  <c r="AM12" i="97"/>
  <c r="AE14" i="97"/>
  <c r="AI16" i="97"/>
  <c r="I16" i="97" s="1"/>
  <c r="AM17" i="97"/>
  <c r="AE19" i="97"/>
  <c r="AE15" i="97" s="1"/>
  <c r="AI20" i="97"/>
  <c r="AM21" i="97"/>
  <c r="AE24" i="97"/>
  <c r="AE23" i="97" s="1"/>
  <c r="AI25" i="97"/>
  <c r="AI23" i="97" s="1"/>
  <c r="AM27" i="97"/>
  <c r="AE29" i="97"/>
  <c r="AI31" i="97"/>
  <c r="AM32" i="97"/>
  <c r="M32" i="97" s="1"/>
  <c r="AE34" i="97"/>
  <c r="E34" i="97" s="1"/>
  <c r="AI35" i="97"/>
  <c r="AM38" i="97"/>
  <c r="AE40" i="97"/>
  <c r="AI41" i="97"/>
  <c r="AI37" i="97" s="1"/>
  <c r="AM42" i="97"/>
  <c r="M42" i="97" s="1"/>
  <c r="AE46" i="97"/>
  <c r="AI47" i="97"/>
  <c r="AM49" i="97"/>
  <c r="AM48" i="97" s="1"/>
  <c r="AE52" i="97"/>
  <c r="AI53" i="97"/>
  <c r="I53" i="97" s="1"/>
  <c r="AM56" i="97"/>
  <c r="AE59" i="97"/>
  <c r="AI60" i="97"/>
  <c r="AM61" i="97"/>
  <c r="M61" i="97" s="1"/>
  <c r="AE64" i="97"/>
  <c r="E64" i="97" s="1"/>
  <c r="AI65" i="97"/>
  <c r="I65" i="97" s="1"/>
  <c r="AM67" i="97"/>
  <c r="AM66" i="97" s="1"/>
  <c r="AE70" i="97"/>
  <c r="AI71" i="97"/>
  <c r="AM72" i="97"/>
  <c r="M72" i="97" s="1"/>
  <c r="AE74" i="97"/>
  <c r="E74" i="97" s="1"/>
  <c r="AI75" i="97"/>
  <c r="AM77" i="97"/>
  <c r="AE79" i="97"/>
  <c r="AI80" i="97"/>
  <c r="AM84" i="97"/>
  <c r="M84" i="97" s="1"/>
  <c r="AE86" i="97"/>
  <c r="E86" i="97" s="1"/>
  <c r="AI87" i="97"/>
  <c r="AM88" i="97"/>
  <c r="AE90" i="97"/>
  <c r="AI91" i="97"/>
  <c r="I91" i="97" s="1"/>
  <c r="AM92" i="97"/>
  <c r="M92" i="97" s="1"/>
  <c r="AE94" i="97"/>
  <c r="AI95" i="97"/>
  <c r="AM96" i="97"/>
  <c r="AE98" i="97"/>
  <c r="AI100" i="97"/>
  <c r="AM101" i="97"/>
  <c r="AE103" i="97"/>
  <c r="AI104" i="97"/>
  <c r="AM105" i="97"/>
  <c r="AE107" i="97"/>
  <c r="E107" i="97" s="1"/>
  <c r="AI108" i="97"/>
  <c r="I108" i="97" s="1"/>
  <c r="AM109" i="97"/>
  <c r="M109" i="97" s="1"/>
  <c r="AE111" i="97"/>
  <c r="E111" i="97" s="1"/>
  <c r="AI112" i="97"/>
  <c r="I112" i="97" s="1"/>
  <c r="AM113" i="97"/>
  <c r="M113" i="97" s="1"/>
  <c r="AE117" i="97"/>
  <c r="E117" i="97" s="1"/>
  <c r="AI118" i="97"/>
  <c r="I118" i="97" s="1"/>
  <c r="AM119" i="97"/>
  <c r="M119" i="97" s="1"/>
  <c r="AE121" i="97"/>
  <c r="AI122" i="97"/>
  <c r="I122" i="97" s="1"/>
  <c r="AM123" i="97"/>
  <c r="M123" i="97" s="1"/>
  <c r="AE125" i="97"/>
  <c r="AM57" i="97"/>
  <c r="AL12" i="97"/>
  <c r="L12" i="97" s="1"/>
  <c r="AH16" i="97"/>
  <c r="H16" i="97" s="1"/>
  <c r="AH20" i="97"/>
  <c r="H20" i="97" s="1"/>
  <c r="AH25" i="97"/>
  <c r="H25" i="97" s="1"/>
  <c r="AH35" i="97"/>
  <c r="AL49" i="97"/>
  <c r="L49" i="97" s="1"/>
  <c r="AL56" i="97"/>
  <c r="AL61" i="97"/>
  <c r="L61" i="97" s="1"/>
  <c r="AH65" i="97"/>
  <c r="AH71" i="97"/>
  <c r="AH80" i="97"/>
  <c r="H80" i="97" s="1"/>
  <c r="AM7" i="97"/>
  <c r="AI11" i="97"/>
  <c r="AI48" i="97"/>
  <c r="AO7" i="97"/>
  <c r="AK11" i="97"/>
  <c r="AK16" i="97"/>
  <c r="AG19" i="97"/>
  <c r="AK20" i="97"/>
  <c r="K20" i="97" s="1"/>
  <c r="AO21" i="97"/>
  <c r="AG24" i="97"/>
  <c r="AK25" i="97"/>
  <c r="AO27" i="97"/>
  <c r="AG29" i="97"/>
  <c r="AG26" i="97" s="1"/>
  <c r="AK31" i="97"/>
  <c r="AO32" i="97"/>
  <c r="AG34" i="97"/>
  <c r="AK35" i="97"/>
  <c r="AO38" i="97"/>
  <c r="O38" i="97" s="1"/>
  <c r="AG40" i="97"/>
  <c r="AK41" i="97"/>
  <c r="AO42" i="97"/>
  <c r="AG46" i="97"/>
  <c r="AK47" i="97"/>
  <c r="AK45" i="97" s="1"/>
  <c r="AO49" i="97"/>
  <c r="O49" i="97" s="1"/>
  <c r="AG52" i="97"/>
  <c r="AK53" i="97"/>
  <c r="K53" i="97" s="1"/>
  <c r="AO56" i="97"/>
  <c r="AG59" i="97"/>
  <c r="AG57" i="97" s="1"/>
  <c r="AG55" i="97" s="1"/>
  <c r="AK60" i="97"/>
  <c r="K60" i="97" s="1"/>
  <c r="AO61" i="97"/>
  <c r="O61" i="97" s="1"/>
  <c r="AG64" i="97"/>
  <c r="G64" i="97" s="1"/>
  <c r="AK65" i="97"/>
  <c r="AK63" i="97" s="1"/>
  <c r="AO67" i="97"/>
  <c r="AG70" i="97"/>
  <c r="G70" i="97" s="1"/>
  <c r="AK71" i="97"/>
  <c r="AO72" i="97"/>
  <c r="AG74" i="97"/>
  <c r="AK75" i="97"/>
  <c r="AO77" i="97"/>
  <c r="AG79" i="97"/>
  <c r="AK80" i="97"/>
  <c r="AO84" i="97"/>
  <c r="O84" i="97" s="1"/>
  <c r="AG86" i="97"/>
  <c r="G86" i="97" s="1"/>
  <c r="AK87" i="97"/>
  <c r="K87" i="97" s="1"/>
  <c r="AO88" i="97"/>
  <c r="O88" i="97" s="1"/>
  <c r="AG90" i="97"/>
  <c r="G90" i="97" s="1"/>
  <c r="AK91" i="97"/>
  <c r="K91" i="97" s="1"/>
  <c r="AO92" i="97"/>
  <c r="AG94" i="97"/>
  <c r="AK95" i="97"/>
  <c r="K95" i="97" s="1"/>
  <c r="AO96" i="97"/>
  <c r="AG98" i="97"/>
  <c r="AK100" i="97"/>
  <c r="AO101" i="97"/>
  <c r="AG103" i="97"/>
  <c r="G103" i="97" s="1"/>
  <c r="AK104" i="97"/>
  <c r="K104" i="97" s="1"/>
  <c r="AO105" i="97"/>
  <c r="AG107" i="97"/>
  <c r="G107" i="97" s="1"/>
  <c r="AK108" i="97"/>
  <c r="AO109" i="97"/>
  <c r="AG111" i="97"/>
  <c r="G111" i="97" s="1"/>
  <c r="AK112" i="97"/>
  <c r="K112" i="97" s="1"/>
  <c r="AO113" i="97"/>
  <c r="O113" i="97" s="1"/>
  <c r="AG117" i="97"/>
  <c r="AK118" i="97"/>
  <c r="K118" i="97" s="1"/>
  <c r="AO119" i="97"/>
  <c r="O119" i="97" s="1"/>
  <c r="AG121" i="97"/>
  <c r="AK122" i="97"/>
  <c r="K122" i="97" s="1"/>
  <c r="AO123" i="97"/>
  <c r="AG125" i="97"/>
  <c r="AG10" i="97"/>
  <c r="G10" i="97" s="1"/>
  <c r="AO12" i="97"/>
  <c r="O12" i="97" s="1"/>
  <c r="AG14" i="97"/>
  <c r="AO17" i="97"/>
  <c r="AH10" i="97"/>
  <c r="H10" i="97" s="1"/>
  <c r="AL11" i="97"/>
  <c r="L11" i="97" s="1"/>
  <c r="AH14" i="97"/>
  <c r="AL16" i="97"/>
  <c r="AH19" i="97"/>
  <c r="AL20" i="97"/>
  <c r="L20" i="97" s="1"/>
  <c r="AH24" i="97"/>
  <c r="AL25" i="97"/>
  <c r="AH29" i="97"/>
  <c r="AL31" i="97"/>
  <c r="AH34" i="97"/>
  <c r="H34" i="97" s="1"/>
  <c r="AL35" i="97"/>
  <c r="L35" i="97" s="1"/>
  <c r="AH40" i="97"/>
  <c r="AH37" i="97" s="1"/>
  <c r="AL41" i="97"/>
  <c r="AH46" i="97"/>
  <c r="AH45" i="97" s="1"/>
  <c r="AL47" i="97"/>
  <c r="L47" i="97" s="1"/>
  <c r="AH52" i="97"/>
  <c r="AH51" i="97" s="1"/>
  <c r="AL53" i="97"/>
  <c r="L53" i="97" s="1"/>
  <c r="AH59" i="97"/>
  <c r="AL60" i="97"/>
  <c r="AH64" i="97"/>
  <c r="AL65" i="97"/>
  <c r="AL63" i="97" s="1"/>
  <c r="AH70" i="97"/>
  <c r="H70" i="97" s="1"/>
  <c r="AL71" i="97"/>
  <c r="AH74" i="97"/>
  <c r="AL75" i="97"/>
  <c r="AH79" i="97"/>
  <c r="H79" i="97" s="1"/>
  <c r="AL80" i="97"/>
  <c r="L80" i="97" s="1"/>
  <c r="AH86" i="97"/>
  <c r="AL87" i="97"/>
  <c r="AH90" i="97"/>
  <c r="AL91" i="97"/>
  <c r="L91" i="97" s="1"/>
  <c r="AH94" i="97"/>
  <c r="H94" i="97" s="1"/>
  <c r="AL95" i="97"/>
  <c r="L95" i="97" s="1"/>
  <c r="AH98" i="97"/>
  <c r="AL100" i="97"/>
  <c r="AH103" i="97"/>
  <c r="AL104" i="97"/>
  <c r="L104" i="97" s="1"/>
  <c r="AH107" i="97"/>
  <c r="H107" i="97" s="1"/>
  <c r="AL108" i="97"/>
  <c r="AH111" i="97"/>
  <c r="AL112" i="97"/>
  <c r="L112" i="97" s="1"/>
  <c r="AH117" i="97"/>
  <c r="AH115" i="97" s="1"/>
  <c r="AL118" i="97"/>
  <c r="L118" i="97" s="1"/>
  <c r="AH121" i="97"/>
  <c r="AL122" i="97"/>
  <c r="AH125" i="97"/>
  <c r="AM53" i="97"/>
  <c r="M53" i="97" s="1"/>
  <c r="AE58" i="97"/>
  <c r="AI59" i="97"/>
  <c r="I59" i="97" s="1"/>
  <c r="AM60" i="97"/>
  <c r="M60" i="97" s="1"/>
  <c r="AE62" i="97"/>
  <c r="E62" i="97" s="1"/>
  <c r="AI64" i="97"/>
  <c r="AM65" i="97"/>
  <c r="AM63" i="97" s="1"/>
  <c r="AE68" i="97"/>
  <c r="AE66" i="97" s="1"/>
  <c r="AI70" i="97"/>
  <c r="AM71" i="97"/>
  <c r="AE73" i="97"/>
  <c r="E73" i="97" s="1"/>
  <c r="AI74" i="97"/>
  <c r="AI69" i="97" s="1"/>
  <c r="AM75" i="97"/>
  <c r="M75" i="97" s="1"/>
  <c r="AE78" i="97"/>
  <c r="AE76" i="97" s="1"/>
  <c r="AI79" i="97"/>
  <c r="AI76" i="97" s="1"/>
  <c r="AM80" i="97"/>
  <c r="M80" i="97" s="1"/>
  <c r="AE85" i="97"/>
  <c r="AI86" i="97"/>
  <c r="AM87" i="97"/>
  <c r="AE89" i="97"/>
  <c r="AI90" i="97"/>
  <c r="I90" i="97" s="1"/>
  <c r="AM91" i="97"/>
  <c r="AE93" i="97"/>
  <c r="E93" i="97" s="1"/>
  <c r="AI94" i="97"/>
  <c r="AM95" i="97"/>
  <c r="M95" i="97" s="1"/>
  <c r="AE97" i="97"/>
  <c r="AI98" i="97"/>
  <c r="AM100" i="97"/>
  <c r="AE102" i="97"/>
  <c r="E102" i="97" s="1"/>
  <c r="AI103" i="97"/>
  <c r="AM104" i="97"/>
  <c r="M104" i="97" s="1"/>
  <c r="AE106" i="97"/>
  <c r="E106" i="97" s="1"/>
  <c r="AI107" i="97"/>
  <c r="I107" i="97" s="1"/>
  <c r="AM108" i="97"/>
  <c r="AE110" i="97"/>
  <c r="AI111" i="97"/>
  <c r="I111" i="97" s="1"/>
  <c r="AM112" i="97"/>
  <c r="M112" i="97" s="1"/>
  <c r="AE116" i="97"/>
  <c r="AI117" i="97"/>
  <c r="AI115" i="97" s="1"/>
  <c r="AM118" i="97"/>
  <c r="M118" i="97" s="1"/>
  <c r="AE120" i="97"/>
  <c r="AI121" i="97"/>
  <c r="AM122" i="97"/>
  <c r="M122" i="97" s="1"/>
  <c r="AE124" i="97"/>
  <c r="E124" i="97" s="1"/>
  <c r="AI125" i="97"/>
  <c r="I125" i="97" s="1"/>
  <c r="AJ64" i="97"/>
  <c r="J64" i="97" s="1"/>
  <c r="AN65" i="97"/>
  <c r="AN63" i="97" s="1"/>
  <c r="AF68" i="97"/>
  <c r="AF66" i="97" s="1"/>
  <c r="AJ70" i="97"/>
  <c r="J70" i="97" s="1"/>
  <c r="AN71" i="97"/>
  <c r="AF73" i="97"/>
  <c r="F73" i="97" s="1"/>
  <c r="AJ74" i="97"/>
  <c r="AN75" i="97"/>
  <c r="N75" i="97" s="1"/>
  <c r="AF78" i="97"/>
  <c r="AJ79" i="97"/>
  <c r="J79" i="97" s="1"/>
  <c r="AN80" i="97"/>
  <c r="AF85" i="97"/>
  <c r="F85" i="97" s="1"/>
  <c r="AJ86" i="97"/>
  <c r="AN87" i="97"/>
  <c r="N87" i="97" s="1"/>
  <c r="AF89" i="97"/>
  <c r="F89" i="97" s="1"/>
  <c r="AJ90" i="97"/>
  <c r="AN91" i="97"/>
  <c r="N91" i="97" s="1"/>
  <c r="AF93" i="97"/>
  <c r="F93" i="97" s="1"/>
  <c r="AJ94" i="97"/>
  <c r="J94" i="97" s="1"/>
  <c r="AN95" i="97"/>
  <c r="N95" i="97" s="1"/>
  <c r="AF97" i="97"/>
  <c r="AJ98" i="97"/>
  <c r="J98" i="97" s="1"/>
  <c r="AN100" i="97"/>
  <c r="AF102" i="97"/>
  <c r="F102" i="97" s="1"/>
  <c r="AJ103" i="97"/>
  <c r="J103" i="97" s="1"/>
  <c r="AN104" i="97"/>
  <c r="N104" i="97" s="1"/>
  <c r="AF106" i="97"/>
  <c r="AJ107" i="97"/>
  <c r="J107" i="97" s="1"/>
  <c r="AN108" i="97"/>
  <c r="AF110" i="97"/>
  <c r="F110" i="97" s="1"/>
  <c r="AJ111" i="97"/>
  <c r="J111" i="97" s="1"/>
  <c r="AN112" i="97"/>
  <c r="AF116" i="97"/>
  <c r="F116" i="97" s="1"/>
  <c r="AJ117" i="97"/>
  <c r="J117" i="97" s="1"/>
  <c r="AN118" i="97"/>
  <c r="N118" i="97" s="1"/>
  <c r="AF120" i="97"/>
  <c r="F120" i="97" s="1"/>
  <c r="AJ121" i="97"/>
  <c r="AN122" i="97"/>
  <c r="AF124" i="97"/>
  <c r="AJ125" i="97"/>
  <c r="J125" i="97" s="1"/>
  <c r="AI66" i="97"/>
  <c r="AM115" i="97"/>
  <c r="AH48" i="97"/>
  <c r="AL115" i="97"/>
  <c r="AG48" i="97"/>
  <c r="AJ7" i="97"/>
  <c r="J7" i="97" s="1"/>
  <c r="AN9" i="97"/>
  <c r="AF11" i="97"/>
  <c r="AJ12" i="97"/>
  <c r="AN13" i="97"/>
  <c r="N13" i="97" s="1"/>
  <c r="AF16" i="97"/>
  <c r="AJ17" i="97"/>
  <c r="J17" i="97" s="1"/>
  <c r="AN18" i="97"/>
  <c r="N18" i="97" s="1"/>
  <c r="AF20" i="97"/>
  <c r="AJ21" i="97"/>
  <c r="J21" i="97" s="1"/>
  <c r="AN22" i="97"/>
  <c r="AF25" i="97"/>
  <c r="F25" i="97" s="1"/>
  <c r="AJ27" i="97"/>
  <c r="AJ26" i="97" s="1"/>
  <c r="AN28" i="97"/>
  <c r="N28" i="97" s="1"/>
  <c r="AF31" i="97"/>
  <c r="F31" i="97" s="1"/>
  <c r="AJ32" i="97"/>
  <c r="J32" i="97" s="1"/>
  <c r="AN33" i="97"/>
  <c r="N33" i="97" s="1"/>
  <c r="AF35" i="97"/>
  <c r="AJ38" i="97"/>
  <c r="AN39" i="97"/>
  <c r="N39" i="97" s="1"/>
  <c r="AF41" i="97"/>
  <c r="F41" i="97" s="1"/>
  <c r="AJ42" i="97"/>
  <c r="AN43" i="97"/>
  <c r="N43" i="97" s="1"/>
  <c r="AF47" i="97"/>
  <c r="AJ49" i="97"/>
  <c r="AJ48" i="97" s="1"/>
  <c r="AN50" i="97"/>
  <c r="AF53" i="97"/>
  <c r="F53" i="97" s="1"/>
  <c r="AJ56" i="97"/>
  <c r="AN58" i="97"/>
  <c r="AN57" i="97" s="1"/>
  <c r="AF60" i="97"/>
  <c r="F60" i="97" s="1"/>
  <c r="AJ61" i="97"/>
  <c r="J61" i="97" s="1"/>
  <c r="AN62" i="97"/>
  <c r="N62" i="97" s="1"/>
  <c r="AF65" i="97"/>
  <c r="AJ67" i="97"/>
  <c r="AJ66" i="97" s="1"/>
  <c r="AN68" i="97"/>
  <c r="AF71" i="97"/>
  <c r="F71" i="97" s="1"/>
  <c r="AJ72" i="97"/>
  <c r="J72" i="97" s="1"/>
  <c r="AN73" i="97"/>
  <c r="N73" i="97" s="1"/>
  <c r="AF75" i="97"/>
  <c r="F75" i="97" s="1"/>
  <c r="AJ77" i="97"/>
  <c r="J77" i="97" s="1"/>
  <c r="AN78" i="97"/>
  <c r="AF80" i="97"/>
  <c r="F80" i="97" s="1"/>
  <c r="AJ84" i="97"/>
  <c r="AN85" i="97"/>
  <c r="N85" i="97" s="1"/>
  <c r="AF87" i="97"/>
  <c r="F87" i="97" s="1"/>
  <c r="AJ88" i="97"/>
  <c r="J88" i="97" s="1"/>
  <c r="AN89" i="97"/>
  <c r="N89" i="97" s="1"/>
  <c r="AF91" i="97"/>
  <c r="F91" i="97" s="1"/>
  <c r="AJ92" i="97"/>
  <c r="J92" i="97" s="1"/>
  <c r="AN93" i="97"/>
  <c r="AF95" i="97"/>
  <c r="AJ96" i="97"/>
  <c r="J96" i="97" s="1"/>
  <c r="AN97" i="97"/>
  <c r="AF100" i="97"/>
  <c r="AJ101" i="97"/>
  <c r="AN102" i="97"/>
  <c r="N102" i="97" s="1"/>
  <c r="AF104" i="97"/>
  <c r="F104" i="97" s="1"/>
  <c r="AJ105" i="97"/>
  <c r="J105" i="97" s="1"/>
  <c r="AN106" i="97"/>
  <c r="N106" i="97" s="1"/>
  <c r="AF108" i="97"/>
  <c r="F108" i="97" s="1"/>
  <c r="AJ109" i="97"/>
  <c r="J109" i="97" s="1"/>
  <c r="AN110" i="97"/>
  <c r="N110" i="97" s="1"/>
  <c r="AF112" i="97"/>
  <c r="F112" i="97" s="1"/>
  <c r="AJ113" i="97"/>
  <c r="J113" i="97" s="1"/>
  <c r="AN116" i="97"/>
  <c r="AN115" i="97" s="1"/>
  <c r="AF118" i="97"/>
  <c r="F118" i="97" s="1"/>
  <c r="AJ119" i="97"/>
  <c r="J119" i="97" s="1"/>
  <c r="AN120" i="97"/>
  <c r="N120" i="97" s="1"/>
  <c r="AF122" i="97"/>
  <c r="F122" i="97" s="1"/>
  <c r="AJ123" i="97"/>
  <c r="AN124" i="97"/>
  <c r="N124" i="97" s="1"/>
  <c r="AF127" i="97"/>
  <c r="AF126" i="97" s="1"/>
  <c r="AO9" i="97"/>
  <c r="AG11" i="97"/>
  <c r="AK12" i="97"/>
  <c r="K12" i="97" s="1"/>
  <c r="AO13" i="97"/>
  <c r="O13" i="97" s="1"/>
  <c r="AG16" i="97"/>
  <c r="G16" i="97" s="1"/>
  <c r="AK17" i="97"/>
  <c r="K17" i="97" s="1"/>
  <c r="AO18" i="97"/>
  <c r="O18" i="97" s="1"/>
  <c r="AG20" i="97"/>
  <c r="G20" i="97" s="1"/>
  <c r="AK21" i="97"/>
  <c r="AO22" i="97"/>
  <c r="O22" i="97" s="1"/>
  <c r="AG25" i="97"/>
  <c r="G25" i="97" s="1"/>
  <c r="AK27" i="97"/>
  <c r="AO28" i="97"/>
  <c r="AG31" i="97"/>
  <c r="AK32" i="97"/>
  <c r="K32" i="97" s="1"/>
  <c r="AO33" i="97"/>
  <c r="AG35" i="97"/>
  <c r="AK38" i="97"/>
  <c r="AO39" i="97"/>
  <c r="AG41" i="97"/>
  <c r="AG37" i="97" s="1"/>
  <c r="AK42" i="97"/>
  <c r="K42" i="97" s="1"/>
  <c r="AO43" i="97"/>
  <c r="O43" i="97" s="1"/>
  <c r="AG47" i="97"/>
  <c r="G47" i="97" s="1"/>
  <c r="AK49" i="97"/>
  <c r="AK48" i="97" s="1"/>
  <c r="AO50" i="97"/>
  <c r="O50" i="97" s="1"/>
  <c r="AG53" i="97"/>
  <c r="G53" i="97" s="1"/>
  <c r="AK56" i="97"/>
  <c r="AK55" i="97" s="1"/>
  <c r="AO58" i="97"/>
  <c r="AO57" i="97" s="1"/>
  <c r="AG60" i="97"/>
  <c r="AK61" i="97"/>
  <c r="K61" i="97" s="1"/>
  <c r="AO62" i="97"/>
  <c r="O62" i="97" s="1"/>
  <c r="AG65" i="97"/>
  <c r="AK67" i="97"/>
  <c r="AK66" i="97" s="1"/>
  <c r="AO68" i="97"/>
  <c r="O68" i="97" s="1"/>
  <c r="AG71" i="97"/>
  <c r="AK72" i="97"/>
  <c r="K72" i="97" s="1"/>
  <c r="AO73" i="97"/>
  <c r="O73" i="97" s="1"/>
  <c r="AG75" i="97"/>
  <c r="G75" i="97" s="1"/>
  <c r="AK77" i="97"/>
  <c r="K77" i="97" s="1"/>
  <c r="AO78" i="97"/>
  <c r="O78" i="97" s="1"/>
  <c r="AG80" i="97"/>
  <c r="AK84" i="97"/>
  <c r="K84" i="97" s="1"/>
  <c r="AO85" i="97"/>
  <c r="O85" i="97" s="1"/>
  <c r="AG87" i="97"/>
  <c r="G87" i="97" s="1"/>
  <c r="AK88" i="97"/>
  <c r="AO89" i="97"/>
  <c r="AG91" i="97"/>
  <c r="AK92" i="97"/>
  <c r="K92" i="97" s="1"/>
  <c r="AO93" i="97"/>
  <c r="O93" i="97" s="1"/>
  <c r="AG95" i="97"/>
  <c r="AK96" i="97"/>
  <c r="K96" i="97" s="1"/>
  <c r="AO97" i="97"/>
  <c r="O97" i="97" s="1"/>
  <c r="AG100" i="97"/>
  <c r="AK101" i="97"/>
  <c r="K101" i="97" s="1"/>
  <c r="AO102" i="97"/>
  <c r="AG104" i="97"/>
  <c r="G104" i="97" s="1"/>
  <c r="AK105" i="97"/>
  <c r="AO106" i="97"/>
  <c r="O106" i="97" s="1"/>
  <c r="AG108" i="97"/>
  <c r="G108" i="97" s="1"/>
  <c r="AK109" i="97"/>
  <c r="AO110" i="97"/>
  <c r="AG112" i="97"/>
  <c r="G112" i="97" s="1"/>
  <c r="AK113" i="97"/>
  <c r="K113" i="97" s="1"/>
  <c r="AO116" i="97"/>
  <c r="AO115" i="97" s="1"/>
  <c r="AG118" i="97"/>
  <c r="G118" i="97" s="1"/>
  <c r="AK119" i="97"/>
  <c r="K119" i="97" s="1"/>
  <c r="AO120" i="97"/>
  <c r="O120" i="97" s="1"/>
  <c r="AG122" i="97"/>
  <c r="G122" i="97" s="1"/>
  <c r="AK123" i="97"/>
  <c r="AO124" i="97"/>
  <c r="O124" i="97" s="1"/>
  <c r="AO51" i="97"/>
  <c r="AK7" i="97"/>
  <c r="AL26" i="97"/>
  <c r="AM26" i="97"/>
  <c r="AE45" i="97"/>
  <c r="AE51" i="97"/>
  <c r="AN7" i="97"/>
  <c r="N7" i="97" s="1"/>
  <c r="AJ11" i="97"/>
  <c r="AN12" i="97"/>
  <c r="N12" i="97" s="1"/>
  <c r="AF14" i="97"/>
  <c r="AJ16" i="97"/>
  <c r="AN17" i="97"/>
  <c r="N17" i="97" s="1"/>
  <c r="AF19" i="97"/>
  <c r="F19" i="97" s="1"/>
  <c r="AJ20" i="97"/>
  <c r="AN21" i="97"/>
  <c r="AF24" i="97"/>
  <c r="AJ25" i="97"/>
  <c r="AJ23" i="97" s="1"/>
  <c r="AN27" i="97"/>
  <c r="AF29" i="97"/>
  <c r="F29" i="97" s="1"/>
  <c r="AJ31" i="97"/>
  <c r="J31" i="97" s="1"/>
  <c r="AN32" i="97"/>
  <c r="AF34" i="97"/>
  <c r="F34" i="97" s="1"/>
  <c r="AJ35" i="97"/>
  <c r="J35" i="97" s="1"/>
  <c r="AN38" i="97"/>
  <c r="AF40" i="97"/>
  <c r="F40" i="97" s="1"/>
  <c r="AJ41" i="97"/>
  <c r="AN42" i="97"/>
  <c r="N42" i="97" s="1"/>
  <c r="AF46" i="97"/>
  <c r="AJ47" i="97"/>
  <c r="AJ45" i="97" s="1"/>
  <c r="AN49" i="97"/>
  <c r="AF52" i="97"/>
  <c r="AJ53" i="97"/>
  <c r="AJ51" i="97" s="1"/>
  <c r="AN56" i="97"/>
  <c r="N56" i="97" s="1"/>
  <c r="AF59" i="97"/>
  <c r="AF57" i="97" s="1"/>
  <c r="AF55" i="97" s="1"/>
  <c r="AF54" i="97" s="1"/>
  <c r="AJ60" i="97"/>
  <c r="AN61" i="97"/>
  <c r="N61" i="97" s="1"/>
  <c r="AF64" i="97"/>
  <c r="F64" i="97" s="1"/>
  <c r="AJ65" i="97"/>
  <c r="AN67" i="97"/>
  <c r="AF70" i="97"/>
  <c r="AJ71" i="97"/>
  <c r="J71" i="97" s="1"/>
  <c r="AN72" i="97"/>
  <c r="N72" i="97" s="1"/>
  <c r="AF74" i="97"/>
  <c r="F74" i="97" s="1"/>
  <c r="AJ75" i="97"/>
  <c r="J75" i="97" s="1"/>
  <c r="AN77" i="97"/>
  <c r="N77" i="97" s="1"/>
  <c r="AF79" i="97"/>
  <c r="AJ80" i="97"/>
  <c r="AN84" i="97"/>
  <c r="AF86" i="97"/>
  <c r="F86" i="97" s="1"/>
  <c r="AJ87" i="97"/>
  <c r="AN88" i="97"/>
  <c r="N88" i="97" s="1"/>
  <c r="AF90" i="97"/>
  <c r="F90" i="97" s="1"/>
  <c r="AJ91" i="97"/>
  <c r="J91" i="97" s="1"/>
  <c r="AN92" i="97"/>
  <c r="N92" i="97" s="1"/>
  <c r="AF94" i="97"/>
  <c r="F94" i="97" s="1"/>
  <c r="AJ95" i="97"/>
  <c r="J95" i="97" s="1"/>
  <c r="AN96" i="97"/>
  <c r="N96" i="97" s="1"/>
  <c r="AF98" i="97"/>
  <c r="F98" i="97" s="1"/>
  <c r="AJ100" i="97"/>
  <c r="J100" i="97" s="1"/>
  <c r="AN101" i="97"/>
  <c r="N101" i="97" s="1"/>
  <c r="AF103" i="97"/>
  <c r="F103" i="97" s="1"/>
  <c r="AJ104" i="97"/>
  <c r="J104" i="97" s="1"/>
  <c r="AN105" i="97"/>
  <c r="AF107" i="97"/>
  <c r="F107" i="97" s="1"/>
  <c r="AJ108" i="97"/>
  <c r="J108" i="97" s="1"/>
  <c r="AN109" i="97"/>
  <c r="N109" i="97" s="1"/>
  <c r="AF111" i="97"/>
  <c r="F111" i="97" s="1"/>
  <c r="AJ112" i="97"/>
  <c r="J112" i="97" s="1"/>
  <c r="AN113" i="97"/>
  <c r="N113" i="97" s="1"/>
  <c r="AF117" i="97"/>
  <c r="F117" i="97" s="1"/>
  <c r="AJ118" i="97"/>
  <c r="J118" i="97" s="1"/>
  <c r="AN119" i="97"/>
  <c r="N119" i="97" s="1"/>
  <c r="AF121" i="97"/>
  <c r="F121" i="97" s="1"/>
  <c r="AJ122" i="97"/>
  <c r="J122" i="97" s="1"/>
  <c r="AN123" i="97"/>
  <c r="N123" i="97" s="1"/>
  <c r="AH26" i="97"/>
  <c r="AF10" i="97"/>
  <c r="F10" i="97" s="1"/>
  <c r="AH57" i="97"/>
  <c r="AH55" i="97" s="1"/>
  <c r="AH54" i="97" s="1"/>
  <c r="AM23" i="97"/>
  <c r="AM45" i="97"/>
  <c r="AO63" i="97"/>
  <c r="AM15" i="97"/>
  <c r="AN45" i="97"/>
  <c r="AN51" i="97"/>
  <c r="AJ57" i="97"/>
  <c r="AD59" i="97"/>
  <c r="D59" i="97" s="1"/>
  <c r="H60" i="97"/>
  <c r="AD64" i="97"/>
  <c r="D64" i="97" s="1"/>
  <c r="AD79" i="97"/>
  <c r="D79" i="97" s="1"/>
  <c r="H100" i="97"/>
  <c r="AD103" i="97"/>
  <c r="D103" i="97" s="1"/>
  <c r="L105" i="97"/>
  <c r="AD107" i="97"/>
  <c r="D107" i="97" s="1"/>
  <c r="L109" i="97"/>
  <c r="AD111" i="97"/>
  <c r="D111" i="97" s="1"/>
  <c r="H112" i="97"/>
  <c r="AD117" i="97"/>
  <c r="D117" i="97" s="1"/>
  <c r="AD121" i="97"/>
  <c r="D121" i="97" s="1"/>
  <c r="L123" i="97"/>
  <c r="AD125" i="97"/>
  <c r="D125" i="97" s="1"/>
  <c r="O109" i="97"/>
  <c r="K75" i="97"/>
  <c r="G94" i="97"/>
  <c r="G74" i="97"/>
  <c r="O96" i="97"/>
  <c r="E120" i="97"/>
  <c r="H50" i="97"/>
  <c r="H58" i="97"/>
  <c r="L59" i="97"/>
  <c r="AD61" i="97"/>
  <c r="D61" i="97" s="1"/>
  <c r="H62" i="97"/>
  <c r="AD67" i="97"/>
  <c r="D67" i="97" s="1"/>
  <c r="L74" i="97"/>
  <c r="AD77" i="97"/>
  <c r="D77" i="97" s="1"/>
  <c r="H78" i="97"/>
  <c r="AD84" i="97"/>
  <c r="D84" i="97" s="1"/>
  <c r="H85" i="97"/>
  <c r="AD96" i="97"/>
  <c r="D96" i="97" s="1"/>
  <c r="AD101" i="97"/>
  <c r="D101" i="97" s="1"/>
  <c r="H102" i="97"/>
  <c r="L103" i="97"/>
  <c r="AD105" i="97"/>
  <c r="D105" i="97" s="1"/>
  <c r="AD109" i="97"/>
  <c r="D109" i="97" s="1"/>
  <c r="H110" i="97"/>
  <c r="AD113" i="97"/>
  <c r="D113" i="97" s="1"/>
  <c r="L117" i="97"/>
  <c r="AD119" i="97"/>
  <c r="D119" i="97" s="1"/>
  <c r="H120" i="97"/>
  <c r="AD123" i="97"/>
  <c r="D123" i="97" s="1"/>
  <c r="L125" i="97"/>
  <c r="L75" i="97"/>
  <c r="AD97" i="97"/>
  <c r="D97" i="97" s="1"/>
  <c r="I84" i="97"/>
  <c r="I92" i="97"/>
  <c r="I109" i="97"/>
  <c r="I97" i="97"/>
  <c r="H56" i="97"/>
  <c r="AD71" i="97"/>
  <c r="D71" i="97" s="1"/>
  <c r="L89" i="97"/>
  <c r="AD108" i="97"/>
  <c r="D108" i="97" s="1"/>
  <c r="I12" i="97"/>
  <c r="E47" i="97"/>
  <c r="I56" i="97"/>
  <c r="E71" i="97"/>
  <c r="I72" i="97"/>
  <c r="M73" i="97"/>
  <c r="E75" i="97"/>
  <c r="I77" i="97"/>
  <c r="E87" i="97"/>
  <c r="I88" i="97"/>
  <c r="M89" i="97"/>
  <c r="E91" i="97"/>
  <c r="E95" i="97"/>
  <c r="I96" i="97"/>
  <c r="I105" i="97"/>
  <c r="E108" i="97"/>
  <c r="M116" i="97"/>
  <c r="E118" i="97"/>
  <c r="E122" i="97"/>
  <c r="E11" i="97"/>
  <c r="F11" i="97"/>
  <c r="J12" i="97"/>
  <c r="F47" i="97"/>
  <c r="N93" i="97"/>
  <c r="N97" i="97"/>
  <c r="E25" i="97"/>
  <c r="I38" i="97"/>
  <c r="I42" i="97"/>
  <c r="M87" i="97"/>
  <c r="E97" i="97"/>
  <c r="K21" i="97"/>
  <c r="G35" i="97"/>
  <c r="K38" i="97"/>
  <c r="O39" i="97"/>
  <c r="K88" i="97"/>
  <c r="O89" i="97"/>
  <c r="G95" i="97"/>
  <c r="K105" i="97"/>
  <c r="K109" i="97"/>
  <c r="K123" i="97"/>
  <c r="J38" i="97"/>
  <c r="G11" i="97"/>
  <c r="AD70" i="97"/>
  <c r="D70" i="97" s="1"/>
  <c r="L72" i="97"/>
  <c r="AD86" i="97"/>
  <c r="D86" i="97" s="1"/>
  <c r="E50" i="97"/>
  <c r="AD49" i="97"/>
  <c r="D49" i="97" s="1"/>
  <c r="L79" i="97"/>
  <c r="L86" i="97"/>
  <c r="L111" i="97"/>
  <c r="H116" i="97"/>
  <c r="L121" i="97"/>
  <c r="H124" i="97"/>
  <c r="AD127" i="97"/>
  <c r="D127" i="97" s="1"/>
  <c r="O9" i="97"/>
  <c r="L64" i="97"/>
  <c r="AD52" i="97"/>
  <c r="D52" i="97" s="1"/>
  <c r="AD56" i="97"/>
  <c r="D56" i="97" s="1"/>
  <c r="AD72" i="97"/>
  <c r="D72" i="97" s="1"/>
  <c r="H73" i="97"/>
  <c r="AD88" i="97"/>
  <c r="D88" i="97" s="1"/>
  <c r="H89" i="97"/>
  <c r="L90" i="97"/>
  <c r="AD92" i="97"/>
  <c r="D92" i="97" s="1"/>
  <c r="H93" i="97"/>
  <c r="L94" i="97"/>
  <c r="H97" i="97"/>
  <c r="L98" i="97"/>
  <c r="AD100" i="97"/>
  <c r="D100" i="97" s="1"/>
  <c r="AD124" i="97"/>
  <c r="D124" i="97" s="1"/>
  <c r="E20" i="97"/>
  <c r="I21" i="97"/>
  <c r="M50" i="97"/>
  <c r="E60" i="97"/>
  <c r="M62" i="97"/>
  <c r="E100" i="97"/>
  <c r="I101" i="97"/>
  <c r="M102" i="97"/>
  <c r="M106" i="97"/>
  <c r="E112" i="97"/>
  <c r="O58" i="97"/>
  <c r="G80" i="97"/>
  <c r="G100" i="97"/>
  <c r="O110" i="97"/>
  <c r="H18" i="97"/>
  <c r="L19" i="97"/>
  <c r="AD21" i="97"/>
  <c r="D21" i="97" s="1"/>
  <c r="AD27" i="97"/>
  <c r="D27" i="97" s="1"/>
  <c r="H28" i="97"/>
  <c r="L29" i="97"/>
  <c r="L52" i="97"/>
  <c r="H67" i="97"/>
  <c r="AD74" i="97"/>
  <c r="D74" i="97" s="1"/>
  <c r="L88" i="97"/>
  <c r="AD90" i="97"/>
  <c r="D90" i="97" s="1"/>
  <c r="AD94" i="97"/>
  <c r="D94" i="97" s="1"/>
  <c r="AD98" i="97"/>
  <c r="D98" i="97" s="1"/>
  <c r="AD110" i="97"/>
  <c r="D110" i="97" s="1"/>
  <c r="I27" i="97"/>
  <c r="M28" i="97"/>
  <c r="I67" i="97"/>
  <c r="I75" i="97"/>
  <c r="E110" i="97"/>
  <c r="I119" i="97"/>
  <c r="M120" i="97"/>
  <c r="I123" i="97"/>
  <c r="J67" i="97"/>
  <c r="J123" i="97"/>
  <c r="O28" i="97"/>
  <c r="K67" i="97"/>
  <c r="G78" i="97"/>
  <c r="K79" i="97"/>
  <c r="O80" i="97"/>
  <c r="O100" i="97"/>
  <c r="G102" i="97"/>
  <c r="K103" i="97"/>
  <c r="O104" i="97"/>
  <c r="G106" i="97"/>
  <c r="K107" i="97"/>
  <c r="O108" i="97"/>
  <c r="G110" i="97"/>
  <c r="K117" i="97"/>
  <c r="O118" i="97"/>
  <c r="G120" i="97"/>
  <c r="K121" i="97"/>
  <c r="O122" i="97"/>
  <c r="G124" i="97"/>
  <c r="K125" i="97"/>
  <c r="G85" i="97"/>
  <c r="G93" i="97"/>
  <c r="G97" i="97"/>
  <c r="G73" i="97"/>
  <c r="O75" i="97"/>
  <c r="O87" i="97"/>
  <c r="O91" i="97"/>
  <c r="O95" i="97"/>
  <c r="L34" i="97"/>
  <c r="AD38" i="97"/>
  <c r="D38" i="97" s="1"/>
  <c r="L40" i="97"/>
  <c r="H43" i="97"/>
  <c r="K74" i="97"/>
  <c r="K86" i="97"/>
  <c r="K90" i="97"/>
  <c r="K94" i="97"/>
  <c r="K98" i="97"/>
  <c r="AD32" i="97"/>
  <c r="D32" i="97" s="1"/>
  <c r="H33" i="97"/>
  <c r="H39" i="97"/>
  <c r="AD42" i="97"/>
  <c r="D42" i="97" s="1"/>
  <c r="L46" i="97"/>
  <c r="I121" i="97"/>
  <c r="E85" i="97"/>
  <c r="I86" i="97"/>
  <c r="E89" i="97"/>
  <c r="M91" i="97"/>
  <c r="I94" i="97"/>
  <c r="I98" i="97"/>
  <c r="M100" i="97"/>
  <c r="I103" i="97"/>
  <c r="M108" i="97"/>
  <c r="O117" i="97"/>
  <c r="O125" i="97"/>
  <c r="K116" i="97"/>
  <c r="G123" i="97"/>
  <c r="G113" i="97"/>
  <c r="G119" i="97"/>
  <c r="K124" i="97"/>
  <c r="O111" i="97"/>
  <c r="K120" i="97"/>
  <c r="AD10" i="97"/>
  <c r="D10" i="97" s="1"/>
  <c r="H11" i="97"/>
  <c r="AD14" i="97"/>
  <c r="D14" i="97" s="1"/>
  <c r="AD19" i="97"/>
  <c r="D19" i="97" s="1"/>
  <c r="L21" i="97"/>
  <c r="AD24" i="97"/>
  <c r="L27" i="97"/>
  <c r="AD29" i="97"/>
  <c r="D29" i="97" s="1"/>
  <c r="H31" i="97"/>
  <c r="L32" i="97"/>
  <c r="AD34" i="97"/>
  <c r="D34" i="97" s="1"/>
  <c r="H35" i="97"/>
  <c r="AD40" i="97"/>
  <c r="D40" i="97" s="1"/>
  <c r="H41" i="97"/>
  <c r="AD46" i="97"/>
  <c r="D46" i="97" s="1"/>
  <c r="H47" i="97"/>
  <c r="G61" i="97"/>
  <c r="O70" i="97"/>
  <c r="K78" i="97"/>
  <c r="O86" i="97"/>
  <c r="G96" i="97"/>
  <c r="O121" i="97"/>
  <c r="O64" i="97"/>
  <c r="K73" i="97"/>
  <c r="K85" i="97"/>
  <c r="K89" i="97"/>
  <c r="G92" i="97"/>
  <c r="O98" i="97"/>
  <c r="K102" i="97"/>
  <c r="K106" i="97"/>
  <c r="G56" i="97"/>
  <c r="K62" i="97"/>
  <c r="G72" i="97"/>
  <c r="G84" i="97"/>
  <c r="O90" i="97"/>
  <c r="O94" i="97"/>
  <c r="O107" i="97"/>
  <c r="G67" i="97"/>
  <c r="G105" i="97"/>
  <c r="K58" i="97"/>
  <c r="G77" i="97"/>
  <c r="K93" i="97"/>
  <c r="O59" i="97"/>
  <c r="O103" i="97"/>
  <c r="O52" i="97"/>
  <c r="K68" i="97"/>
  <c r="O79" i="97"/>
  <c r="G88" i="97"/>
  <c r="K97" i="97"/>
  <c r="K110" i="97"/>
  <c r="O74" i="97"/>
  <c r="G101" i="97"/>
  <c r="G109" i="97"/>
  <c r="G41" i="97"/>
  <c r="N78" i="97"/>
  <c r="N68" i="97"/>
  <c r="F95" i="97"/>
  <c r="E49" i="97"/>
  <c r="I50" i="97"/>
  <c r="M52" i="97"/>
  <c r="E56" i="97"/>
  <c r="I58" i="97"/>
  <c r="M59" i="97"/>
  <c r="E61" i="97"/>
  <c r="I62" i="97"/>
  <c r="M64" i="97"/>
  <c r="E67" i="97"/>
  <c r="I68" i="97"/>
  <c r="M70" i="97"/>
  <c r="E72" i="97"/>
  <c r="I73" i="97"/>
  <c r="M74" i="97"/>
  <c r="E77" i="97"/>
  <c r="I78" i="97"/>
  <c r="M79" i="97"/>
  <c r="E84" i="97"/>
  <c r="I85" i="97"/>
  <c r="M86" i="97"/>
  <c r="E88" i="97"/>
  <c r="I89" i="97"/>
  <c r="M90" i="97"/>
  <c r="E92" i="97"/>
  <c r="I93" i="97"/>
  <c r="M94" i="97"/>
  <c r="E96" i="97"/>
  <c r="M98" i="97"/>
  <c r="E101" i="97"/>
  <c r="I102" i="97"/>
  <c r="M103" i="97"/>
  <c r="E105" i="97"/>
  <c r="I106" i="97"/>
  <c r="M107" i="97"/>
  <c r="E109" i="97"/>
  <c r="I110" i="97"/>
  <c r="M111" i="97"/>
  <c r="E113" i="97"/>
  <c r="I116" i="97"/>
  <c r="M117" i="97"/>
  <c r="E119" i="97"/>
  <c r="I120" i="97"/>
  <c r="M121" i="97"/>
  <c r="E123" i="97"/>
  <c r="I124" i="97"/>
  <c r="M125" i="97"/>
  <c r="F72" i="97"/>
  <c r="F77" i="97"/>
  <c r="N86" i="97"/>
  <c r="F88" i="97"/>
  <c r="J89" i="97"/>
  <c r="N90" i="97"/>
  <c r="F92" i="97"/>
  <c r="J93" i="97"/>
  <c r="N94" i="97"/>
  <c r="F96" i="97"/>
  <c r="J97" i="97"/>
  <c r="N98" i="97"/>
  <c r="F101" i="97"/>
  <c r="J102" i="97"/>
  <c r="N103" i="97"/>
  <c r="F105" i="97"/>
  <c r="J106" i="97"/>
  <c r="N107" i="97"/>
  <c r="F109" i="97"/>
  <c r="J110" i="97"/>
  <c r="N111" i="97"/>
  <c r="F113" i="97"/>
  <c r="J116" i="97"/>
  <c r="N117" i="97"/>
  <c r="F119" i="97"/>
  <c r="J120" i="97"/>
  <c r="N121" i="97"/>
  <c r="F123" i="97"/>
  <c r="J124" i="97"/>
  <c r="N125" i="97"/>
  <c r="J85" i="97"/>
  <c r="J73" i="97"/>
  <c r="K27" i="97"/>
  <c r="J78" i="97"/>
  <c r="G49" i="97"/>
  <c r="K7" i="97"/>
  <c r="N79" i="97"/>
  <c r="F84" i="97"/>
  <c r="K50" i="97"/>
  <c r="E52" i="97"/>
  <c r="M56" i="97"/>
  <c r="AD53" i="97"/>
  <c r="D53" i="97" s="1"/>
  <c r="AD65" i="97"/>
  <c r="D65" i="97" s="1"/>
  <c r="L73" i="97"/>
  <c r="L85" i="97"/>
  <c r="L97" i="97"/>
  <c r="H113" i="97"/>
  <c r="M18" i="97"/>
  <c r="M22" i="97"/>
  <c r="E31" i="97"/>
  <c r="I32" i="97"/>
  <c r="M33" i="97"/>
  <c r="E35" i="97"/>
  <c r="M39" i="97"/>
  <c r="E41" i="97"/>
  <c r="M43" i="97"/>
  <c r="I49" i="97"/>
  <c r="E53" i="97"/>
  <c r="M58" i="97"/>
  <c r="I61" i="97"/>
  <c r="E65" i="97"/>
  <c r="M68" i="97"/>
  <c r="M78" i="97"/>
  <c r="E80" i="97"/>
  <c r="M85" i="97"/>
  <c r="M93" i="97"/>
  <c r="M97" i="97"/>
  <c r="E104" i="97"/>
  <c r="M110" i="97"/>
  <c r="I113" i="97"/>
  <c r="M124" i="97"/>
  <c r="H61" i="97"/>
  <c r="L93" i="97"/>
  <c r="I80" i="97"/>
  <c r="E103" i="97"/>
  <c r="F79" i="97"/>
  <c r="G52" i="97"/>
  <c r="O56" i="97"/>
  <c r="K65" i="97"/>
  <c r="O67" i="97"/>
  <c r="K71" i="97"/>
  <c r="K80" i="97"/>
  <c r="O92" i="97"/>
  <c r="G98" i="97"/>
  <c r="K100" i="97"/>
  <c r="O101" i="97"/>
  <c r="O105" i="97"/>
  <c r="K108" i="97"/>
  <c r="G117" i="97"/>
  <c r="G121" i="97"/>
  <c r="O123" i="97"/>
  <c r="G125" i="97"/>
  <c r="M49" i="97"/>
  <c r="I60" i="97"/>
  <c r="E70" i="97"/>
  <c r="M77" i="97"/>
  <c r="I87" i="97"/>
  <c r="I95" i="97"/>
  <c r="E98" i="97"/>
  <c r="M105" i="97"/>
  <c r="E125" i="97"/>
  <c r="J20" i="97"/>
  <c r="J41" i="97"/>
  <c r="N49" i="97"/>
  <c r="F59" i="97"/>
  <c r="N67" i="97"/>
  <c r="J80" i="97"/>
  <c r="J87" i="97"/>
  <c r="AD106" i="97"/>
  <c r="D106" i="97" s="1"/>
  <c r="AD120" i="97"/>
  <c r="D120" i="97" s="1"/>
  <c r="M67" i="97"/>
  <c r="I71" i="97"/>
  <c r="M88" i="97"/>
  <c r="M96" i="97"/>
  <c r="I104" i="97"/>
  <c r="F52" i="97"/>
  <c r="N105" i="97"/>
  <c r="F125" i="97"/>
  <c r="AD50" i="97"/>
  <c r="D50" i="97" s="1"/>
  <c r="H111" i="97"/>
  <c r="H125" i="97"/>
  <c r="I52" i="97"/>
  <c r="E58" i="97"/>
  <c r="E68" i="97"/>
  <c r="I70" i="97"/>
  <c r="F50" i="97"/>
  <c r="N71" i="97"/>
  <c r="N80" i="97"/>
  <c r="F97" i="97"/>
  <c r="F106" i="97"/>
  <c r="E59" i="97"/>
  <c r="E121" i="97"/>
  <c r="J53" i="97"/>
  <c r="E79" i="97"/>
  <c r="M101" i="97"/>
  <c r="J60" i="97"/>
  <c r="N84" i="97"/>
  <c r="E94" i="97"/>
  <c r="N21" i="97"/>
  <c r="BT127" i="97"/>
  <c r="BU127" i="97" s="1"/>
  <c r="BV127" i="97" s="1"/>
  <c r="BW127" i="97" s="1"/>
  <c r="BX127" i="97" s="1"/>
  <c r="BY127" i="97" s="1"/>
  <c r="BZ127" i="97" s="1"/>
  <c r="CA127" i="97" s="1"/>
  <c r="CB127" i="97" s="1"/>
  <c r="L58" i="97"/>
  <c r="AD87" i="97"/>
  <c r="D87" i="97" s="1"/>
  <c r="AD112" i="97"/>
  <c r="D112" i="97" s="1"/>
  <c r="L68" i="97"/>
  <c r="AD75" i="97"/>
  <c r="D75" i="97" s="1"/>
  <c r="L78" i="97"/>
  <c r="H88" i="97"/>
  <c r="H92" i="97"/>
  <c r="AD104" i="97"/>
  <c r="D104" i="97" s="1"/>
  <c r="H109" i="97"/>
  <c r="H119" i="97"/>
  <c r="I7" i="97"/>
  <c r="M9" i="97"/>
  <c r="M13" i="97"/>
  <c r="E16" i="97"/>
  <c r="I17" i="97"/>
  <c r="H49" i="97"/>
  <c r="AD60" i="97"/>
  <c r="D60" i="97" s="1"/>
  <c r="H72" i="97"/>
  <c r="H77" i="97"/>
  <c r="AD80" i="97"/>
  <c r="D80" i="97" s="1"/>
  <c r="AD95" i="97"/>
  <c r="D95" i="97" s="1"/>
  <c r="H101" i="97"/>
  <c r="H105" i="97"/>
  <c r="L110" i="97"/>
  <c r="AD118" i="97"/>
  <c r="D118" i="97" s="1"/>
  <c r="AD122" i="97"/>
  <c r="D122" i="97" s="1"/>
  <c r="L124" i="97"/>
  <c r="N9" i="97"/>
  <c r="F16" i="97"/>
  <c r="F20" i="97"/>
  <c r="F35" i="97"/>
  <c r="J42" i="97"/>
  <c r="L50" i="97"/>
  <c r="L62" i="97"/>
  <c r="H84" i="97"/>
  <c r="AD91" i="97"/>
  <c r="D91" i="97" s="1"/>
  <c r="H96" i="97"/>
  <c r="L102" i="97"/>
  <c r="L106" i="97"/>
  <c r="L116" i="97"/>
  <c r="L120" i="97"/>
  <c r="H123" i="97"/>
  <c r="H7" i="97"/>
  <c r="AD20" i="97"/>
  <c r="D20" i="97" s="1"/>
  <c r="H32" i="97"/>
  <c r="H42" i="97"/>
  <c r="H38" i="97"/>
  <c r="AD58" i="97"/>
  <c r="D58" i="97" s="1"/>
  <c r="H59" i="97"/>
  <c r="L60" i="97"/>
  <c r="AD62" i="97"/>
  <c r="D62" i="97" s="1"/>
  <c r="H64" i="97"/>
  <c r="AD68" i="97"/>
  <c r="D68" i="97" s="1"/>
  <c r="L71" i="97"/>
  <c r="AD73" i="97"/>
  <c r="D73" i="97" s="1"/>
  <c r="H74" i="97"/>
  <c r="AD78" i="97"/>
  <c r="D78" i="97" s="1"/>
  <c r="AD85" i="97"/>
  <c r="D85" i="97" s="1"/>
  <c r="H86" i="97"/>
  <c r="L87" i="97"/>
  <c r="AD89" i="97"/>
  <c r="D89" i="97" s="1"/>
  <c r="H90" i="97"/>
  <c r="AD93" i="97"/>
  <c r="D93" i="97" s="1"/>
  <c r="H98" i="97"/>
  <c r="L100" i="97"/>
  <c r="AD102" i="97"/>
  <c r="D102" i="97" s="1"/>
  <c r="H103" i="97"/>
  <c r="L108" i="97"/>
  <c r="AD116" i="97"/>
  <c r="D116" i="97" s="1"/>
  <c r="H121" i="97"/>
  <c r="L122" i="97"/>
  <c r="H12" i="97"/>
  <c r="L18" i="97"/>
  <c r="AD25" i="97"/>
  <c r="D25" i="97" s="1"/>
  <c r="AD31" i="97"/>
  <c r="D31" i="97" s="1"/>
  <c r="AD41" i="97"/>
  <c r="D41" i="97" s="1"/>
  <c r="L33" i="97"/>
  <c r="J52" i="97"/>
  <c r="N53" i="97"/>
  <c r="F58" i="97"/>
  <c r="J59" i="97"/>
  <c r="N60" i="97"/>
  <c r="F62" i="97"/>
  <c r="N65" i="97"/>
  <c r="J74" i="97"/>
  <c r="F78" i="97"/>
  <c r="J86" i="97"/>
  <c r="J90" i="97"/>
  <c r="N100" i="97"/>
  <c r="N108" i="97"/>
  <c r="N112" i="97"/>
  <c r="J121" i="97"/>
  <c r="N122" i="97"/>
  <c r="F124" i="97"/>
  <c r="L9" i="97"/>
  <c r="L13" i="97"/>
  <c r="H27" i="97"/>
  <c r="AD35" i="97"/>
  <c r="D35" i="97" s="1"/>
  <c r="AD47" i="97"/>
  <c r="D47" i="97" s="1"/>
  <c r="G50" i="97"/>
  <c r="K52" i="97"/>
  <c r="O53" i="97"/>
  <c r="G58" i="97"/>
  <c r="K59" i="97"/>
  <c r="K64" i="97"/>
  <c r="O65" i="97"/>
  <c r="G68" i="97"/>
  <c r="K70" i="97"/>
  <c r="O71" i="97"/>
  <c r="L22" i="97"/>
  <c r="M7" i="97"/>
  <c r="E10" i="97"/>
  <c r="M12" i="97"/>
  <c r="M17" i="97"/>
  <c r="E19" i="97"/>
  <c r="I20" i="97"/>
  <c r="M21" i="97"/>
  <c r="M27" i="97"/>
  <c r="E29" i="97"/>
  <c r="I31" i="97"/>
  <c r="I35" i="97"/>
  <c r="M38" i="97"/>
  <c r="E40" i="97"/>
  <c r="E46" i="97"/>
  <c r="I47" i="97"/>
  <c r="H17" i="97"/>
  <c r="AD11" i="97"/>
  <c r="D11" i="97" s="1"/>
  <c r="AD16" i="97"/>
  <c r="D16" i="97" s="1"/>
  <c r="H21" i="97"/>
  <c r="L28" i="97"/>
  <c r="L39" i="97"/>
  <c r="L43" i="97"/>
  <c r="K11" i="97"/>
  <c r="G14" i="97"/>
  <c r="K16" i="97"/>
  <c r="O17" i="97"/>
  <c r="G19" i="97"/>
  <c r="O21" i="97"/>
  <c r="K25" i="97"/>
  <c r="O32" i="97"/>
  <c r="G34" i="97"/>
  <c r="K35" i="97"/>
  <c r="G40" i="97"/>
  <c r="K41" i="97"/>
  <c r="O42" i="97"/>
  <c r="G46" i="97"/>
  <c r="F49" i="97"/>
  <c r="J50" i="97"/>
  <c r="N52" i="97"/>
  <c r="F56" i="97"/>
  <c r="J58" i="97"/>
  <c r="N59" i="97"/>
  <c r="F61" i="97"/>
  <c r="J62" i="97"/>
  <c r="N64" i="97"/>
  <c r="F67" i="97"/>
  <c r="J68" i="97"/>
  <c r="N70" i="97"/>
  <c r="N74" i="97"/>
  <c r="BH127" i="97"/>
  <c r="H40" i="97"/>
  <c r="L16" i="97"/>
  <c r="AD43" i="97"/>
  <c r="D43" i="97" s="1"/>
  <c r="L31" i="97"/>
  <c r="AD9" i="97"/>
  <c r="D9" i="97" s="1"/>
  <c r="AD13" i="97"/>
  <c r="D13" i="97" s="1"/>
  <c r="H19" i="97"/>
  <c r="L25" i="97"/>
  <c r="M10" i="97"/>
  <c r="E17" i="97"/>
  <c r="E27" i="97"/>
  <c r="H14" i="97"/>
  <c r="AD18" i="97"/>
  <c r="D18" i="97" s="1"/>
  <c r="AD22" i="97"/>
  <c r="D22" i="97" s="1"/>
  <c r="AD28" i="97"/>
  <c r="D28" i="97" s="1"/>
  <c r="H29" i="97"/>
  <c r="AD33" i="97"/>
  <c r="D33" i="97" s="1"/>
  <c r="AD39" i="97"/>
  <c r="D39" i="97" s="1"/>
  <c r="L41" i="97"/>
  <c r="H46" i="97"/>
  <c r="E7" i="97"/>
  <c r="I9" i="97"/>
  <c r="E12" i="97"/>
  <c r="I13" i="97"/>
  <c r="M14" i="97"/>
  <c r="I18" i="97"/>
  <c r="M19" i="97"/>
  <c r="E21" i="97"/>
  <c r="I22" i="97"/>
  <c r="I28" i="97"/>
  <c r="M29" i="97"/>
  <c r="E32" i="97"/>
  <c r="I33" i="97"/>
  <c r="M34" i="97"/>
  <c r="E38" i="97"/>
  <c r="I39" i="97"/>
  <c r="M40" i="97"/>
  <c r="E42" i="97"/>
  <c r="I43" i="97"/>
  <c r="M46" i="97"/>
  <c r="I19" i="97"/>
  <c r="E28" i="97"/>
  <c r="I29" i="97"/>
  <c r="E33" i="97"/>
  <c r="E43" i="97"/>
  <c r="M47" i="97"/>
  <c r="J10" i="97"/>
  <c r="J14" i="97"/>
  <c r="F18" i="97"/>
  <c r="J40" i="97"/>
  <c r="E9" i="97"/>
  <c r="M11" i="97"/>
  <c r="E13" i="97"/>
  <c r="I14" i="97"/>
  <c r="M16" i="97"/>
  <c r="E18" i="97"/>
  <c r="M20" i="97"/>
  <c r="E22" i="97"/>
  <c r="M25" i="97"/>
  <c r="I34" i="97"/>
  <c r="I40" i="97"/>
  <c r="M41" i="97"/>
  <c r="I46" i="97"/>
  <c r="F9" i="97"/>
  <c r="N11" i="97"/>
  <c r="F13" i="97"/>
  <c r="N16" i="97"/>
  <c r="J19" i="97"/>
  <c r="N20" i="97"/>
  <c r="F22" i="97"/>
  <c r="N25" i="97"/>
  <c r="F28" i="97"/>
  <c r="J29" i="97"/>
  <c r="N31" i="97"/>
  <c r="F33" i="97"/>
  <c r="J34" i="97"/>
  <c r="N35" i="97"/>
  <c r="F39" i="97"/>
  <c r="N41" i="97"/>
  <c r="F43" i="97"/>
  <c r="J46" i="97"/>
  <c r="N47" i="97"/>
  <c r="AD7" i="97"/>
  <c r="D7" i="97" s="1"/>
  <c r="H9" i="97"/>
  <c r="L10" i="97"/>
  <c r="AD12" i="97"/>
  <c r="D12" i="97" s="1"/>
  <c r="H13" i="97"/>
  <c r="L14" i="97"/>
  <c r="AD17" i="97"/>
  <c r="D17" i="97" s="1"/>
  <c r="G9" i="97"/>
  <c r="K10" i="97"/>
  <c r="O11" i="97"/>
  <c r="G13" i="97"/>
  <c r="K14" i="97"/>
  <c r="O16" i="97"/>
  <c r="G18" i="97"/>
  <c r="K19" i="97"/>
  <c r="O20" i="97"/>
  <c r="G22" i="97"/>
  <c r="O25" i="97"/>
  <c r="G28" i="97"/>
  <c r="G33" i="97"/>
  <c r="K34" i="97"/>
  <c r="O35" i="97"/>
  <c r="G39" i="97"/>
  <c r="K40" i="97"/>
  <c r="O41" i="97"/>
  <c r="G43" i="97"/>
  <c r="K46" i="97"/>
  <c r="O47" i="97"/>
  <c r="F7" i="97"/>
  <c r="J9" i="97"/>
  <c r="N10" i="97"/>
  <c r="F12" i="97"/>
  <c r="J13" i="97"/>
  <c r="N14" i="97"/>
  <c r="F17" i="97"/>
  <c r="J18" i="97"/>
  <c r="N19" i="97"/>
  <c r="F21" i="97"/>
  <c r="J22" i="97"/>
  <c r="F27" i="97"/>
  <c r="J28" i="97"/>
  <c r="N29" i="97"/>
  <c r="F32" i="97"/>
  <c r="J33" i="97"/>
  <c r="N34" i="97"/>
  <c r="F38" i="97"/>
  <c r="J39" i="97"/>
  <c r="N40" i="97"/>
  <c r="F42" i="97"/>
  <c r="J43" i="97"/>
  <c r="N46" i="97"/>
  <c r="G7" i="97"/>
  <c r="K9" i="97"/>
  <c r="O10" i="97"/>
  <c r="G12" i="97"/>
  <c r="K13" i="97"/>
  <c r="O14" i="97"/>
  <c r="G17" i="97"/>
  <c r="K18" i="97"/>
  <c r="O19" i="97"/>
  <c r="G21" i="97"/>
  <c r="K22" i="97"/>
  <c r="G27" i="97"/>
  <c r="K28" i="97"/>
  <c r="O29" i="97"/>
  <c r="G32" i="97"/>
  <c r="K33" i="97"/>
  <c r="O34" i="97"/>
  <c r="G38" i="97"/>
  <c r="K39" i="97"/>
  <c r="O40" i="97"/>
  <c r="G42" i="97"/>
  <c r="K43" i="97"/>
  <c r="O46" i="97"/>
  <c r="AG115" i="97" l="1"/>
  <c r="I74" i="97"/>
  <c r="AL23" i="97"/>
  <c r="CH127" i="97"/>
  <c r="CG126" i="97"/>
  <c r="CG114" i="97" s="1"/>
  <c r="I25" i="97"/>
  <c r="H68" i="97"/>
  <c r="AE37" i="97"/>
  <c r="AI8" i="97"/>
  <c r="K47" i="97"/>
  <c r="AH15" i="97"/>
  <c r="AN30" i="97"/>
  <c r="AF15" i="97"/>
  <c r="H104" i="97"/>
  <c r="AK26" i="97"/>
  <c r="AL55" i="97"/>
  <c r="J47" i="97"/>
  <c r="AK23" i="97"/>
  <c r="AH30" i="97"/>
  <c r="AK30" i="97"/>
  <c r="AH63" i="97"/>
  <c r="AL76" i="97"/>
  <c r="AJ15" i="97"/>
  <c r="AO26" i="97"/>
  <c r="I11" i="97"/>
  <c r="J25" i="97"/>
  <c r="AO99" i="97"/>
  <c r="AG23" i="97"/>
  <c r="AE26" i="97"/>
  <c r="AN66" i="97"/>
  <c r="AG76" i="97"/>
  <c r="AM55" i="97"/>
  <c r="AM54" i="97" s="1"/>
  <c r="L65" i="97"/>
  <c r="AK76" i="97"/>
  <c r="AN55" i="97"/>
  <c r="AN54" i="97" s="1"/>
  <c r="AI51" i="97"/>
  <c r="AM99" i="97"/>
  <c r="AE127" i="97"/>
  <c r="AI45" i="97"/>
  <c r="N116" i="97"/>
  <c r="AE63" i="97"/>
  <c r="AH44" i="97"/>
  <c r="AO15" i="97"/>
  <c r="AE83" i="97"/>
  <c r="AI30" i="97"/>
  <c r="AM30" i="97"/>
  <c r="AL83" i="97"/>
  <c r="AJ115" i="97"/>
  <c r="AN69" i="97"/>
  <c r="AH83" i="97"/>
  <c r="AH82" i="97" s="1"/>
  <c r="O102" i="97"/>
  <c r="AN15" i="97"/>
  <c r="AF26" i="97"/>
  <c r="AM76" i="97"/>
  <c r="AM69" i="97"/>
  <c r="AO76" i="97"/>
  <c r="AM83" i="97"/>
  <c r="AM82" i="97" s="1"/>
  <c r="AL37" i="97"/>
  <c r="N32" i="97"/>
  <c r="L56" i="97"/>
  <c r="AL69" i="97"/>
  <c r="AL30" i="97"/>
  <c r="AG45" i="97"/>
  <c r="AK15" i="97"/>
  <c r="AL48" i="97"/>
  <c r="I79" i="97"/>
  <c r="AJ44" i="97"/>
  <c r="AO66" i="97"/>
  <c r="AL54" i="97"/>
  <c r="K31" i="97"/>
  <c r="H52" i="97"/>
  <c r="AO69" i="97"/>
  <c r="G29" i="97"/>
  <c r="G59" i="97"/>
  <c r="AI63" i="97"/>
  <c r="AM51" i="97"/>
  <c r="AM44" i="97" s="1"/>
  <c r="O27" i="97"/>
  <c r="AF8" i="97"/>
  <c r="AI99" i="97"/>
  <c r="AE8" i="97"/>
  <c r="AL99" i="97"/>
  <c r="F68" i="97"/>
  <c r="H65" i="97"/>
  <c r="AI83" i="97"/>
  <c r="AH69" i="97"/>
  <c r="AE69" i="97"/>
  <c r="AI44" i="97"/>
  <c r="AL51" i="97"/>
  <c r="H117" i="97"/>
  <c r="E90" i="97"/>
  <c r="O77" i="97"/>
  <c r="I117" i="97"/>
  <c r="AJ30" i="97"/>
  <c r="AL15" i="97"/>
  <c r="G79" i="97"/>
  <c r="L77" i="97"/>
  <c r="AI57" i="97"/>
  <c r="AI55" i="97" s="1"/>
  <c r="AI54" i="97" s="1"/>
  <c r="AF69" i="97"/>
  <c r="AN37" i="97"/>
  <c r="AJ8" i="97"/>
  <c r="AI15" i="97"/>
  <c r="AE30" i="97"/>
  <c r="E78" i="97"/>
  <c r="L67" i="97"/>
  <c r="AL8" i="97"/>
  <c r="AH76" i="97"/>
  <c r="AH36" i="97" s="1"/>
  <c r="I100" i="97"/>
  <c r="AK69" i="97"/>
  <c r="AJ63" i="97"/>
  <c r="O72" i="97"/>
  <c r="AM37" i="97"/>
  <c r="AF30" i="97"/>
  <c r="AE115" i="97"/>
  <c r="AE99" i="97"/>
  <c r="E14" i="97"/>
  <c r="M65" i="97"/>
  <c r="M71" i="97"/>
  <c r="AL45" i="97"/>
  <c r="AK51" i="97"/>
  <c r="AK44" i="97" s="1"/>
  <c r="AK37" i="97"/>
  <c r="AG8" i="97"/>
  <c r="AJ55" i="97"/>
  <c r="AJ54" i="97" s="1"/>
  <c r="AO37" i="97"/>
  <c r="AH127" i="97"/>
  <c r="AH126" i="97" s="1"/>
  <c r="AH114" i="97" s="1"/>
  <c r="I41" i="97"/>
  <c r="I64" i="97"/>
  <c r="N58" i="97"/>
  <c r="K49" i="97"/>
  <c r="AG51" i="97"/>
  <c r="AF83" i="97"/>
  <c r="AO8" i="97"/>
  <c r="AJ83" i="97"/>
  <c r="AO83" i="97"/>
  <c r="AO82" i="97" s="1"/>
  <c r="AO30" i="97"/>
  <c r="AH23" i="97"/>
  <c r="L38" i="97"/>
  <c r="K56" i="97"/>
  <c r="AG83" i="97"/>
  <c r="AE57" i="97"/>
  <c r="AE55" i="97" s="1"/>
  <c r="AE54" i="97" s="1"/>
  <c r="AG63" i="97"/>
  <c r="AF76" i="97"/>
  <c r="AH8" i="97"/>
  <c r="AO48" i="97"/>
  <c r="AO44" i="97" s="1"/>
  <c r="O7" i="97"/>
  <c r="J27" i="97"/>
  <c r="AG15" i="97"/>
  <c r="AK83" i="97"/>
  <c r="AK82" i="97" s="1"/>
  <c r="AG54" i="97"/>
  <c r="H71" i="97"/>
  <c r="AG69" i="97"/>
  <c r="E116" i="97"/>
  <c r="J65" i="97"/>
  <c r="AF45" i="97"/>
  <c r="AO55" i="97"/>
  <c r="AO54" i="97" s="1"/>
  <c r="G65" i="97"/>
  <c r="AF115" i="97"/>
  <c r="AF114" i="97" s="1"/>
  <c r="AG99" i="97"/>
  <c r="AF63" i="97"/>
  <c r="AJ76" i="97"/>
  <c r="G60" i="97"/>
  <c r="J56" i="97"/>
  <c r="AJ69" i="97"/>
  <c r="AN76" i="97"/>
  <c r="AN99" i="97"/>
  <c r="G91" i="97"/>
  <c r="AE44" i="97"/>
  <c r="AF37" i="97"/>
  <c r="O116" i="97"/>
  <c r="AG30" i="97"/>
  <c r="AN48" i="97"/>
  <c r="AN44" i="97" s="1"/>
  <c r="AK8" i="97"/>
  <c r="N22" i="97"/>
  <c r="O33" i="97"/>
  <c r="F127" i="97"/>
  <c r="AF99" i="97"/>
  <c r="AF82" i="97" s="1"/>
  <c r="N38" i="97"/>
  <c r="J84" i="97"/>
  <c r="F65" i="97"/>
  <c r="AN26" i="97"/>
  <c r="AJ99" i="97"/>
  <c r="J11" i="97"/>
  <c r="J101" i="97"/>
  <c r="F46" i="97"/>
  <c r="G71" i="97"/>
  <c r="F14" i="97"/>
  <c r="G31" i="97"/>
  <c r="N50" i="97"/>
  <c r="F70" i="97"/>
  <c r="AF23" i="97"/>
  <c r="AG127" i="97"/>
  <c r="AG126" i="97" s="1"/>
  <c r="AG114" i="97" s="1"/>
  <c r="AJ37" i="97"/>
  <c r="AN83" i="97"/>
  <c r="J16" i="97"/>
  <c r="AK54" i="97"/>
  <c r="J49" i="97"/>
  <c r="F100" i="97"/>
  <c r="N27" i="97"/>
  <c r="AF51" i="97"/>
  <c r="AK99" i="97"/>
  <c r="AN8" i="97"/>
  <c r="BI127" i="97"/>
  <c r="AF44" i="97" l="1"/>
  <c r="CI127" i="97"/>
  <c r="CH126" i="97"/>
  <c r="CH114" i="97" s="1"/>
  <c r="AI127" i="97"/>
  <c r="AI126" i="97" s="1"/>
  <c r="AI114" i="97" s="1"/>
  <c r="AG44" i="97"/>
  <c r="AG36" i="97" s="1"/>
  <c r="AI82" i="97"/>
  <c r="AI129" i="97" s="1"/>
  <c r="AI36" i="97"/>
  <c r="AE126" i="97"/>
  <c r="AE114" i="97" s="1"/>
  <c r="E127" i="97"/>
  <c r="AJ82" i="97"/>
  <c r="AE36" i="97"/>
  <c r="AH129" i="97"/>
  <c r="AM36" i="97"/>
  <c r="AO36" i="97"/>
  <c r="AF129" i="97"/>
  <c r="AL82" i="97"/>
  <c r="AN36" i="97"/>
  <c r="AL44" i="97"/>
  <c r="AL36" i="97" s="1"/>
  <c r="AE82" i="97"/>
  <c r="H127" i="97"/>
  <c r="AG82" i="97"/>
  <c r="AG129" i="97" s="1"/>
  <c r="AN82" i="97"/>
  <c r="AJ36" i="97"/>
  <c r="AK36" i="97"/>
  <c r="AF36" i="97"/>
  <c r="G127" i="97"/>
  <c r="BJ127" i="97"/>
  <c r="I127" i="97"/>
  <c r="AE129" i="97" l="1"/>
  <c r="CJ127" i="97"/>
  <c r="CI126" i="97"/>
  <c r="CI114" i="97" s="1"/>
  <c r="BK127" i="97"/>
  <c r="CK127" i="97" l="1"/>
  <c r="CJ126" i="97"/>
  <c r="CJ114" i="97" s="1"/>
  <c r="AJ127" i="97"/>
  <c r="AK127" i="97"/>
  <c r="AK126" i="97" s="1"/>
  <c r="AK114" i="97" s="1"/>
  <c r="AK129" i="97" s="1"/>
  <c r="BL127" i="97"/>
  <c r="K127" i="97"/>
  <c r="AJ126" i="97" l="1"/>
  <c r="AJ114" i="97" s="1"/>
  <c r="AJ129" i="97" s="1"/>
  <c r="J127" i="97"/>
  <c r="CL127" i="97"/>
  <c r="CK126" i="97"/>
  <c r="CK114" i="97" s="1"/>
  <c r="BM127" i="97"/>
  <c r="CM127" i="97" l="1"/>
  <c r="CL126" i="97"/>
  <c r="CL114" i="97" s="1"/>
  <c r="AL127" i="97"/>
  <c r="BN127" i="97"/>
  <c r="AL126" i="97" l="1"/>
  <c r="AL114" i="97" s="1"/>
  <c r="AL129" i="97" s="1"/>
  <c r="L127" i="97"/>
  <c r="CN127" i="97"/>
  <c r="CM126" i="97"/>
  <c r="CM114" i="97" s="1"/>
  <c r="AM127" i="97"/>
  <c r="BO127" i="97"/>
  <c r="AM126" i="97" l="1"/>
  <c r="AM114" i="97" s="1"/>
  <c r="AM129" i="97" s="1"/>
  <c r="M127" i="97"/>
  <c r="CO127" i="97"/>
  <c r="CO126" i="97" s="1"/>
  <c r="CO114" i="97" s="1"/>
  <c r="CN126" i="97"/>
  <c r="CN114" i="97" s="1"/>
  <c r="AN127" i="97"/>
  <c r="AO127" i="97"/>
  <c r="AO126" i="97" s="1"/>
  <c r="AO114" i="97" s="1"/>
  <c r="AO129" i="97" s="1"/>
  <c r="AN126" i="97" l="1"/>
  <c r="AN114" i="97" s="1"/>
  <c r="AN129" i="97" s="1"/>
  <c r="N127" i="97"/>
  <c r="O127" i="97"/>
  <c r="DB126" i="97" l="1"/>
  <c r="DA126" i="97"/>
  <c r="CZ126" i="97"/>
  <c r="CY126" i="97"/>
  <c r="CX126" i="97"/>
  <c r="CW126" i="97"/>
  <c r="CV126" i="97"/>
  <c r="CU126" i="97"/>
  <c r="CT126" i="97"/>
  <c r="CT114" i="97" s="1"/>
  <c r="CS126" i="97"/>
  <c r="CR126" i="97"/>
  <c r="CQ126" i="97"/>
  <c r="DB115" i="97"/>
  <c r="DB114" i="97" s="1"/>
  <c r="DA115" i="97"/>
  <c r="CZ115" i="97"/>
  <c r="CZ114" i="97" s="1"/>
  <c r="CY115" i="97"/>
  <c r="CY114" i="97" s="1"/>
  <c r="CX115" i="97"/>
  <c r="CW115" i="97"/>
  <c r="CV115" i="97"/>
  <c r="CU115" i="97"/>
  <c r="CT115" i="97"/>
  <c r="CS115" i="97"/>
  <c r="CR115" i="97"/>
  <c r="CQ115" i="97"/>
  <c r="CW114" i="97"/>
  <c r="CV114" i="97"/>
  <c r="CU114" i="97"/>
  <c r="DB99" i="97"/>
  <c r="DA99" i="97"/>
  <c r="CZ99" i="97"/>
  <c r="CY99" i="97"/>
  <c r="CX99" i="97"/>
  <c r="CW99" i="97"/>
  <c r="CV99" i="97"/>
  <c r="CU99" i="97"/>
  <c r="CT99" i="97"/>
  <c r="CS99" i="97"/>
  <c r="CR99" i="97"/>
  <c r="CQ99" i="97"/>
  <c r="DB83" i="97"/>
  <c r="DA83" i="97"/>
  <c r="CZ83" i="97"/>
  <c r="CY83" i="97"/>
  <c r="CX83" i="97"/>
  <c r="CW83" i="97"/>
  <c r="CW82" i="97" s="1"/>
  <c r="CV83" i="97"/>
  <c r="CV82" i="97" s="1"/>
  <c r="CU83" i="97"/>
  <c r="CT83" i="97"/>
  <c r="CS83" i="97"/>
  <c r="CR83" i="97"/>
  <c r="CQ83" i="97"/>
  <c r="DB76" i="97"/>
  <c r="DA76" i="97"/>
  <c r="CZ76" i="97"/>
  <c r="CY76" i="97"/>
  <c r="CX76" i="97"/>
  <c r="CW76" i="97"/>
  <c r="CV76" i="97"/>
  <c r="CU76" i="97"/>
  <c r="CT76" i="97"/>
  <c r="CS76" i="97"/>
  <c r="CR76" i="97"/>
  <c r="CQ76" i="97"/>
  <c r="DB69" i="97"/>
  <c r="DA69" i="97"/>
  <c r="CZ69" i="97"/>
  <c r="CY69" i="97"/>
  <c r="CX69" i="97"/>
  <c r="CW69" i="97"/>
  <c r="CV69" i="97"/>
  <c r="CU69" i="97"/>
  <c r="CT69" i="97"/>
  <c r="CS69" i="97"/>
  <c r="CR69" i="97"/>
  <c r="CQ69" i="97"/>
  <c r="DB66" i="97"/>
  <c r="DA66" i="97"/>
  <c r="CZ66" i="97"/>
  <c r="CY66" i="97"/>
  <c r="CX66" i="97"/>
  <c r="CW66" i="97"/>
  <c r="CV66" i="97"/>
  <c r="CU66" i="97"/>
  <c r="CT66" i="97"/>
  <c r="CS66" i="97"/>
  <c r="CR66" i="97"/>
  <c r="CQ66" i="97"/>
  <c r="DB63" i="97"/>
  <c r="DA63" i="97"/>
  <c r="CZ63" i="97"/>
  <c r="CY63" i="97"/>
  <c r="CX63" i="97"/>
  <c r="CW63" i="97"/>
  <c r="CV63" i="97"/>
  <c r="CU63" i="97"/>
  <c r="CT63" i="97"/>
  <c r="CS63" i="97"/>
  <c r="CR63" i="97"/>
  <c r="CQ63" i="97"/>
  <c r="DB57" i="97"/>
  <c r="DB55" i="97" s="1"/>
  <c r="DB54" i="97" s="1"/>
  <c r="DA57" i="97"/>
  <c r="DA55" i="97" s="1"/>
  <c r="DA54" i="97" s="1"/>
  <c r="CZ57" i="97"/>
  <c r="CZ55" i="97" s="1"/>
  <c r="CZ54" i="97" s="1"/>
  <c r="CY57" i="97"/>
  <c r="CY55" i="97" s="1"/>
  <c r="CY54" i="97" s="1"/>
  <c r="CX57" i="97"/>
  <c r="CX55" i="97" s="1"/>
  <c r="CX54" i="97" s="1"/>
  <c r="CW57" i="97"/>
  <c r="CW55" i="97" s="1"/>
  <c r="CW54" i="97" s="1"/>
  <c r="CV57" i="97"/>
  <c r="CV55" i="97" s="1"/>
  <c r="CV54" i="97" s="1"/>
  <c r="CU57" i="97"/>
  <c r="CU55" i="97" s="1"/>
  <c r="CU54" i="97" s="1"/>
  <c r="CT57" i="97"/>
  <c r="CT55" i="97" s="1"/>
  <c r="CT54" i="97" s="1"/>
  <c r="CS57" i="97"/>
  <c r="CS55" i="97" s="1"/>
  <c r="CS54" i="97" s="1"/>
  <c r="CR57" i="97"/>
  <c r="CR55" i="97" s="1"/>
  <c r="CR54" i="97" s="1"/>
  <c r="CQ57" i="97"/>
  <c r="CQ55" i="97" s="1"/>
  <c r="CQ54" i="97" s="1"/>
  <c r="DB51" i="97"/>
  <c r="DA51" i="97"/>
  <c r="CZ51" i="97"/>
  <c r="CY51" i="97"/>
  <c r="CX51" i="97"/>
  <c r="CW51" i="97"/>
  <c r="CV51" i="97"/>
  <c r="CU51" i="97"/>
  <c r="CT51" i="97"/>
  <c r="CS51" i="97"/>
  <c r="CR51" i="97"/>
  <c r="CQ51" i="97"/>
  <c r="DB48" i="97"/>
  <c r="DA48" i="97"/>
  <c r="CZ48" i="97"/>
  <c r="CY48" i="97"/>
  <c r="CX48" i="97"/>
  <c r="CW48" i="97"/>
  <c r="CV48" i="97"/>
  <c r="CU48" i="97"/>
  <c r="CT48" i="97"/>
  <c r="CS48" i="97"/>
  <c r="CR48" i="97"/>
  <c r="CQ48" i="97"/>
  <c r="DB45" i="97"/>
  <c r="DA45" i="97"/>
  <c r="CZ45" i="97"/>
  <c r="CY45" i="97"/>
  <c r="CX45" i="97"/>
  <c r="CW45" i="97"/>
  <c r="CV45" i="97"/>
  <c r="CU45" i="97"/>
  <c r="CT45" i="97"/>
  <c r="CS45" i="97"/>
  <c r="CR45" i="97"/>
  <c r="CQ45" i="97"/>
  <c r="DB37" i="97"/>
  <c r="DA37" i="97"/>
  <c r="CZ37" i="97"/>
  <c r="CY37" i="97"/>
  <c r="CX37" i="97"/>
  <c r="CW37" i="97"/>
  <c r="CV37" i="97"/>
  <c r="CU37" i="97"/>
  <c r="CT37" i="97"/>
  <c r="CS37" i="97"/>
  <c r="CR37" i="97"/>
  <c r="CQ37" i="97"/>
  <c r="DB30" i="97"/>
  <c r="DA30" i="97"/>
  <c r="CZ30" i="97"/>
  <c r="CY30" i="97"/>
  <c r="CX30" i="97"/>
  <c r="CW30" i="97"/>
  <c r="CV30" i="97"/>
  <c r="CU30" i="97"/>
  <c r="CT30" i="97"/>
  <c r="CS30" i="97"/>
  <c r="CR30" i="97"/>
  <c r="CQ30" i="97"/>
  <c r="DB26" i="97"/>
  <c r="DA26" i="97"/>
  <c r="CZ26" i="97"/>
  <c r="CY26" i="97"/>
  <c r="CX26" i="97"/>
  <c r="CW26" i="97"/>
  <c r="CV26" i="97"/>
  <c r="CU26" i="97"/>
  <c r="CT26" i="97"/>
  <c r="CS26" i="97"/>
  <c r="CR26" i="97"/>
  <c r="CQ26" i="97"/>
  <c r="DB23" i="97"/>
  <c r="DA23" i="97"/>
  <c r="CZ23" i="97"/>
  <c r="CY23" i="97"/>
  <c r="CX23" i="97"/>
  <c r="CW23" i="97"/>
  <c r="CV23" i="97"/>
  <c r="CU23" i="97"/>
  <c r="CT23" i="97"/>
  <c r="CS23" i="97"/>
  <c r="CR23" i="97"/>
  <c r="CQ23" i="97"/>
  <c r="DB15" i="97"/>
  <c r="DA15" i="97"/>
  <c r="CZ15" i="97"/>
  <c r="CY15" i="97"/>
  <c r="CX15" i="97"/>
  <c r="CW15" i="97"/>
  <c r="CV15" i="97"/>
  <c r="CU15" i="97"/>
  <c r="CT15" i="97"/>
  <c r="CS15" i="97"/>
  <c r="CR15" i="97"/>
  <c r="CQ15" i="97"/>
  <c r="DB8" i="97"/>
  <c r="DA8" i="97"/>
  <c r="CZ8" i="97"/>
  <c r="CY8" i="97"/>
  <c r="CX8" i="97"/>
  <c r="CW8" i="97"/>
  <c r="CV8" i="97"/>
  <c r="CU8" i="97"/>
  <c r="CT8" i="97"/>
  <c r="CS8" i="97"/>
  <c r="CR8" i="97"/>
  <c r="CQ8" i="97"/>
  <c r="DB5" i="97"/>
  <c r="DA5" i="97"/>
  <c r="CZ5" i="97"/>
  <c r="CY5" i="97"/>
  <c r="CX5" i="97"/>
  <c r="CW5" i="97"/>
  <c r="CV5" i="97"/>
  <c r="CU5" i="97"/>
  <c r="CT5" i="97"/>
  <c r="CS5" i="97"/>
  <c r="CR5" i="97"/>
  <c r="CQ5" i="97"/>
  <c r="CB126" i="97"/>
  <c r="CA126" i="97"/>
  <c r="BZ126" i="97"/>
  <c r="BY126" i="97"/>
  <c r="BX126" i="97"/>
  <c r="BW126" i="97"/>
  <c r="BV126" i="97"/>
  <c r="BU126" i="97"/>
  <c r="BT126" i="97"/>
  <c r="BS126" i="97"/>
  <c r="BR126" i="97"/>
  <c r="BQ126" i="97"/>
  <c r="CB115" i="97"/>
  <c r="CA115" i="97"/>
  <c r="BZ115" i="97"/>
  <c r="BY115" i="97"/>
  <c r="BX115" i="97"/>
  <c r="BW115" i="97"/>
  <c r="BV115" i="97"/>
  <c r="BU115" i="97"/>
  <c r="BT115" i="97"/>
  <c r="BS115" i="97"/>
  <c r="BR115" i="97"/>
  <c r="BQ115" i="97"/>
  <c r="CB99" i="97"/>
  <c r="CA99" i="97"/>
  <c r="BZ99" i="97"/>
  <c r="BY99" i="97"/>
  <c r="BX99" i="97"/>
  <c r="BW99" i="97"/>
  <c r="BV99" i="97"/>
  <c r="BU99" i="97"/>
  <c r="BT99" i="97"/>
  <c r="BS99" i="97"/>
  <c r="BR99" i="97"/>
  <c r="BQ99" i="97"/>
  <c r="CB83" i="97"/>
  <c r="CA83" i="97"/>
  <c r="BZ83" i="97"/>
  <c r="BY83" i="97"/>
  <c r="BX83" i="97"/>
  <c r="BW83" i="97"/>
  <c r="BV83" i="97"/>
  <c r="BU83" i="97"/>
  <c r="BT83" i="97"/>
  <c r="BS83" i="97"/>
  <c r="BR83" i="97"/>
  <c r="BQ83" i="97"/>
  <c r="CB76" i="97"/>
  <c r="CA76" i="97"/>
  <c r="BZ76" i="97"/>
  <c r="BY76" i="97"/>
  <c r="BX76" i="97"/>
  <c r="BW76" i="97"/>
  <c r="BV76" i="97"/>
  <c r="BU76" i="97"/>
  <c r="BT76" i="97"/>
  <c r="BS76" i="97"/>
  <c r="BR76" i="97"/>
  <c r="BQ76" i="97"/>
  <c r="CB69" i="97"/>
  <c r="CA69" i="97"/>
  <c r="BZ69" i="97"/>
  <c r="BY69" i="97"/>
  <c r="BX69" i="97"/>
  <c r="BW69" i="97"/>
  <c r="BV69" i="97"/>
  <c r="BU69" i="97"/>
  <c r="BT69" i="97"/>
  <c r="BS69" i="97"/>
  <c r="BR69" i="97"/>
  <c r="BQ69" i="97"/>
  <c r="CB66" i="97"/>
  <c r="CA66" i="97"/>
  <c r="BZ66" i="97"/>
  <c r="BY66" i="97"/>
  <c r="BX66" i="97"/>
  <c r="BW66" i="97"/>
  <c r="BV66" i="97"/>
  <c r="BU66" i="97"/>
  <c r="BT66" i="97"/>
  <c r="BS66" i="97"/>
  <c r="BR66" i="97"/>
  <c r="BQ66" i="97"/>
  <c r="CB63" i="97"/>
  <c r="CA63" i="97"/>
  <c r="BZ63" i="97"/>
  <c r="BY63" i="97"/>
  <c r="BX63" i="97"/>
  <c r="BW63" i="97"/>
  <c r="BV63" i="97"/>
  <c r="BU63" i="97"/>
  <c r="BT63" i="97"/>
  <c r="BS63" i="97"/>
  <c r="BR63" i="97"/>
  <c r="BQ63" i="97"/>
  <c r="CB57" i="97"/>
  <c r="CB55" i="97" s="1"/>
  <c r="CB54" i="97" s="1"/>
  <c r="CA57" i="97"/>
  <c r="CA55" i="97" s="1"/>
  <c r="CA54" i="97" s="1"/>
  <c r="BZ57" i="97"/>
  <c r="BZ55" i="97" s="1"/>
  <c r="BZ54" i="97" s="1"/>
  <c r="BY57" i="97"/>
  <c r="BY55" i="97" s="1"/>
  <c r="BY54" i="97" s="1"/>
  <c r="BX57" i="97"/>
  <c r="BX55" i="97" s="1"/>
  <c r="BX54" i="97" s="1"/>
  <c r="BW57" i="97"/>
  <c r="BW55" i="97" s="1"/>
  <c r="BW54" i="97" s="1"/>
  <c r="BV57" i="97"/>
  <c r="BV55" i="97" s="1"/>
  <c r="BV54" i="97" s="1"/>
  <c r="BU57" i="97"/>
  <c r="BU55" i="97" s="1"/>
  <c r="BU54" i="97" s="1"/>
  <c r="BT57" i="97"/>
  <c r="BT55" i="97" s="1"/>
  <c r="BT54" i="97" s="1"/>
  <c r="BS57" i="97"/>
  <c r="BS55" i="97" s="1"/>
  <c r="BS54" i="97" s="1"/>
  <c r="BR57" i="97"/>
  <c r="BR55" i="97" s="1"/>
  <c r="BR54" i="97" s="1"/>
  <c r="BQ57" i="97"/>
  <c r="BQ55" i="97" s="1"/>
  <c r="BQ54" i="97" s="1"/>
  <c r="CB51" i="97"/>
  <c r="CA51" i="97"/>
  <c r="BZ51" i="97"/>
  <c r="BY51" i="97"/>
  <c r="BX51" i="97"/>
  <c r="BW51" i="97"/>
  <c r="BV51" i="97"/>
  <c r="BU51" i="97"/>
  <c r="BT51" i="97"/>
  <c r="BS51" i="97"/>
  <c r="BR51" i="97"/>
  <c r="BQ51" i="97"/>
  <c r="CB48" i="97"/>
  <c r="CA48" i="97"/>
  <c r="BZ48" i="97"/>
  <c r="BY48" i="97"/>
  <c r="BX48" i="97"/>
  <c r="BW48" i="97"/>
  <c r="BV48" i="97"/>
  <c r="BU48" i="97"/>
  <c r="BT48" i="97"/>
  <c r="BS48" i="97"/>
  <c r="BR48" i="97"/>
  <c r="BQ48" i="97"/>
  <c r="CB45" i="97"/>
  <c r="CA45" i="97"/>
  <c r="BZ45" i="97"/>
  <c r="BY45" i="97"/>
  <c r="BX45" i="97"/>
  <c r="BW45" i="97"/>
  <c r="BV45" i="97"/>
  <c r="BU45" i="97"/>
  <c r="BT45" i="97"/>
  <c r="BS45" i="97"/>
  <c r="BR45" i="97"/>
  <c r="BQ45" i="97"/>
  <c r="CB37" i="97"/>
  <c r="CA37" i="97"/>
  <c r="BZ37" i="97"/>
  <c r="BY37" i="97"/>
  <c r="BX37" i="97"/>
  <c r="BW37" i="97"/>
  <c r="BV37" i="97"/>
  <c r="BU37" i="97"/>
  <c r="BT37" i="97"/>
  <c r="BS37" i="97"/>
  <c r="BR37" i="97"/>
  <c r="BQ37" i="97"/>
  <c r="CB30" i="97"/>
  <c r="CA30" i="97"/>
  <c r="BZ30" i="97"/>
  <c r="BY30" i="97"/>
  <c r="BX30" i="97"/>
  <c r="BW30" i="97"/>
  <c r="BV30" i="97"/>
  <c r="BU30" i="97"/>
  <c r="BT30" i="97"/>
  <c r="BS30" i="97"/>
  <c r="BR30" i="97"/>
  <c r="BQ30" i="97"/>
  <c r="CB26" i="97"/>
  <c r="CA26" i="97"/>
  <c r="BZ26" i="97"/>
  <c r="BY26" i="97"/>
  <c r="BX26" i="97"/>
  <c r="BW26" i="97"/>
  <c r="BV26" i="97"/>
  <c r="BU26" i="97"/>
  <c r="BT26" i="97"/>
  <c r="BS26" i="97"/>
  <c r="BR26" i="97"/>
  <c r="BQ26" i="97"/>
  <c r="CB23" i="97"/>
  <c r="CA23" i="97"/>
  <c r="BZ23" i="97"/>
  <c r="BY23" i="97"/>
  <c r="BX23" i="97"/>
  <c r="BW23" i="97"/>
  <c r="BV23" i="97"/>
  <c r="BU23" i="97"/>
  <c r="BT23" i="97"/>
  <c r="BS23" i="97"/>
  <c r="BR23" i="97"/>
  <c r="BQ23" i="97"/>
  <c r="CB15" i="97"/>
  <c r="CA15" i="97"/>
  <c r="BZ15" i="97"/>
  <c r="BY15" i="97"/>
  <c r="BX15" i="97"/>
  <c r="BW15" i="97"/>
  <c r="BV15" i="97"/>
  <c r="BU15" i="97"/>
  <c r="BT15" i="97"/>
  <c r="BS15" i="97"/>
  <c r="BR15" i="97"/>
  <c r="BQ15" i="97"/>
  <c r="CB8" i="97"/>
  <c r="CA8" i="97"/>
  <c r="BZ8" i="97"/>
  <c r="BY8" i="97"/>
  <c r="BX8" i="97"/>
  <c r="BW8" i="97"/>
  <c r="BV8" i="97"/>
  <c r="BU8" i="97"/>
  <c r="BT8" i="97"/>
  <c r="BS8" i="97"/>
  <c r="BR8" i="97"/>
  <c r="BQ8" i="97"/>
  <c r="CB5" i="97"/>
  <c r="CA5" i="97"/>
  <c r="BZ5" i="97"/>
  <c r="BY5" i="97"/>
  <c r="BX5" i="97"/>
  <c r="BW5" i="97"/>
  <c r="BV5" i="97"/>
  <c r="BU5" i="97"/>
  <c r="BT5" i="97"/>
  <c r="BS5" i="97"/>
  <c r="BR5" i="97"/>
  <c r="BQ5" i="97"/>
  <c r="BO126" i="97"/>
  <c r="BN126" i="97"/>
  <c r="BM126" i="97"/>
  <c r="BL126" i="97"/>
  <c r="BK126" i="97"/>
  <c r="BJ126" i="97"/>
  <c r="BI126" i="97"/>
  <c r="BH126" i="97"/>
  <c r="BG126" i="97"/>
  <c r="BF126" i="97"/>
  <c r="BE126" i="97"/>
  <c r="BD126" i="97"/>
  <c r="BO115" i="97"/>
  <c r="BN115" i="97"/>
  <c r="BM115" i="97"/>
  <c r="BL115" i="97"/>
  <c r="BK115" i="97"/>
  <c r="BJ115" i="97"/>
  <c r="BI115" i="97"/>
  <c r="BH115" i="97"/>
  <c r="BG115" i="97"/>
  <c r="BF115" i="97"/>
  <c r="BE115" i="97"/>
  <c r="BD115" i="97"/>
  <c r="BO99" i="97"/>
  <c r="BN99" i="97"/>
  <c r="BM99" i="97"/>
  <c r="BL99" i="97"/>
  <c r="BK99" i="97"/>
  <c r="BJ99" i="97"/>
  <c r="BI99" i="97"/>
  <c r="BH99" i="97"/>
  <c r="BG99" i="97"/>
  <c r="BF99" i="97"/>
  <c r="BE99" i="97"/>
  <c r="BD99" i="97"/>
  <c r="BO83" i="97"/>
  <c r="BN83" i="97"/>
  <c r="BM83" i="97"/>
  <c r="BL83" i="97"/>
  <c r="BK83" i="97"/>
  <c r="BJ83" i="97"/>
  <c r="BI83" i="97"/>
  <c r="BH83" i="97"/>
  <c r="BG83" i="97"/>
  <c r="BF83" i="97"/>
  <c r="BE83" i="97"/>
  <c r="BD83" i="97"/>
  <c r="BO76" i="97"/>
  <c r="BN76" i="97"/>
  <c r="BM76" i="97"/>
  <c r="BL76" i="97"/>
  <c r="BK76" i="97"/>
  <c r="BJ76" i="97"/>
  <c r="BI76" i="97"/>
  <c r="BH76" i="97"/>
  <c r="BG76" i="97"/>
  <c r="BF76" i="97"/>
  <c r="BE76" i="97"/>
  <c r="BD76" i="97"/>
  <c r="BO69" i="97"/>
  <c r="BN69" i="97"/>
  <c r="BM69" i="97"/>
  <c r="BL69" i="97"/>
  <c r="BK69" i="97"/>
  <c r="BJ69" i="97"/>
  <c r="BI69" i="97"/>
  <c r="BH69" i="97"/>
  <c r="BG69" i="97"/>
  <c r="BF69" i="97"/>
  <c r="BE69" i="97"/>
  <c r="BD69" i="97"/>
  <c r="BO66" i="97"/>
  <c r="BN66" i="97"/>
  <c r="BM66" i="97"/>
  <c r="BL66" i="97"/>
  <c r="BK66" i="97"/>
  <c r="BJ66" i="97"/>
  <c r="BI66" i="97"/>
  <c r="BH66" i="97"/>
  <c r="BG66" i="97"/>
  <c r="BF66" i="97"/>
  <c r="BE66" i="97"/>
  <c r="BD66" i="97"/>
  <c r="BO63" i="97"/>
  <c r="BN63" i="97"/>
  <c r="BM63" i="97"/>
  <c r="BL63" i="97"/>
  <c r="BK63" i="97"/>
  <c r="BJ63" i="97"/>
  <c r="BI63" i="97"/>
  <c r="BH63" i="97"/>
  <c r="BG63" i="97"/>
  <c r="BF63" i="97"/>
  <c r="BE63" i="97"/>
  <c r="BD63" i="97"/>
  <c r="BO57" i="97"/>
  <c r="BO55" i="97" s="1"/>
  <c r="BO54" i="97" s="1"/>
  <c r="BN57" i="97"/>
  <c r="BN55" i="97" s="1"/>
  <c r="BN54" i="97" s="1"/>
  <c r="BM57" i="97"/>
  <c r="BM55" i="97" s="1"/>
  <c r="BM54" i="97" s="1"/>
  <c r="BL57" i="97"/>
  <c r="BL55" i="97" s="1"/>
  <c r="BL54" i="97" s="1"/>
  <c r="BK57" i="97"/>
  <c r="BK55" i="97" s="1"/>
  <c r="BK54" i="97" s="1"/>
  <c r="BJ57" i="97"/>
  <c r="BJ55" i="97" s="1"/>
  <c r="BJ54" i="97" s="1"/>
  <c r="BI57" i="97"/>
  <c r="BI55" i="97" s="1"/>
  <c r="BI54" i="97" s="1"/>
  <c r="BH57" i="97"/>
  <c r="BH55" i="97" s="1"/>
  <c r="BH54" i="97" s="1"/>
  <c r="BG57" i="97"/>
  <c r="BG55" i="97" s="1"/>
  <c r="BG54" i="97" s="1"/>
  <c r="BF57" i="97"/>
  <c r="BF55" i="97" s="1"/>
  <c r="BF54" i="97" s="1"/>
  <c r="BE57" i="97"/>
  <c r="BE55" i="97" s="1"/>
  <c r="BE54" i="97" s="1"/>
  <c r="BD57" i="97"/>
  <c r="BD55" i="97" s="1"/>
  <c r="BD54" i="97" s="1"/>
  <c r="BO51" i="97"/>
  <c r="BN51" i="97"/>
  <c r="BM51" i="97"/>
  <c r="BL51" i="97"/>
  <c r="BK51" i="97"/>
  <c r="BJ51" i="97"/>
  <c r="BI51" i="97"/>
  <c r="BH51" i="97"/>
  <c r="BG51" i="97"/>
  <c r="BF51" i="97"/>
  <c r="BE51" i="97"/>
  <c r="BD51" i="97"/>
  <c r="BO48" i="97"/>
  <c r="BN48" i="97"/>
  <c r="BM48" i="97"/>
  <c r="BL48" i="97"/>
  <c r="BK48" i="97"/>
  <c r="BJ48" i="97"/>
  <c r="BI48" i="97"/>
  <c r="BH48" i="97"/>
  <c r="BG48" i="97"/>
  <c r="BF48" i="97"/>
  <c r="BE48" i="97"/>
  <c r="BD48" i="97"/>
  <c r="BO45" i="97"/>
  <c r="BN45" i="97"/>
  <c r="BM45" i="97"/>
  <c r="BL45" i="97"/>
  <c r="BK45" i="97"/>
  <c r="BJ45" i="97"/>
  <c r="BI45" i="97"/>
  <c r="BH45" i="97"/>
  <c r="BG45" i="97"/>
  <c r="BF45" i="97"/>
  <c r="BE45" i="97"/>
  <c r="BD45" i="97"/>
  <c r="BO37" i="97"/>
  <c r="BN37" i="97"/>
  <c r="BM37" i="97"/>
  <c r="BL37" i="97"/>
  <c r="BK37" i="97"/>
  <c r="BJ37" i="97"/>
  <c r="BI37" i="97"/>
  <c r="BH37" i="97"/>
  <c r="BG37" i="97"/>
  <c r="BF37" i="97"/>
  <c r="BE37" i="97"/>
  <c r="BD37" i="97"/>
  <c r="BO30" i="97"/>
  <c r="BN30" i="97"/>
  <c r="BM30" i="97"/>
  <c r="BL30" i="97"/>
  <c r="BK30" i="97"/>
  <c r="BJ30" i="97"/>
  <c r="BI30" i="97"/>
  <c r="BH30" i="97"/>
  <c r="BG30" i="97"/>
  <c r="BF30" i="97"/>
  <c r="BE30" i="97"/>
  <c r="BD30" i="97"/>
  <c r="BO26" i="97"/>
  <c r="BN26" i="97"/>
  <c r="BM26" i="97"/>
  <c r="BL26" i="97"/>
  <c r="BK26" i="97"/>
  <c r="BJ26" i="97"/>
  <c r="BI26" i="97"/>
  <c r="BH26" i="97"/>
  <c r="BG26" i="97"/>
  <c r="BF26" i="97"/>
  <c r="BE26" i="97"/>
  <c r="BD26" i="97"/>
  <c r="BO23" i="97"/>
  <c r="BN23" i="97"/>
  <c r="BM23" i="97"/>
  <c r="BL23" i="97"/>
  <c r="BK23" i="97"/>
  <c r="BJ23" i="97"/>
  <c r="BI23" i="97"/>
  <c r="BH23" i="97"/>
  <c r="BG23" i="97"/>
  <c r="BF23" i="97"/>
  <c r="BE23" i="97"/>
  <c r="BD23" i="97"/>
  <c r="BO15" i="97"/>
  <c r="BN15" i="97"/>
  <c r="BM15" i="97"/>
  <c r="BL15" i="97"/>
  <c r="BK15" i="97"/>
  <c r="BJ15" i="97"/>
  <c r="BI15" i="97"/>
  <c r="BH15" i="97"/>
  <c r="BG15" i="97"/>
  <c r="BF15" i="97"/>
  <c r="BE15" i="97"/>
  <c r="BD15" i="97"/>
  <c r="BO8" i="97"/>
  <c r="BN8" i="97"/>
  <c r="BM8" i="97"/>
  <c r="BL8" i="97"/>
  <c r="BK8" i="97"/>
  <c r="BJ8" i="97"/>
  <c r="BI8" i="97"/>
  <c r="BH8" i="97"/>
  <c r="BG8" i="97"/>
  <c r="BF8" i="97"/>
  <c r="BE8" i="97"/>
  <c r="BD8" i="97"/>
  <c r="BO5" i="97"/>
  <c r="BN5" i="97"/>
  <c r="BM5" i="97"/>
  <c r="BL5" i="97"/>
  <c r="BK5" i="97"/>
  <c r="BJ5" i="97"/>
  <c r="BI5" i="97"/>
  <c r="BH5" i="97"/>
  <c r="BG5" i="97"/>
  <c r="BF5" i="97"/>
  <c r="BE5" i="97"/>
  <c r="BD5" i="97"/>
  <c r="CV129" i="97" l="1"/>
  <c r="CW129" i="97"/>
  <c r="BN114" i="97"/>
  <c r="BI114" i="97"/>
  <c r="BM114" i="97"/>
  <c r="CZ4" i="97"/>
  <c r="BO82" i="97"/>
  <c r="CR82" i="97"/>
  <c r="CS82" i="97"/>
  <c r="DA82" i="97"/>
  <c r="BL44" i="97"/>
  <c r="BL36" i="97" s="1"/>
  <c r="CX44" i="97"/>
  <c r="CX36" i="97" s="1"/>
  <c r="BJ114" i="97"/>
  <c r="CB82" i="97"/>
  <c r="BD82" i="97"/>
  <c r="CZ44" i="97"/>
  <c r="CZ36" i="97" s="1"/>
  <c r="CZ81" i="97" s="1"/>
  <c r="CZ132" i="97" s="1"/>
  <c r="BH114" i="97"/>
  <c r="BY44" i="97"/>
  <c r="BY36" i="97" s="1"/>
  <c r="CA82" i="97"/>
  <c r="BK44" i="97"/>
  <c r="BK36" i="97" s="1"/>
  <c r="CY82" i="97"/>
  <c r="CY129" i="97" s="1"/>
  <c r="BD4" i="97"/>
  <c r="BN44" i="97"/>
  <c r="BN36" i="97" s="1"/>
  <c r="BS114" i="97"/>
  <c r="BE4" i="97"/>
  <c r="BO44" i="97"/>
  <c r="BO36" i="97" s="1"/>
  <c r="BT114" i="97"/>
  <c r="CR4" i="97"/>
  <c r="DB82" i="97"/>
  <c r="DB129" i="97" s="1"/>
  <c r="BM44" i="97"/>
  <c r="BM36" i="97" s="1"/>
  <c r="BT44" i="97"/>
  <c r="BT36" i="97" s="1"/>
  <c r="BY4" i="97"/>
  <c r="BU44" i="97"/>
  <c r="BU36" i="97" s="1"/>
  <c r="CB114" i="97"/>
  <c r="CJ129" i="97"/>
  <c r="CQ44" i="97"/>
  <c r="CQ36" i="97" s="1"/>
  <c r="BL114" i="97"/>
  <c r="BU114" i="97"/>
  <c r="BS44" i="97"/>
  <c r="BS36" i="97" s="1"/>
  <c r="BE114" i="97"/>
  <c r="BZ4" i="97"/>
  <c r="CW4" i="97"/>
  <c r="CR44" i="97"/>
  <c r="CR36" i="97" s="1"/>
  <c r="CQ82" i="97"/>
  <c r="BZ82" i="97"/>
  <c r="BF114" i="97"/>
  <c r="CA4" i="97"/>
  <c r="BW44" i="97"/>
  <c r="BW36" i="97" s="1"/>
  <c r="CX4" i="97"/>
  <c r="DB4" i="97"/>
  <c r="CS44" i="97"/>
  <c r="CS36" i="97" s="1"/>
  <c r="CW44" i="97"/>
  <c r="CW36" i="97" s="1"/>
  <c r="CY44" i="97"/>
  <c r="CY36" i="97" s="1"/>
  <c r="CX82" i="97"/>
  <c r="BY82" i="97"/>
  <c r="BR114" i="97"/>
  <c r="BR44" i="97"/>
  <c r="BR36" i="97" s="1"/>
  <c r="BO4" i="97"/>
  <c r="BV114" i="97"/>
  <c r="CO129" i="97"/>
  <c r="CB4" i="97"/>
  <c r="BX44" i="97"/>
  <c r="BX36" i="97" s="1"/>
  <c r="CY4" i="97"/>
  <c r="BH4" i="97"/>
  <c r="CT44" i="97"/>
  <c r="CT36" i="97" s="1"/>
  <c r="BI4" i="97"/>
  <c r="BR82" i="97"/>
  <c r="CU44" i="97"/>
  <c r="CU36" i="97" s="1"/>
  <c r="BS82" i="97"/>
  <c r="CV44" i="97"/>
  <c r="CV36" i="97" s="1"/>
  <c r="BL4" i="97"/>
  <c r="BE44" i="97"/>
  <c r="BE36" i="97" s="1"/>
  <c r="BJ82" i="97"/>
  <c r="BN82" i="97"/>
  <c r="BN129" i="97" s="1"/>
  <c r="BQ4" i="97"/>
  <c r="BZ44" i="97"/>
  <c r="BZ36" i="97" s="1"/>
  <c r="BU82" i="97"/>
  <c r="BZ114" i="97"/>
  <c r="CS4" i="97"/>
  <c r="CQ114" i="97"/>
  <c r="CZ82" i="97"/>
  <c r="CZ129" i="97" s="1"/>
  <c r="BH82" i="97"/>
  <c r="BT82" i="97"/>
  <c r="CE129" i="97"/>
  <c r="BM4" i="97"/>
  <c r="BF44" i="97"/>
  <c r="BF36" i="97" s="1"/>
  <c r="BJ44" i="97"/>
  <c r="BJ36" i="97" s="1"/>
  <c r="BK82" i="97"/>
  <c r="BR4" i="97"/>
  <c r="CA44" i="97"/>
  <c r="CA36" i="97" s="1"/>
  <c r="BV82" i="97"/>
  <c r="CA114" i="97"/>
  <c r="CT4" i="97"/>
  <c r="CR114" i="97"/>
  <c r="BG82" i="97"/>
  <c r="BW114" i="97"/>
  <c r="BK4" i="97"/>
  <c r="BY114" i="97"/>
  <c r="BN4" i="97"/>
  <c r="BG44" i="97"/>
  <c r="BG36" i="97" s="1"/>
  <c r="BL82" i="97"/>
  <c r="BO114" i="97"/>
  <c r="BO129" i="97" s="1"/>
  <c r="BS4" i="97"/>
  <c r="CB44" i="97"/>
  <c r="CB36" i="97" s="1"/>
  <c r="BW82" i="97"/>
  <c r="CH129" i="97"/>
  <c r="CQ4" i="97"/>
  <c r="CS114" i="97"/>
  <c r="BX114" i="97"/>
  <c r="BI44" i="97"/>
  <c r="BI36" i="97" s="1"/>
  <c r="BU4" i="97"/>
  <c r="DB44" i="97"/>
  <c r="DB36" i="97" s="1"/>
  <c r="BG4" i="97"/>
  <c r="BQ82" i="97"/>
  <c r="DA4" i="97"/>
  <c r="BJ4" i="97"/>
  <c r="BT4" i="97"/>
  <c r="DA44" i="97"/>
  <c r="DA36" i="97" s="1"/>
  <c r="BV4" i="97"/>
  <c r="BV44" i="97"/>
  <c r="BV36" i="97" s="1"/>
  <c r="BV81" i="97" s="1"/>
  <c r="R54" i="93" s="1"/>
  <c r="BK114" i="97"/>
  <c r="BI82" i="97"/>
  <c r="BH44" i="97"/>
  <c r="BH36" i="97" s="1"/>
  <c r="BM82" i="97"/>
  <c r="BF4" i="97"/>
  <c r="BG114" i="97"/>
  <c r="BW4" i="97"/>
  <c r="CU4" i="97"/>
  <c r="CT82" i="97"/>
  <c r="CT129" i="97" s="1"/>
  <c r="DA114" i="97"/>
  <c r="BF82" i="97"/>
  <c r="BD44" i="97"/>
  <c r="BD36" i="97" s="1"/>
  <c r="BX82" i="97"/>
  <c r="BE82" i="97"/>
  <c r="BD114" i="97"/>
  <c r="BX4" i="97"/>
  <c r="BQ44" i="97"/>
  <c r="BQ36" i="97" s="1"/>
  <c r="BQ114" i="97"/>
  <c r="CV4" i="97"/>
  <c r="CU82" i="97"/>
  <c r="CU129" i="97" s="1"/>
  <c r="CX114" i="97"/>
  <c r="X53" i="94" l="1"/>
  <c r="CO6" i="97" s="1"/>
  <c r="N53" i="94"/>
  <c r="CE6" i="97" s="1"/>
  <c r="S53" i="94"/>
  <c r="CJ6" i="97" s="1"/>
  <c r="Q53" i="94"/>
  <c r="CH6" i="97" s="1"/>
  <c r="DA129" i="97"/>
  <c r="CR129" i="97"/>
  <c r="BI129" i="97"/>
  <c r="BM129" i="97"/>
  <c r="BD129" i="97"/>
  <c r="BD132" i="97" s="1"/>
  <c r="BH129" i="97"/>
  <c r="CY81" i="97"/>
  <c r="CY132" i="97" s="1"/>
  <c r="CX81" i="97"/>
  <c r="CA81" i="97"/>
  <c r="W54" i="93" s="1"/>
  <c r="BJ129" i="97"/>
  <c r="DB81" i="97"/>
  <c r="DB132" i="97" s="1"/>
  <c r="CU81" i="97"/>
  <c r="CU132" i="97" s="1"/>
  <c r="BW129" i="97"/>
  <c r="CB129" i="97"/>
  <c r="CS129" i="97"/>
  <c r="BG129" i="97"/>
  <c r="BR129" i="97"/>
  <c r="CT81" i="97"/>
  <c r="CT132" i="97" s="1"/>
  <c r="BY129" i="97"/>
  <c r="BQ129" i="97"/>
  <c r="CW81" i="97"/>
  <c r="CW132" i="97" s="1"/>
  <c r="BZ81" i="97"/>
  <c r="V54" i="93" s="1"/>
  <c r="CV81" i="97"/>
  <c r="CV132" i="97" s="1"/>
  <c r="BL81" i="97"/>
  <c r="CG129" i="97"/>
  <c r="CD129" i="97"/>
  <c r="CM129" i="97"/>
  <c r="BY81" i="97"/>
  <c r="U54" i="93" s="1"/>
  <c r="BU129" i="97"/>
  <c r="BU81" i="97"/>
  <c r="Q54" i="93" s="1"/>
  <c r="CB81" i="97"/>
  <c r="X54" i="93" s="1"/>
  <c r="BQ81" i="97"/>
  <c r="M54" i="93" s="1"/>
  <c r="BH81" i="97"/>
  <c r="BF81" i="97"/>
  <c r="BD81" i="97"/>
  <c r="CQ81" i="97"/>
  <c r="BN81" i="97"/>
  <c r="BN132" i="97" s="1"/>
  <c r="BJ81" i="97"/>
  <c r="BF129" i="97"/>
  <c r="BS129" i="97"/>
  <c r="CF129" i="97"/>
  <c r="CA129" i="97"/>
  <c r="BI81" i="97"/>
  <c r="CI129" i="97"/>
  <c r="BL129" i="97"/>
  <c r="CL129" i="97"/>
  <c r="BE129" i="97"/>
  <c r="CR81" i="97"/>
  <c r="CR132" i="97" s="1"/>
  <c r="BS81" i="97"/>
  <c r="O54" i="93" s="1"/>
  <c r="BX81" i="97"/>
  <c r="T54" i="93" s="1"/>
  <c r="BT129" i="97"/>
  <c r="BE81" i="97"/>
  <c r="BV129" i="97"/>
  <c r="BV132" i="97" s="1"/>
  <c r="BW81" i="97"/>
  <c r="S54" i="93" s="1"/>
  <c r="BZ129" i="97"/>
  <c r="BX129" i="97"/>
  <c r="CQ129" i="97"/>
  <c r="CX129" i="97"/>
  <c r="CS81" i="97"/>
  <c r="BO81" i="97"/>
  <c r="BO132" i="97" s="1"/>
  <c r="BM81" i="97"/>
  <c r="BG81" i="97"/>
  <c r="CK129" i="97"/>
  <c r="BK81" i="97"/>
  <c r="CN129" i="97"/>
  <c r="BR81" i="97"/>
  <c r="N54" i="93" s="1"/>
  <c r="DA81" i="97"/>
  <c r="DA132" i="97" s="1"/>
  <c r="BK129" i="97"/>
  <c r="BT81" i="97"/>
  <c r="P54" i="93" s="1"/>
  <c r="BB115" i="97"/>
  <c r="BA115" i="97"/>
  <c r="AZ115" i="97"/>
  <c r="AY115" i="97"/>
  <c r="AX115" i="97"/>
  <c r="AW115" i="97"/>
  <c r="AV115" i="97"/>
  <c r="AU115" i="97"/>
  <c r="AT115" i="97"/>
  <c r="AS115" i="97"/>
  <c r="AR115" i="97"/>
  <c r="AQ115" i="97"/>
  <c r="BB99" i="97"/>
  <c r="BA99" i="97"/>
  <c r="AZ99" i="97"/>
  <c r="AY99" i="97"/>
  <c r="AX99" i="97"/>
  <c r="AW99" i="97"/>
  <c r="AV99" i="97"/>
  <c r="AU99" i="97"/>
  <c r="AT99" i="97"/>
  <c r="AS99" i="97"/>
  <c r="AR99" i="97"/>
  <c r="AQ99" i="97"/>
  <c r="BB83" i="97"/>
  <c r="BA83" i="97"/>
  <c r="AZ83" i="97"/>
  <c r="AY83" i="97"/>
  <c r="AX83" i="97"/>
  <c r="AW83" i="97"/>
  <c r="AV83" i="97"/>
  <c r="AU83" i="97"/>
  <c r="AT83" i="97"/>
  <c r="AS83" i="97"/>
  <c r="AR83" i="97"/>
  <c r="AQ83" i="97"/>
  <c r="BB76" i="97"/>
  <c r="BA76" i="97"/>
  <c r="AZ76" i="97"/>
  <c r="AY76" i="97"/>
  <c r="AX76" i="97"/>
  <c r="AW76" i="97"/>
  <c r="AV76" i="97"/>
  <c r="AU76" i="97"/>
  <c r="AT76" i="97"/>
  <c r="AS76" i="97"/>
  <c r="AR76" i="97"/>
  <c r="AQ76" i="97"/>
  <c r="BB69" i="97"/>
  <c r="BA69" i="97"/>
  <c r="AZ69" i="97"/>
  <c r="AY69" i="97"/>
  <c r="AX69" i="97"/>
  <c r="AW69" i="97"/>
  <c r="AV69" i="97"/>
  <c r="AU69" i="97"/>
  <c r="AT69" i="97"/>
  <c r="AS69" i="97"/>
  <c r="AR69" i="97"/>
  <c r="AQ69" i="97"/>
  <c r="BB66" i="97"/>
  <c r="BA66" i="97"/>
  <c r="AZ66" i="97"/>
  <c r="AY66" i="97"/>
  <c r="AX66" i="97"/>
  <c r="AW66" i="97"/>
  <c r="AV66" i="97"/>
  <c r="AU66" i="97"/>
  <c r="AT66" i="97"/>
  <c r="AS66" i="97"/>
  <c r="AR66" i="97"/>
  <c r="AQ66" i="97"/>
  <c r="BB63" i="97"/>
  <c r="BA63" i="97"/>
  <c r="AZ63" i="97"/>
  <c r="AY63" i="97"/>
  <c r="AX63" i="97"/>
  <c r="AW63" i="97"/>
  <c r="AV63" i="97"/>
  <c r="AU63" i="97"/>
  <c r="AT63" i="97"/>
  <c r="AS63" i="97"/>
  <c r="AR63" i="97"/>
  <c r="AQ63" i="97"/>
  <c r="BB57" i="97"/>
  <c r="BB55" i="97" s="1"/>
  <c r="BB54" i="97" s="1"/>
  <c r="BA57" i="97"/>
  <c r="BA55" i="97" s="1"/>
  <c r="BA54" i="97" s="1"/>
  <c r="AZ57" i="97"/>
  <c r="AZ55" i="97" s="1"/>
  <c r="AZ54" i="97" s="1"/>
  <c r="AY57" i="97"/>
  <c r="AY55" i="97" s="1"/>
  <c r="AY54" i="97" s="1"/>
  <c r="AX57" i="97"/>
  <c r="AX55" i="97" s="1"/>
  <c r="AX54" i="97" s="1"/>
  <c r="AW57" i="97"/>
  <c r="AW55" i="97" s="1"/>
  <c r="AW54" i="97" s="1"/>
  <c r="AV57" i="97"/>
  <c r="AV55" i="97" s="1"/>
  <c r="AV54" i="97" s="1"/>
  <c r="AU57" i="97"/>
  <c r="AU55" i="97" s="1"/>
  <c r="AU54" i="97" s="1"/>
  <c r="AT57" i="97"/>
  <c r="AT55" i="97" s="1"/>
  <c r="AT54" i="97" s="1"/>
  <c r="AS57" i="97"/>
  <c r="AS55" i="97" s="1"/>
  <c r="AS54" i="97" s="1"/>
  <c r="AR57" i="97"/>
  <c r="AR55" i="97" s="1"/>
  <c r="AR54" i="97" s="1"/>
  <c r="AQ57" i="97"/>
  <c r="AQ55" i="97" s="1"/>
  <c r="AQ54" i="97" s="1"/>
  <c r="BB51" i="97"/>
  <c r="BA51" i="97"/>
  <c r="AZ51" i="97"/>
  <c r="AY51" i="97"/>
  <c r="AX51" i="97"/>
  <c r="AW51" i="97"/>
  <c r="AV51" i="97"/>
  <c r="AU51" i="97"/>
  <c r="AT51" i="97"/>
  <c r="AS51" i="97"/>
  <c r="AR51" i="97"/>
  <c r="AQ51" i="97"/>
  <c r="BB48" i="97"/>
  <c r="BA48" i="97"/>
  <c r="AZ48" i="97"/>
  <c r="AY48" i="97"/>
  <c r="AX48" i="97"/>
  <c r="AW48" i="97"/>
  <c r="AV48" i="97"/>
  <c r="AU48" i="97"/>
  <c r="AT48" i="97"/>
  <c r="AS48" i="97"/>
  <c r="AR48" i="97"/>
  <c r="AQ48" i="97"/>
  <c r="BB45" i="97"/>
  <c r="BA45" i="97"/>
  <c r="AZ45" i="97"/>
  <c r="AY45" i="97"/>
  <c r="AX45" i="97"/>
  <c r="AW45" i="97"/>
  <c r="AV45" i="97"/>
  <c r="AU45" i="97"/>
  <c r="AT45" i="97"/>
  <c r="AS45" i="97"/>
  <c r="AR45" i="97"/>
  <c r="AQ45" i="97"/>
  <c r="BB37" i="97"/>
  <c r="BA37" i="97"/>
  <c r="AZ37" i="97"/>
  <c r="AY37" i="97"/>
  <c r="AX37" i="97"/>
  <c r="AW37" i="97"/>
  <c r="AV37" i="97"/>
  <c r="AU37" i="97"/>
  <c r="AT37" i="97"/>
  <c r="AS37" i="97"/>
  <c r="AR37" i="97"/>
  <c r="AQ37" i="97"/>
  <c r="BB30" i="97"/>
  <c r="BA30" i="97"/>
  <c r="AZ30" i="97"/>
  <c r="AY30" i="97"/>
  <c r="AX30" i="97"/>
  <c r="AW30" i="97"/>
  <c r="AV30" i="97"/>
  <c r="AU30" i="97"/>
  <c r="AT30" i="97"/>
  <c r="AS30" i="97"/>
  <c r="AR30" i="97"/>
  <c r="AQ30" i="97"/>
  <c r="BB26" i="97"/>
  <c r="BA26" i="97"/>
  <c r="AZ26" i="97"/>
  <c r="AY26" i="97"/>
  <c r="AX26" i="97"/>
  <c r="AW26" i="97"/>
  <c r="AV26" i="97"/>
  <c r="AU26" i="97"/>
  <c r="AT26" i="97"/>
  <c r="AS26" i="97"/>
  <c r="AR26" i="97"/>
  <c r="AQ26" i="97"/>
  <c r="BB23" i="97"/>
  <c r="BA23" i="97"/>
  <c r="AZ23" i="97"/>
  <c r="AY23" i="97"/>
  <c r="AX23" i="97"/>
  <c r="AW23" i="97"/>
  <c r="AV23" i="97"/>
  <c r="AU23" i="97"/>
  <c r="AT23" i="97"/>
  <c r="AS23" i="97"/>
  <c r="AR23" i="97"/>
  <c r="AQ23" i="97"/>
  <c r="BB15" i="97"/>
  <c r="BA15" i="97"/>
  <c r="AZ15" i="97"/>
  <c r="AY15" i="97"/>
  <c r="AX15" i="97"/>
  <c r="AW15" i="97"/>
  <c r="AV15" i="97"/>
  <c r="AU15" i="97"/>
  <c r="AT15" i="97"/>
  <c r="AS15" i="97"/>
  <c r="AR15" i="97"/>
  <c r="AQ15" i="97"/>
  <c r="BB8" i="97"/>
  <c r="BA8" i="97"/>
  <c r="AZ8" i="97"/>
  <c r="AY8" i="97"/>
  <c r="AX8" i="97"/>
  <c r="AW8" i="97"/>
  <c r="AV8" i="97"/>
  <c r="AU8" i="97"/>
  <c r="AT8" i="97"/>
  <c r="AS8" i="97"/>
  <c r="AR8" i="97"/>
  <c r="AQ8" i="97"/>
  <c r="BB5" i="97"/>
  <c r="BA5" i="97"/>
  <c r="AZ5" i="97"/>
  <c r="AY5" i="97"/>
  <c r="AX5" i="97"/>
  <c r="AW5" i="97"/>
  <c r="AV5" i="97"/>
  <c r="AU5" i="97"/>
  <c r="AT5" i="97"/>
  <c r="AS5" i="97"/>
  <c r="AR5" i="97"/>
  <c r="AQ5" i="97"/>
  <c r="AD126" i="97"/>
  <c r="AD115" i="97"/>
  <c r="AD99" i="97"/>
  <c r="AD83" i="97"/>
  <c r="AD76" i="97"/>
  <c r="AD69" i="97"/>
  <c r="AD66" i="97"/>
  <c r="AD63" i="97"/>
  <c r="AD57" i="97"/>
  <c r="AD55" i="97" s="1"/>
  <c r="AD54" i="97" s="1"/>
  <c r="AD51" i="97"/>
  <c r="AD48" i="97"/>
  <c r="AD45" i="97"/>
  <c r="AD37" i="97"/>
  <c r="AD30" i="97"/>
  <c r="AD26" i="97"/>
  <c r="AD23" i="97"/>
  <c r="AD15" i="97"/>
  <c r="AD8" i="97"/>
  <c r="AB115" i="97"/>
  <c r="AA115" i="97"/>
  <c r="Z115" i="97"/>
  <c r="Y115" i="97"/>
  <c r="X115" i="97"/>
  <c r="W115" i="97"/>
  <c r="V115" i="97"/>
  <c r="U115" i="97"/>
  <c r="T115" i="97"/>
  <c r="S115" i="97"/>
  <c r="R115" i="97"/>
  <c r="Q115" i="97"/>
  <c r="AB99" i="97"/>
  <c r="AA99" i="97"/>
  <c r="Z99" i="97"/>
  <c r="Y99" i="97"/>
  <c r="X99" i="97"/>
  <c r="W99" i="97"/>
  <c r="V99" i="97"/>
  <c r="U99" i="97"/>
  <c r="T99" i="97"/>
  <c r="S99" i="97"/>
  <c r="R99" i="97"/>
  <c r="Q99" i="97"/>
  <c r="AB83" i="97"/>
  <c r="AA83" i="97"/>
  <c r="Z83" i="97"/>
  <c r="Y83" i="97"/>
  <c r="X83" i="97"/>
  <c r="W83" i="97"/>
  <c r="V83" i="97"/>
  <c r="U83" i="97"/>
  <c r="T83" i="97"/>
  <c r="S83" i="97"/>
  <c r="R83" i="97"/>
  <c r="Q83" i="97"/>
  <c r="AB76" i="97"/>
  <c r="AA76" i="97"/>
  <c r="Z76" i="97"/>
  <c r="Y76" i="97"/>
  <c r="X76" i="97"/>
  <c r="W76" i="97"/>
  <c r="V76" i="97"/>
  <c r="U76" i="97"/>
  <c r="T76" i="97"/>
  <c r="S76" i="97"/>
  <c r="R76" i="97"/>
  <c r="Q76" i="97"/>
  <c r="AB69" i="97"/>
  <c r="AA69" i="97"/>
  <c r="Z69" i="97"/>
  <c r="Y69" i="97"/>
  <c r="X69" i="97"/>
  <c r="W69" i="97"/>
  <c r="V69" i="97"/>
  <c r="U69" i="97"/>
  <c r="T69" i="97"/>
  <c r="S69" i="97"/>
  <c r="R69" i="97"/>
  <c r="Q69" i="97"/>
  <c r="AB66" i="97"/>
  <c r="AA66" i="97"/>
  <c r="Z66" i="97"/>
  <c r="Y66" i="97"/>
  <c r="X66" i="97"/>
  <c r="W66" i="97"/>
  <c r="V66" i="97"/>
  <c r="U66" i="97"/>
  <c r="T66" i="97"/>
  <c r="S66" i="97"/>
  <c r="R66" i="97"/>
  <c r="Q66" i="97"/>
  <c r="AB63" i="97"/>
  <c r="AA63" i="97"/>
  <c r="Z63" i="97"/>
  <c r="Y63" i="97"/>
  <c r="X63" i="97"/>
  <c r="W63" i="97"/>
  <c r="V63" i="97"/>
  <c r="U63" i="97"/>
  <c r="T63" i="97"/>
  <c r="S63" i="97"/>
  <c r="R63" i="97"/>
  <c r="Q63" i="97"/>
  <c r="AB57" i="97"/>
  <c r="AB55" i="97" s="1"/>
  <c r="AB54" i="97" s="1"/>
  <c r="AA57" i="97"/>
  <c r="AA55" i="97" s="1"/>
  <c r="AA54" i="97" s="1"/>
  <c r="Z57" i="97"/>
  <c r="Z55" i="97" s="1"/>
  <c r="Z54" i="97" s="1"/>
  <c r="Y57" i="97"/>
  <c r="Y55" i="97" s="1"/>
  <c r="Y54" i="97" s="1"/>
  <c r="X57" i="97"/>
  <c r="X55" i="97" s="1"/>
  <c r="X54" i="97" s="1"/>
  <c r="W57" i="97"/>
  <c r="W55" i="97" s="1"/>
  <c r="W54" i="97" s="1"/>
  <c r="V57" i="97"/>
  <c r="V55" i="97" s="1"/>
  <c r="V54" i="97" s="1"/>
  <c r="U57" i="97"/>
  <c r="U55" i="97" s="1"/>
  <c r="U54" i="97" s="1"/>
  <c r="T57" i="97"/>
  <c r="T55" i="97" s="1"/>
  <c r="T54" i="97" s="1"/>
  <c r="S57" i="97"/>
  <c r="S55" i="97" s="1"/>
  <c r="S54" i="97" s="1"/>
  <c r="R57" i="97"/>
  <c r="R55" i="97" s="1"/>
  <c r="R54" i="97" s="1"/>
  <c r="Q57" i="97"/>
  <c r="Q55" i="97" s="1"/>
  <c r="Q54" i="97" s="1"/>
  <c r="AB51" i="97"/>
  <c r="AA51" i="97"/>
  <c r="Z51" i="97"/>
  <c r="Y51" i="97"/>
  <c r="X51" i="97"/>
  <c r="W51" i="97"/>
  <c r="V51" i="97"/>
  <c r="U51" i="97"/>
  <c r="T51" i="97"/>
  <c r="S51" i="97"/>
  <c r="R51" i="97"/>
  <c r="Q51" i="97"/>
  <c r="AB48" i="97"/>
  <c r="AA48" i="97"/>
  <c r="Z48" i="97"/>
  <c r="Y48" i="97"/>
  <c r="X48" i="97"/>
  <c r="W48" i="97"/>
  <c r="V48" i="97"/>
  <c r="U48" i="97"/>
  <c r="T48" i="97"/>
  <c r="S48" i="97"/>
  <c r="R48" i="97"/>
  <c r="Q48" i="97"/>
  <c r="AB45" i="97"/>
  <c r="AA45" i="97"/>
  <c r="Z45" i="97"/>
  <c r="Y45" i="97"/>
  <c r="X45" i="97"/>
  <c r="W45" i="97"/>
  <c r="V45" i="97"/>
  <c r="U45" i="97"/>
  <c r="T45" i="97"/>
  <c r="S45" i="97"/>
  <c r="R45" i="97"/>
  <c r="Q45" i="97"/>
  <c r="AB37" i="97"/>
  <c r="AA37" i="97"/>
  <c r="Z37" i="97"/>
  <c r="Y37" i="97"/>
  <c r="X37" i="97"/>
  <c r="W37" i="97"/>
  <c r="V37" i="97"/>
  <c r="U37" i="97"/>
  <c r="T37" i="97"/>
  <c r="S37" i="97"/>
  <c r="R37" i="97"/>
  <c r="Q37" i="97"/>
  <c r="AB30" i="97"/>
  <c r="AA30" i="97"/>
  <c r="Z30" i="97"/>
  <c r="Y30" i="97"/>
  <c r="X30" i="97"/>
  <c r="W30" i="97"/>
  <c r="V30" i="97"/>
  <c r="U30" i="97"/>
  <c r="T30" i="97"/>
  <c r="S30" i="97"/>
  <c r="R30" i="97"/>
  <c r="Q30" i="97"/>
  <c r="AB26" i="97"/>
  <c r="AA26" i="97"/>
  <c r="Z26" i="97"/>
  <c r="Y26" i="97"/>
  <c r="X26" i="97"/>
  <c r="W26" i="97"/>
  <c r="V26" i="97"/>
  <c r="U26" i="97"/>
  <c r="T26" i="97"/>
  <c r="S26" i="97"/>
  <c r="R26" i="97"/>
  <c r="Q26" i="97"/>
  <c r="AB15" i="97"/>
  <c r="AA15" i="97"/>
  <c r="Z15" i="97"/>
  <c r="Y15" i="97"/>
  <c r="X15" i="97"/>
  <c r="W15" i="97"/>
  <c r="V15" i="97"/>
  <c r="U15" i="97"/>
  <c r="T15" i="97"/>
  <c r="S15" i="97"/>
  <c r="R15" i="97"/>
  <c r="Q15" i="97"/>
  <c r="AB8" i="97"/>
  <c r="AA8" i="97"/>
  <c r="Z8" i="97"/>
  <c r="Y8" i="97"/>
  <c r="X8" i="97"/>
  <c r="W8" i="97"/>
  <c r="V8" i="97"/>
  <c r="U8" i="97"/>
  <c r="T8" i="97"/>
  <c r="S8" i="97"/>
  <c r="R8" i="97"/>
  <c r="Q8" i="97"/>
  <c r="AB5" i="97"/>
  <c r="AA5" i="97"/>
  <c r="Z5" i="97"/>
  <c r="Y5" i="97"/>
  <c r="X5" i="97"/>
  <c r="W5" i="97"/>
  <c r="V5" i="97"/>
  <c r="U5" i="97"/>
  <c r="T5" i="97"/>
  <c r="S5" i="97"/>
  <c r="R5" i="97"/>
  <c r="Q5" i="97"/>
  <c r="O57" i="97"/>
  <c r="O55" i="97" s="1"/>
  <c r="O54" i="97" s="1"/>
  <c r="N57" i="97"/>
  <c r="N55" i="97" s="1"/>
  <c r="N54" i="97" s="1"/>
  <c r="M57" i="97"/>
  <c r="L57" i="97"/>
  <c r="K57" i="97"/>
  <c r="J57" i="97"/>
  <c r="J55" i="97" s="1"/>
  <c r="J54" i="97" s="1"/>
  <c r="I57" i="97"/>
  <c r="I55" i="97" s="1"/>
  <c r="I54" i="97" s="1"/>
  <c r="H57" i="97"/>
  <c r="H55" i="97" s="1"/>
  <c r="H54" i="97" s="1"/>
  <c r="G57" i="97"/>
  <c r="G55" i="97" s="1"/>
  <c r="G54" i="97" s="1"/>
  <c r="F57" i="97"/>
  <c r="F55" i="97" s="1"/>
  <c r="F54" i="97" s="1"/>
  <c r="E57" i="97"/>
  <c r="E55" i="97" s="1"/>
  <c r="E54" i="97" s="1"/>
  <c r="D57" i="97"/>
  <c r="D55" i="97" s="1"/>
  <c r="D54" i="97" s="1"/>
  <c r="F115" i="97"/>
  <c r="O115" i="97"/>
  <c r="K115" i="97"/>
  <c r="J115" i="97"/>
  <c r="E115" i="97"/>
  <c r="D115" i="97"/>
  <c r="N115" i="97"/>
  <c r="M115" i="97"/>
  <c r="L115" i="97"/>
  <c r="I115" i="97"/>
  <c r="H115" i="97"/>
  <c r="G115" i="97"/>
  <c r="M99" i="97"/>
  <c r="G99" i="97"/>
  <c r="N99" i="97"/>
  <c r="H99" i="97"/>
  <c r="I99" i="97"/>
  <c r="F99" i="97"/>
  <c r="O99" i="97"/>
  <c r="K99" i="97"/>
  <c r="J99" i="97"/>
  <c r="E99" i="97"/>
  <c r="D99" i="97"/>
  <c r="L99" i="97"/>
  <c r="M83" i="97"/>
  <c r="G83" i="97"/>
  <c r="N83" i="97"/>
  <c r="H83" i="97"/>
  <c r="I83" i="97"/>
  <c r="F83" i="97"/>
  <c r="O83" i="97"/>
  <c r="K83" i="97"/>
  <c r="J83" i="97"/>
  <c r="E83" i="97"/>
  <c r="D83" i="97"/>
  <c r="L83" i="97"/>
  <c r="D76" i="97"/>
  <c r="O76" i="97"/>
  <c r="N76" i="97"/>
  <c r="M76" i="97"/>
  <c r="L76" i="97"/>
  <c r="K76" i="97"/>
  <c r="J76" i="97"/>
  <c r="F76" i="97"/>
  <c r="E76" i="97"/>
  <c r="I76" i="97"/>
  <c r="H76" i="97"/>
  <c r="G76" i="97"/>
  <c r="D69" i="97"/>
  <c r="N69" i="97"/>
  <c r="O69" i="97"/>
  <c r="L69" i="97"/>
  <c r="K69" i="97"/>
  <c r="J69" i="97"/>
  <c r="I69" i="97"/>
  <c r="H69" i="97"/>
  <c r="G69" i="97"/>
  <c r="F69" i="97"/>
  <c r="E69" i="97"/>
  <c r="M69" i="97"/>
  <c r="O66" i="97"/>
  <c r="N66" i="97"/>
  <c r="M66" i="97"/>
  <c r="L66" i="97"/>
  <c r="H66" i="97"/>
  <c r="G66" i="97"/>
  <c r="K66" i="97"/>
  <c r="J66" i="97"/>
  <c r="I66" i="97"/>
  <c r="F66" i="97"/>
  <c r="E66" i="97"/>
  <c r="D66" i="97"/>
  <c r="J63" i="97"/>
  <c r="O63" i="97"/>
  <c r="N63" i="97"/>
  <c r="I63" i="97"/>
  <c r="H63" i="97"/>
  <c r="G63" i="97"/>
  <c r="F63" i="97"/>
  <c r="E63" i="97"/>
  <c r="D63" i="97"/>
  <c r="M63" i="97"/>
  <c r="L63" i="97"/>
  <c r="K63" i="97"/>
  <c r="E51" i="97"/>
  <c r="O51" i="97"/>
  <c r="K51" i="97"/>
  <c r="J51" i="97"/>
  <c r="D51" i="97"/>
  <c r="N51" i="97"/>
  <c r="M51" i="97"/>
  <c r="L51" i="97"/>
  <c r="I51" i="97"/>
  <c r="H51" i="97"/>
  <c r="G51" i="97"/>
  <c r="F51" i="97"/>
  <c r="L48" i="97"/>
  <c r="J48" i="97"/>
  <c r="K48" i="97"/>
  <c r="I48" i="97"/>
  <c r="H48" i="97"/>
  <c r="G48" i="97"/>
  <c r="F48" i="97"/>
  <c r="O48" i="97"/>
  <c r="N48" i="97"/>
  <c r="M48" i="97"/>
  <c r="E48" i="97"/>
  <c r="D48" i="97"/>
  <c r="O45" i="97"/>
  <c r="N45" i="97"/>
  <c r="M45" i="97"/>
  <c r="I45" i="97"/>
  <c r="H45" i="97"/>
  <c r="L45" i="97"/>
  <c r="K45" i="97"/>
  <c r="J45" i="97"/>
  <c r="G45" i="97"/>
  <c r="F45" i="97"/>
  <c r="E45" i="97"/>
  <c r="D45" i="97"/>
  <c r="D37" i="97"/>
  <c r="O37" i="97"/>
  <c r="N37" i="97"/>
  <c r="L37" i="97"/>
  <c r="K37" i="97"/>
  <c r="I37" i="97"/>
  <c r="J37" i="97"/>
  <c r="H37" i="97"/>
  <c r="G37" i="97"/>
  <c r="F37" i="97"/>
  <c r="E37" i="97"/>
  <c r="M37" i="97"/>
  <c r="J30" i="97"/>
  <c r="I30" i="97"/>
  <c r="G30" i="97"/>
  <c r="F30" i="97"/>
  <c r="D30" i="97"/>
  <c r="L30" i="97"/>
  <c r="K30" i="97"/>
  <c r="E30" i="97"/>
  <c r="O30" i="97"/>
  <c r="N30" i="97"/>
  <c r="M30" i="97"/>
  <c r="H30" i="97"/>
  <c r="K26" i="97"/>
  <c r="J26" i="97"/>
  <c r="H26" i="97"/>
  <c r="O26" i="97"/>
  <c r="I26" i="97"/>
  <c r="G26" i="97"/>
  <c r="F26" i="97"/>
  <c r="E26" i="97"/>
  <c r="D26" i="97"/>
  <c r="N26" i="97"/>
  <c r="M26" i="97"/>
  <c r="L26" i="97"/>
  <c r="M15" i="97"/>
  <c r="L15" i="97"/>
  <c r="J15" i="97"/>
  <c r="I15" i="97"/>
  <c r="H15" i="97"/>
  <c r="G15" i="97"/>
  <c r="F15" i="97"/>
  <c r="O15" i="97"/>
  <c r="N15" i="97"/>
  <c r="E15" i="97"/>
  <c r="D15" i="97"/>
  <c r="K15" i="97"/>
  <c r="M8" i="97"/>
  <c r="H8" i="97"/>
  <c r="G8" i="97"/>
  <c r="E8" i="97"/>
  <c r="D8" i="97"/>
  <c r="O8" i="97"/>
  <c r="N8" i="97"/>
  <c r="J8" i="97"/>
  <c r="I8" i="97"/>
  <c r="L8" i="97"/>
  <c r="K8" i="97"/>
  <c r="F8" i="97"/>
  <c r="W53" i="94" l="1"/>
  <c r="CN6" i="97" s="1"/>
  <c r="CH5" i="97"/>
  <c r="CH4" i="97" s="1"/>
  <c r="CH81" i="97" s="1"/>
  <c r="CH132" i="97" s="1"/>
  <c r="AH6" i="97"/>
  <c r="T53" i="94"/>
  <c r="CK6" i="97" s="1"/>
  <c r="U53" i="94"/>
  <c r="CL6" i="97" s="1"/>
  <c r="CJ5" i="97"/>
  <c r="CJ4" i="97" s="1"/>
  <c r="CJ81" i="97" s="1"/>
  <c r="CJ132" i="97" s="1"/>
  <c r="AJ6" i="97"/>
  <c r="R53" i="94"/>
  <c r="CI6" i="97" s="1"/>
  <c r="CE5" i="97"/>
  <c r="CE4" i="97" s="1"/>
  <c r="CE81" i="97" s="1"/>
  <c r="CE132" i="97" s="1"/>
  <c r="AE6" i="97"/>
  <c r="V53" i="94"/>
  <c r="CM6" i="97" s="1"/>
  <c r="M53" i="94"/>
  <c r="CD6" i="97" s="1"/>
  <c r="CO5" i="97"/>
  <c r="CO4" i="97" s="1"/>
  <c r="CO81" i="97" s="1"/>
  <c r="CO132" i="97" s="1"/>
  <c r="AO6" i="97"/>
  <c r="O53" i="94"/>
  <c r="CF6" i="97" s="1"/>
  <c r="P53" i="94"/>
  <c r="CG6" i="97" s="1"/>
  <c r="BE132" i="97"/>
  <c r="BG132" i="97"/>
  <c r="BL132" i="97"/>
  <c r="CA132" i="97"/>
  <c r="BX132" i="97"/>
  <c r="BR132" i="97"/>
  <c r="BW132" i="97"/>
  <c r="BJ132" i="97"/>
  <c r="BZ132" i="97"/>
  <c r="BH132" i="97"/>
  <c r="BT132" i="97"/>
  <c r="CB132" i="97"/>
  <c r="BU132" i="97"/>
  <c r="BS132" i="97"/>
  <c r="BQ132" i="97"/>
  <c r="BY132" i="97"/>
  <c r="BF132" i="97"/>
  <c r="BK132" i="97"/>
  <c r="BM132" i="97"/>
  <c r="BI132" i="97"/>
  <c r="CS132" i="97"/>
  <c r="CX132" i="97"/>
  <c r="CQ132" i="97"/>
  <c r="BB82" i="97"/>
  <c r="E44" i="97"/>
  <c r="E36" i="97" s="1"/>
  <c r="M44" i="97"/>
  <c r="D44" i="97"/>
  <c r="D36" i="97" s="1"/>
  <c r="O44" i="97"/>
  <c r="O36" i="97" s="1"/>
  <c r="AS44" i="97"/>
  <c r="AS36" i="97" s="1"/>
  <c r="AT44" i="97"/>
  <c r="AT36" i="97" s="1"/>
  <c r="T44" i="97"/>
  <c r="T36" i="97" s="1"/>
  <c r="U44" i="97"/>
  <c r="U36" i="97" s="1"/>
  <c r="Q82" i="97"/>
  <c r="V44" i="97"/>
  <c r="V36" i="97" s="1"/>
  <c r="S82" i="97"/>
  <c r="X44" i="97"/>
  <c r="X36" i="97" s="1"/>
  <c r="Y44" i="97"/>
  <c r="Y36" i="97" s="1"/>
  <c r="AD114" i="97"/>
  <c r="AQ44" i="97"/>
  <c r="AQ36" i="97" s="1"/>
  <c r="AR44" i="97"/>
  <c r="AR36" i="97" s="1"/>
  <c r="U82" i="97"/>
  <c r="AZ4" i="97"/>
  <c r="K44" i="97"/>
  <c r="BA4" i="97"/>
  <c r="L44" i="97"/>
  <c r="AA44" i="97"/>
  <c r="AA36" i="97" s="1"/>
  <c r="W82" i="97"/>
  <c r="AX44" i="97"/>
  <c r="AX36" i="97" s="1"/>
  <c r="F44" i="97"/>
  <c r="F36" i="97" s="1"/>
  <c r="I44" i="97"/>
  <c r="I36" i="97" s="1"/>
  <c r="AZ44" i="97"/>
  <c r="AZ36" i="97" s="1"/>
  <c r="N44" i="97"/>
  <c r="N36" i="97" s="1"/>
  <c r="AD44" i="97"/>
  <c r="AD36" i="97" s="1"/>
  <c r="AB82" i="97"/>
  <c r="AD82" i="97"/>
  <c r="J44" i="97"/>
  <c r="J36" i="97" s="1"/>
  <c r="X82" i="97"/>
  <c r="Y82" i="97"/>
  <c r="G44" i="97"/>
  <c r="G36" i="97" s="1"/>
  <c r="AY4" i="97"/>
  <c r="AB44" i="97"/>
  <c r="AB36" i="97" s="1"/>
  <c r="H44" i="97"/>
  <c r="H36" i="97" s="1"/>
  <c r="AY44" i="97"/>
  <c r="AY36" i="97" s="1"/>
  <c r="Z82" i="97"/>
  <c r="AA82" i="97"/>
  <c r="R44" i="97"/>
  <c r="R36" i="97" s="1"/>
  <c r="AW44" i="97"/>
  <c r="AW36" i="97" s="1"/>
  <c r="AS82" i="97"/>
  <c r="S44" i="97"/>
  <c r="S36" i="97" s="1"/>
  <c r="AT82" i="97"/>
  <c r="AU82" i="97"/>
  <c r="AQ4" i="97"/>
  <c r="AV82" i="97"/>
  <c r="AR4" i="97"/>
  <c r="W44" i="97"/>
  <c r="W36" i="97" s="1"/>
  <c r="Z44" i="97"/>
  <c r="Z36" i="97" s="1"/>
  <c r="R82" i="97"/>
  <c r="AS4" i="97"/>
  <c r="BB44" i="97"/>
  <c r="BB36" i="97" s="1"/>
  <c r="AX82" i="97"/>
  <c r="Q44" i="97"/>
  <c r="Q36" i="97" s="1"/>
  <c r="AW82" i="97"/>
  <c r="AT4" i="97"/>
  <c r="AY82" i="97"/>
  <c r="BB4" i="97"/>
  <c r="BA44" i="97"/>
  <c r="BA36" i="97" s="1"/>
  <c r="T82" i="97"/>
  <c r="AU4" i="97"/>
  <c r="AZ82" i="97"/>
  <c r="AQ82" i="97"/>
  <c r="AV4" i="97"/>
  <c r="BA82" i="97"/>
  <c r="AX4" i="97"/>
  <c r="AU44" i="97"/>
  <c r="AU36" i="97" s="1"/>
  <c r="AV44" i="97"/>
  <c r="AV36" i="97" s="1"/>
  <c r="AR82" i="97"/>
  <c r="V82" i="97"/>
  <c r="AW4" i="97"/>
  <c r="N82" i="97"/>
  <c r="G82" i="97"/>
  <c r="O82" i="97"/>
  <c r="H82" i="97"/>
  <c r="M82" i="97"/>
  <c r="K82" i="97"/>
  <c r="K55" i="97"/>
  <c r="K54" i="97" s="1"/>
  <c r="L55" i="97"/>
  <c r="L54" i="97" s="1"/>
  <c r="L82" i="97"/>
  <c r="J82" i="97"/>
  <c r="F82" i="97"/>
  <c r="I82" i="97"/>
  <c r="M55" i="97"/>
  <c r="M54" i="97" s="1"/>
  <c r="D82" i="97"/>
  <c r="E82" i="97"/>
  <c r="E6" i="97" l="1"/>
  <c r="E5" i="97" s="1"/>
  <c r="AE5" i="97"/>
  <c r="AE4" i="97" s="1"/>
  <c r="AE81" i="97" s="1"/>
  <c r="CI5" i="97"/>
  <c r="CI4" i="97" s="1"/>
  <c r="CI81" i="97" s="1"/>
  <c r="CI132" i="97" s="1"/>
  <c r="AI6" i="97"/>
  <c r="CM5" i="97"/>
  <c r="CM4" i="97" s="1"/>
  <c r="CM81" i="97" s="1"/>
  <c r="CM132" i="97" s="1"/>
  <c r="AM6" i="97"/>
  <c r="J6" i="97"/>
  <c r="J5" i="97" s="1"/>
  <c r="AJ5" i="97"/>
  <c r="AJ4" i="97" s="1"/>
  <c r="AJ81" i="97" s="1"/>
  <c r="CL5" i="97"/>
  <c r="CL4" i="97" s="1"/>
  <c r="CL81" i="97" s="1"/>
  <c r="CL132" i="97" s="1"/>
  <c r="AL6" i="97"/>
  <c r="CG5" i="97"/>
  <c r="CG4" i="97" s="1"/>
  <c r="CG81" i="97" s="1"/>
  <c r="CG132" i="97" s="1"/>
  <c r="AG6" i="97"/>
  <c r="CK5" i="97"/>
  <c r="CK4" i="97" s="1"/>
  <c r="CK81" i="97" s="1"/>
  <c r="CK132" i="97" s="1"/>
  <c r="AK6" i="97"/>
  <c r="CF5" i="97"/>
  <c r="CF4" i="97" s="1"/>
  <c r="CF81" i="97" s="1"/>
  <c r="CF132" i="97" s="1"/>
  <c r="AF6" i="97"/>
  <c r="O6" i="97"/>
  <c r="O5" i="97" s="1"/>
  <c r="AO5" i="97"/>
  <c r="AO4" i="97" s="1"/>
  <c r="AO81" i="97" s="1"/>
  <c r="H6" i="97"/>
  <c r="H5" i="97" s="1"/>
  <c r="AH5" i="97"/>
  <c r="AH4" i="97" s="1"/>
  <c r="AH81" i="97" s="1"/>
  <c r="CN5" i="97"/>
  <c r="CN4" i="97" s="1"/>
  <c r="CN81" i="97" s="1"/>
  <c r="CN132" i="97" s="1"/>
  <c r="AN6" i="97"/>
  <c r="CD5" i="97"/>
  <c r="CD4" i="97" s="1"/>
  <c r="CD81" i="97" s="1"/>
  <c r="CD132" i="97" s="1"/>
  <c r="AD6" i="97"/>
  <c r="AY81" i="97"/>
  <c r="M36" i="97"/>
  <c r="AX81" i="97"/>
  <c r="K36" i="97"/>
  <c r="AD129" i="97"/>
  <c r="AV81" i="97"/>
  <c r="BA81" i="97"/>
  <c r="AU81" i="97"/>
  <c r="AZ81" i="97"/>
  <c r="AQ81" i="97"/>
  <c r="BB81" i="97"/>
  <c r="L36" i="97"/>
  <c r="AS81" i="97"/>
  <c r="AR81" i="97"/>
  <c r="AT81" i="97"/>
  <c r="AW81" i="97"/>
  <c r="AG5" i="97" l="1"/>
  <c r="AG4" i="97" s="1"/>
  <c r="AG81" i="97" s="1"/>
  <c r="G6" i="97"/>
  <c r="G5" i="97" s="1"/>
  <c r="M6" i="97"/>
  <c r="M5" i="97" s="1"/>
  <c r="AM5" i="97"/>
  <c r="AM4" i="97" s="1"/>
  <c r="AM81" i="97" s="1"/>
  <c r="AM132" i="97" s="1"/>
  <c r="D6" i="97"/>
  <c r="AD5" i="97"/>
  <c r="AD4" i="97" s="1"/>
  <c r="AD81" i="97" s="1"/>
  <c r="AD132" i="97" s="1"/>
  <c r="I6" i="97"/>
  <c r="I5" i="97" s="1"/>
  <c r="AI5" i="97"/>
  <c r="AI4" i="97" s="1"/>
  <c r="AI81" i="97" s="1"/>
  <c r="AI132" i="97" s="1"/>
  <c r="N6" i="97"/>
  <c r="N5" i="97" s="1"/>
  <c r="AN5" i="97"/>
  <c r="AN4" i="97" s="1"/>
  <c r="AN81" i="97" s="1"/>
  <c r="AN132" i="97" s="1"/>
  <c r="AF5" i="97"/>
  <c r="AF4" i="97" s="1"/>
  <c r="AF81" i="97" s="1"/>
  <c r="AF132" i="97" s="1"/>
  <c r="F6" i="97"/>
  <c r="F5" i="97" s="1"/>
  <c r="K6" i="97"/>
  <c r="K5" i="97" s="1"/>
  <c r="AK5" i="97"/>
  <c r="AK4" i="97" s="1"/>
  <c r="AK81" i="97" s="1"/>
  <c r="AK132" i="97" s="1"/>
  <c r="L6" i="97"/>
  <c r="L5" i="97" s="1"/>
  <c r="AL5" i="97"/>
  <c r="AL4" i="97" s="1"/>
  <c r="AL81" i="97" s="1"/>
  <c r="AL132" i="97" s="1"/>
  <c r="AG132" i="97"/>
  <c r="AJ132" i="97"/>
  <c r="AO132" i="97"/>
  <c r="AE132" i="97"/>
  <c r="AH132" i="97"/>
  <c r="AB5" i="96" l="1"/>
  <c r="AB4" i="96" s="1"/>
  <c r="D5" i="97"/>
  <c r="V25" i="88" l="1"/>
  <c r="V47" i="88"/>
  <c r="V46" i="88"/>
  <c r="V43" i="88"/>
  <c r="V42" i="88"/>
  <c r="V40" i="88"/>
  <c r="V39" i="88"/>
  <c r="V38" i="88"/>
  <c r="V37" i="88"/>
  <c r="V36" i="88"/>
  <c r="V35" i="88"/>
  <c r="V34" i="88"/>
  <c r="V33" i="88"/>
  <c r="V24" i="88"/>
  <c r="V23" i="88"/>
  <c r="V22" i="88"/>
  <c r="V16" i="88"/>
  <c r="V15" i="88"/>
  <c r="V14" i="88"/>
  <c r="V12" i="88"/>
  <c r="V11" i="88"/>
  <c r="V9" i="88" s="1"/>
  <c r="V10" i="88"/>
  <c r="V8" i="88"/>
  <c r="V7" i="88"/>
  <c r="V6" i="88"/>
  <c r="V32" i="88"/>
  <c r="V44" i="88"/>
  <c r="V5" i="88"/>
  <c r="V13" i="88"/>
  <c r="V18" i="88"/>
  <c r="V20" i="88"/>
  <c r="V30" i="88" s="1"/>
  <c r="U25" i="88"/>
  <c r="W25" i="88" s="1"/>
  <c r="X25" i="88" s="1"/>
  <c r="L25" i="88"/>
  <c r="P25" i="88" s="1"/>
  <c r="M25" i="88"/>
  <c r="Q25" i="88" s="1"/>
  <c r="N25" i="88"/>
  <c r="R25" i="88" s="1"/>
  <c r="O25" i="88"/>
  <c r="S25" i="88" s="1"/>
  <c r="L26" i="88"/>
  <c r="P26" i="88" s="1"/>
  <c r="M26" i="88"/>
  <c r="Q26" i="88" s="1"/>
  <c r="N26" i="88"/>
  <c r="R26" i="88" s="1"/>
  <c r="O26" i="88"/>
  <c r="S26" i="88" s="1"/>
  <c r="K47" i="88"/>
  <c r="K46" i="88"/>
  <c r="K43" i="88"/>
  <c r="K42" i="88"/>
  <c r="K44" i="88" s="1"/>
  <c r="K40" i="88"/>
  <c r="K39" i="88"/>
  <c r="K38" i="88"/>
  <c r="K37" i="88"/>
  <c r="K36" i="88"/>
  <c r="K35" i="88"/>
  <c r="K34" i="88"/>
  <c r="K33" i="88"/>
  <c r="K32" i="88" s="1"/>
  <c r="K24" i="88"/>
  <c r="K23" i="88"/>
  <c r="K22" i="88"/>
  <c r="K16" i="88"/>
  <c r="K15" i="88"/>
  <c r="K14" i="88"/>
  <c r="K12" i="88"/>
  <c r="K11" i="88"/>
  <c r="K10" i="88"/>
  <c r="K9" i="88" s="1"/>
  <c r="K8" i="88"/>
  <c r="K7" i="88"/>
  <c r="K6" i="88"/>
  <c r="K5" i="88"/>
  <c r="J47" i="88"/>
  <c r="J46" i="88"/>
  <c r="J43" i="88"/>
  <c r="J42" i="88"/>
  <c r="J44" i="88" s="1"/>
  <c r="J40" i="88"/>
  <c r="J39" i="88"/>
  <c r="J38" i="88"/>
  <c r="J37" i="88"/>
  <c r="J36" i="88"/>
  <c r="J35" i="88"/>
  <c r="H35" i="88" s="1"/>
  <c r="J34" i="88"/>
  <c r="H34" i="88" s="1"/>
  <c r="J33" i="88"/>
  <c r="J32" i="88" s="1"/>
  <c r="J24" i="88"/>
  <c r="J23" i="88"/>
  <c r="J22" i="88"/>
  <c r="J21" i="88" s="1"/>
  <c r="J16" i="88"/>
  <c r="J15" i="88"/>
  <c r="J14" i="88"/>
  <c r="J12" i="88"/>
  <c r="J11" i="88"/>
  <c r="J10" i="88"/>
  <c r="J8" i="88"/>
  <c r="J7" i="88"/>
  <c r="J6" i="88"/>
  <c r="I47" i="88"/>
  <c r="H47" i="88" s="1"/>
  <c r="I46" i="88"/>
  <c r="I43" i="88"/>
  <c r="H43" i="88" s="1"/>
  <c r="I42" i="88"/>
  <c r="H42" i="88" s="1"/>
  <c r="I40" i="88"/>
  <c r="I39" i="88"/>
  <c r="I38" i="88"/>
  <c r="I37" i="88"/>
  <c r="I36" i="88"/>
  <c r="H36" i="88" s="1"/>
  <c r="I35" i="88"/>
  <c r="I34" i="88"/>
  <c r="I33" i="88"/>
  <c r="I24" i="88"/>
  <c r="I23" i="88"/>
  <c r="I22" i="88"/>
  <c r="H22" i="88" s="1"/>
  <c r="I16" i="88"/>
  <c r="I20" i="88" s="1"/>
  <c r="I30" i="88" s="1"/>
  <c r="I15" i="88"/>
  <c r="I14" i="88"/>
  <c r="I13" i="88" s="1"/>
  <c r="I12" i="88"/>
  <c r="I11" i="88"/>
  <c r="I10" i="88"/>
  <c r="I8" i="88"/>
  <c r="I7" i="88"/>
  <c r="I6" i="88"/>
  <c r="H6" i="88"/>
  <c r="H7" i="88"/>
  <c r="H8" i="88"/>
  <c r="I19" i="88"/>
  <c r="I29" i="88" s="1"/>
  <c r="C5" i="86"/>
  <c r="D5" i="86"/>
  <c r="E5" i="86"/>
  <c r="F5" i="86"/>
  <c r="G5" i="86"/>
  <c r="H5" i="86"/>
  <c r="I5" i="86"/>
  <c r="J5" i="86"/>
  <c r="K5" i="86"/>
  <c r="L5" i="86"/>
  <c r="M5" i="86"/>
  <c r="N5" i="86"/>
  <c r="O5" i="86"/>
  <c r="Q5" i="86"/>
  <c r="R5" i="86"/>
  <c r="S5" i="86"/>
  <c r="T5" i="86"/>
  <c r="U5" i="86"/>
  <c r="V5" i="86"/>
  <c r="W5" i="86"/>
  <c r="X5" i="86"/>
  <c r="Y5" i="86"/>
  <c r="Z5" i="86"/>
  <c r="AA5" i="86"/>
  <c r="AB5" i="86"/>
  <c r="AC5" i="86"/>
  <c r="AE5" i="86"/>
  <c r="AF5" i="86"/>
  <c r="AG5" i="86"/>
  <c r="AH5" i="86"/>
  <c r="AI5" i="86"/>
  <c r="AJ5" i="86"/>
  <c r="AK5" i="86"/>
  <c r="AL5" i="86"/>
  <c r="AM5" i="86"/>
  <c r="AN5" i="86"/>
  <c r="AO5" i="86"/>
  <c r="AP5" i="86"/>
  <c r="AQ5" i="86"/>
  <c r="AS5" i="86"/>
  <c r="AT5" i="86"/>
  <c r="AU5" i="86"/>
  <c r="AV5" i="86"/>
  <c r="AW5" i="86"/>
  <c r="AX5" i="86"/>
  <c r="AY5" i="86"/>
  <c r="AZ5" i="86"/>
  <c r="BA5" i="86"/>
  <c r="BB5" i="86"/>
  <c r="BC5" i="86"/>
  <c r="BD5" i="86"/>
  <c r="BE5" i="86"/>
  <c r="BG5" i="86"/>
  <c r="BH5" i="86"/>
  <c r="BI5" i="86"/>
  <c r="BJ5" i="86"/>
  <c r="BK5" i="86"/>
  <c r="BL5" i="86"/>
  <c r="BM5" i="86"/>
  <c r="BN5" i="86"/>
  <c r="BO5" i="86"/>
  <c r="BP5" i="86"/>
  <c r="BQ5" i="86"/>
  <c r="BR5" i="86"/>
  <c r="BS5" i="86"/>
  <c r="BU5" i="86"/>
  <c r="BV5" i="86"/>
  <c r="BW5" i="86"/>
  <c r="BX5" i="86"/>
  <c r="BY5" i="86"/>
  <c r="BZ5" i="86"/>
  <c r="CA5" i="86"/>
  <c r="CB5" i="86"/>
  <c r="CC5" i="86"/>
  <c r="CD5" i="86"/>
  <c r="CE5" i="86"/>
  <c r="CF5" i="86"/>
  <c r="CG5" i="86"/>
  <c r="CI5" i="86"/>
  <c r="CJ5" i="86"/>
  <c r="CK5" i="86"/>
  <c r="CL5" i="86"/>
  <c r="CM5" i="86"/>
  <c r="CN5" i="86"/>
  <c r="CO5" i="86"/>
  <c r="CP5" i="86"/>
  <c r="CQ5" i="86"/>
  <c r="CR5" i="86"/>
  <c r="CS5" i="86"/>
  <c r="CT5" i="86"/>
  <c r="CU5" i="86"/>
  <c r="CW5" i="86"/>
  <c r="CX5" i="86"/>
  <c r="CY5" i="86"/>
  <c r="CZ5" i="86"/>
  <c r="DA5" i="86"/>
  <c r="DB5" i="86"/>
  <c r="DC5" i="86"/>
  <c r="DD5" i="86"/>
  <c r="DE5" i="86"/>
  <c r="DF5" i="86"/>
  <c r="DG5" i="86"/>
  <c r="DH5" i="86"/>
  <c r="DI5" i="86"/>
  <c r="DK5" i="86"/>
  <c r="DL5" i="86"/>
  <c r="DM5" i="86"/>
  <c r="DN5" i="86"/>
  <c r="DO5" i="86"/>
  <c r="DP5" i="86"/>
  <c r="DQ5" i="86"/>
  <c r="DR5" i="86"/>
  <c r="DS5" i="86"/>
  <c r="DT5" i="86"/>
  <c r="DU5" i="86"/>
  <c r="DV5" i="86"/>
  <c r="DW5" i="86"/>
  <c r="DY5" i="86"/>
  <c r="DZ5" i="86"/>
  <c r="EA5" i="86"/>
  <c r="EB5" i="86"/>
  <c r="EC5" i="86"/>
  <c r="ED5" i="86"/>
  <c r="EE5" i="86"/>
  <c r="EF5" i="86"/>
  <c r="EG5" i="86"/>
  <c r="EH5" i="86"/>
  <c r="EI5" i="86"/>
  <c r="EJ5" i="86"/>
  <c r="EK5" i="86"/>
  <c r="C6" i="86"/>
  <c r="D6" i="86"/>
  <c r="E6" i="86"/>
  <c r="F6" i="86"/>
  <c r="G6" i="86"/>
  <c r="H6" i="86"/>
  <c r="I6" i="86"/>
  <c r="J6" i="86"/>
  <c r="K6" i="86"/>
  <c r="L6" i="86"/>
  <c r="M6" i="86"/>
  <c r="N6" i="86"/>
  <c r="O6" i="86"/>
  <c r="AC6" i="86"/>
  <c r="AE6" i="86"/>
  <c r="AF6" i="86"/>
  <c r="AG6" i="86"/>
  <c r="AH6" i="86"/>
  <c r="AI6" i="86"/>
  <c r="AJ6" i="86"/>
  <c r="AK6" i="86"/>
  <c r="AL6" i="86"/>
  <c r="AM6" i="86"/>
  <c r="AN6" i="86"/>
  <c r="AO6" i="86"/>
  <c r="AP6" i="86"/>
  <c r="AQ6" i="86"/>
  <c r="BE6" i="86"/>
  <c r="BG6" i="86"/>
  <c r="BH6" i="86"/>
  <c r="BI6" i="86"/>
  <c r="BJ6" i="86"/>
  <c r="BK6" i="86"/>
  <c r="BL6" i="86"/>
  <c r="BM6" i="86"/>
  <c r="BN6" i="86"/>
  <c r="BO6" i="86"/>
  <c r="BP6" i="86"/>
  <c r="BQ6" i="86"/>
  <c r="BR6" i="86"/>
  <c r="BS6" i="86"/>
  <c r="CG6" i="86"/>
  <c r="CU6" i="86"/>
  <c r="DI6" i="86"/>
  <c r="DW6" i="86"/>
  <c r="EK6" i="86"/>
  <c r="C7" i="86"/>
  <c r="D7" i="86"/>
  <c r="E7" i="86"/>
  <c r="F7" i="86"/>
  <c r="G7" i="86"/>
  <c r="H7" i="86"/>
  <c r="I7" i="86"/>
  <c r="J7" i="86"/>
  <c r="K7" i="86"/>
  <c r="L7" i="86"/>
  <c r="M7" i="86"/>
  <c r="N7" i="86"/>
  <c r="O7" i="86"/>
  <c r="Q7" i="86"/>
  <c r="R7" i="86"/>
  <c r="S7" i="86"/>
  <c r="T7" i="86"/>
  <c r="U7" i="86"/>
  <c r="V7" i="86"/>
  <c r="W7" i="86"/>
  <c r="X7" i="86"/>
  <c r="Y7" i="86"/>
  <c r="Z7" i="86"/>
  <c r="AA7" i="86"/>
  <c r="AB7" i="86"/>
  <c r="AC7" i="86"/>
  <c r="AE7" i="86"/>
  <c r="AF7" i="86"/>
  <c r="AG7" i="86"/>
  <c r="AH7" i="86"/>
  <c r="AI7" i="86"/>
  <c r="AJ7" i="86"/>
  <c r="AK7" i="86"/>
  <c r="AL7" i="86"/>
  <c r="AM7" i="86"/>
  <c r="AN7" i="86"/>
  <c r="AO7" i="86"/>
  <c r="AP7" i="86"/>
  <c r="AQ7" i="86"/>
  <c r="BE7" i="86"/>
  <c r="BG7" i="86"/>
  <c r="BH7" i="86"/>
  <c r="BI7" i="86"/>
  <c r="BJ7" i="86"/>
  <c r="BK7" i="86"/>
  <c r="BL7" i="86"/>
  <c r="BM7" i="86"/>
  <c r="BN7" i="86"/>
  <c r="BO7" i="86"/>
  <c r="BP7" i="86"/>
  <c r="BQ7" i="86"/>
  <c r="BR7" i="86"/>
  <c r="BS7" i="86"/>
  <c r="CG7" i="86"/>
  <c r="CU7" i="86"/>
  <c r="DI7" i="86"/>
  <c r="DW7" i="86"/>
  <c r="EK7" i="86"/>
  <c r="C8" i="86"/>
  <c r="D8" i="86"/>
  <c r="E8" i="86"/>
  <c r="F8" i="86"/>
  <c r="G8" i="86"/>
  <c r="H8" i="86"/>
  <c r="I8" i="86"/>
  <c r="J8" i="86"/>
  <c r="K8" i="86"/>
  <c r="L8" i="86"/>
  <c r="M8" i="86"/>
  <c r="N8" i="86"/>
  <c r="O8" i="86"/>
  <c r="AC8" i="86"/>
  <c r="AE8" i="86"/>
  <c r="AF8" i="86"/>
  <c r="AG8" i="86"/>
  <c r="AH8" i="86"/>
  <c r="AI8" i="86"/>
  <c r="AJ8" i="86"/>
  <c r="AK8" i="86"/>
  <c r="AL8" i="86"/>
  <c r="AM8" i="86"/>
  <c r="AN8" i="86"/>
  <c r="AO8" i="86"/>
  <c r="AP8" i="86"/>
  <c r="AQ8" i="86"/>
  <c r="BE8" i="86"/>
  <c r="BG8" i="86"/>
  <c r="BH8" i="86"/>
  <c r="BI8" i="86"/>
  <c r="BJ8" i="86"/>
  <c r="BK8" i="86"/>
  <c r="BL8" i="86"/>
  <c r="BM8" i="86"/>
  <c r="BN8" i="86"/>
  <c r="BO8" i="86"/>
  <c r="BP8" i="86"/>
  <c r="BQ8" i="86"/>
  <c r="BR8" i="86"/>
  <c r="BS8" i="86"/>
  <c r="CG8" i="86"/>
  <c r="CU8" i="86"/>
  <c r="DI8" i="86"/>
  <c r="DW8" i="86"/>
  <c r="EK8" i="86"/>
  <c r="C9" i="86"/>
  <c r="D9" i="86"/>
  <c r="E9" i="86"/>
  <c r="F9" i="86"/>
  <c r="G9" i="86"/>
  <c r="H9" i="86"/>
  <c r="I9" i="86"/>
  <c r="J9" i="86"/>
  <c r="K9" i="86"/>
  <c r="L9" i="86"/>
  <c r="M9" i="86"/>
  <c r="N9" i="86"/>
  <c r="O9" i="86"/>
  <c r="Q9" i="86"/>
  <c r="R9" i="86"/>
  <c r="S9" i="86"/>
  <c r="T9" i="86"/>
  <c r="U9" i="86"/>
  <c r="V9" i="86"/>
  <c r="W9" i="86"/>
  <c r="X9" i="86"/>
  <c r="Y9" i="86"/>
  <c r="Z9" i="86"/>
  <c r="AA9" i="86"/>
  <c r="AB9" i="86"/>
  <c r="AC9" i="86"/>
  <c r="AE9" i="86"/>
  <c r="AF9" i="86"/>
  <c r="AG9" i="86"/>
  <c r="AH9" i="86"/>
  <c r="AI9" i="86"/>
  <c r="AJ9" i="86"/>
  <c r="AK9" i="86"/>
  <c r="AL9" i="86"/>
  <c r="AM9" i="86"/>
  <c r="AN9" i="86"/>
  <c r="AO9" i="86"/>
  <c r="AP9" i="86"/>
  <c r="AQ9" i="86"/>
  <c r="AS9" i="86"/>
  <c r="AT9" i="86"/>
  <c r="AU9" i="86"/>
  <c r="AV9" i="86"/>
  <c r="AW9" i="86"/>
  <c r="AX9" i="86"/>
  <c r="AY9" i="86"/>
  <c r="AZ9" i="86"/>
  <c r="BA9" i="86"/>
  <c r="BB9" i="86"/>
  <c r="BC9" i="86"/>
  <c r="BD9" i="86"/>
  <c r="BE9" i="86"/>
  <c r="BG9" i="86"/>
  <c r="BH9" i="86"/>
  <c r="BI9" i="86"/>
  <c r="BJ9" i="86"/>
  <c r="BK9" i="86"/>
  <c r="BL9" i="86"/>
  <c r="BM9" i="86"/>
  <c r="BN9" i="86"/>
  <c r="BO9" i="86"/>
  <c r="BP9" i="86"/>
  <c r="BQ9" i="86"/>
  <c r="BR9" i="86"/>
  <c r="BS9" i="86"/>
  <c r="BU9" i="86"/>
  <c r="BV9" i="86"/>
  <c r="BW9" i="86"/>
  <c r="BX9" i="86"/>
  <c r="BY9" i="86"/>
  <c r="BZ9" i="86"/>
  <c r="CA9" i="86"/>
  <c r="CB9" i="86"/>
  <c r="CC9" i="86"/>
  <c r="CD9" i="86"/>
  <c r="CE9" i="86"/>
  <c r="CF9" i="86"/>
  <c r="CG9" i="86"/>
  <c r="CI9" i="86"/>
  <c r="CJ9" i="86"/>
  <c r="CK9" i="86"/>
  <c r="CL9" i="86"/>
  <c r="CM9" i="86"/>
  <c r="CN9" i="86"/>
  <c r="CO9" i="86"/>
  <c r="CP9" i="86"/>
  <c r="CQ9" i="86"/>
  <c r="CR9" i="86"/>
  <c r="CS9" i="86"/>
  <c r="CT9" i="86"/>
  <c r="CU9" i="86"/>
  <c r="CW9" i="86"/>
  <c r="CX9" i="86"/>
  <c r="CY9" i="86"/>
  <c r="CZ9" i="86"/>
  <c r="DA9" i="86"/>
  <c r="DB9" i="86"/>
  <c r="DC9" i="86"/>
  <c r="DD9" i="86"/>
  <c r="DE9" i="86"/>
  <c r="DF9" i="86"/>
  <c r="DG9" i="86"/>
  <c r="DH9" i="86"/>
  <c r="DI9" i="86"/>
  <c r="DK9" i="86"/>
  <c r="DL9" i="86"/>
  <c r="DM9" i="86"/>
  <c r="DN9" i="86"/>
  <c r="DO9" i="86"/>
  <c r="DP9" i="86"/>
  <c r="DQ9" i="86"/>
  <c r="DR9" i="86"/>
  <c r="DS9" i="86"/>
  <c r="DT9" i="86"/>
  <c r="DU9" i="86"/>
  <c r="DV9" i="86"/>
  <c r="DW9" i="86"/>
  <c r="DY9" i="86"/>
  <c r="DZ9" i="86"/>
  <c r="EA9" i="86"/>
  <c r="EB9" i="86"/>
  <c r="EC9" i="86"/>
  <c r="ED9" i="86"/>
  <c r="EE9" i="86"/>
  <c r="EF9" i="86"/>
  <c r="EG9" i="86"/>
  <c r="EH9" i="86"/>
  <c r="EI9" i="86"/>
  <c r="EJ9" i="86"/>
  <c r="EK9" i="86"/>
  <c r="C10" i="86"/>
  <c r="D10" i="86"/>
  <c r="E10" i="86"/>
  <c r="F10" i="86"/>
  <c r="G10" i="86"/>
  <c r="H10" i="86"/>
  <c r="I10" i="86"/>
  <c r="J10" i="86"/>
  <c r="K10" i="86"/>
  <c r="L10" i="86"/>
  <c r="M10" i="86"/>
  <c r="N10" i="86"/>
  <c r="O10" i="86"/>
  <c r="AC10" i="86"/>
  <c r="AE10" i="86"/>
  <c r="AF10" i="86"/>
  <c r="AG10" i="86"/>
  <c r="AH10" i="86"/>
  <c r="AI10" i="86"/>
  <c r="AJ10" i="86"/>
  <c r="AK10" i="86"/>
  <c r="AL10" i="86"/>
  <c r="AM10" i="86"/>
  <c r="AN10" i="86"/>
  <c r="AO10" i="86"/>
  <c r="AP10" i="86"/>
  <c r="AQ10" i="86"/>
  <c r="BE10" i="86"/>
  <c r="BG10" i="86"/>
  <c r="BH10" i="86"/>
  <c r="BI10" i="86"/>
  <c r="BJ10" i="86"/>
  <c r="BK10" i="86"/>
  <c r="BL10" i="86"/>
  <c r="BM10" i="86"/>
  <c r="BN10" i="86"/>
  <c r="BO10" i="86"/>
  <c r="BP10" i="86"/>
  <c r="BQ10" i="86"/>
  <c r="BR10" i="86"/>
  <c r="BS10" i="86"/>
  <c r="CG10" i="86"/>
  <c r="CU10" i="86"/>
  <c r="DI10" i="86"/>
  <c r="DW10" i="86"/>
  <c r="EK10" i="86"/>
  <c r="C11" i="86"/>
  <c r="D11" i="86"/>
  <c r="E11" i="86"/>
  <c r="F11" i="86"/>
  <c r="G11" i="86"/>
  <c r="H11" i="86"/>
  <c r="I11" i="86"/>
  <c r="J11" i="86"/>
  <c r="K11" i="86"/>
  <c r="L11" i="86"/>
  <c r="M11" i="86"/>
  <c r="N11" i="86"/>
  <c r="O11" i="86"/>
  <c r="Q11" i="86"/>
  <c r="R11" i="86"/>
  <c r="S11" i="86"/>
  <c r="T11" i="86"/>
  <c r="U11" i="86"/>
  <c r="V11" i="86"/>
  <c r="W11" i="86"/>
  <c r="X11" i="86"/>
  <c r="Y11" i="86"/>
  <c r="Z11" i="86"/>
  <c r="AA11" i="86"/>
  <c r="AB11" i="86"/>
  <c r="AC11" i="86"/>
  <c r="AE11" i="86"/>
  <c r="AF11" i="86"/>
  <c r="AG11" i="86"/>
  <c r="AH11" i="86"/>
  <c r="AI11" i="86"/>
  <c r="AJ11" i="86"/>
  <c r="AK11" i="86"/>
  <c r="AL11" i="86"/>
  <c r="AM11" i="86"/>
  <c r="AN11" i="86"/>
  <c r="AO11" i="86"/>
  <c r="AP11" i="86"/>
  <c r="AQ11" i="86"/>
  <c r="BE11" i="86"/>
  <c r="BG11" i="86"/>
  <c r="BH11" i="86"/>
  <c r="BI11" i="86"/>
  <c r="BJ11" i="86"/>
  <c r="BK11" i="86"/>
  <c r="BL11" i="86"/>
  <c r="BM11" i="86"/>
  <c r="BN11" i="86"/>
  <c r="BO11" i="86"/>
  <c r="BP11" i="86"/>
  <c r="BQ11" i="86"/>
  <c r="BR11" i="86"/>
  <c r="BS11" i="86"/>
  <c r="CG11" i="86"/>
  <c r="CU11" i="86"/>
  <c r="DI11" i="86"/>
  <c r="DW11" i="86"/>
  <c r="EK11" i="86"/>
  <c r="C12" i="86"/>
  <c r="D12" i="86"/>
  <c r="E12" i="86"/>
  <c r="F12" i="86"/>
  <c r="G12" i="86"/>
  <c r="H12" i="86"/>
  <c r="I12" i="86"/>
  <c r="J12" i="86"/>
  <c r="K12" i="86"/>
  <c r="L12" i="86"/>
  <c r="M12" i="86"/>
  <c r="N12" i="86"/>
  <c r="O12" i="86"/>
  <c r="AC12" i="86"/>
  <c r="AE12" i="86"/>
  <c r="AF12" i="86"/>
  <c r="AG12" i="86"/>
  <c r="AH12" i="86"/>
  <c r="AI12" i="86"/>
  <c r="AJ12" i="86"/>
  <c r="AK12" i="86"/>
  <c r="AL12" i="86"/>
  <c r="AM12" i="86"/>
  <c r="AN12" i="86"/>
  <c r="AO12" i="86"/>
  <c r="AP12" i="86"/>
  <c r="AQ12" i="86"/>
  <c r="BE12" i="86"/>
  <c r="BG12" i="86"/>
  <c r="BH12" i="86"/>
  <c r="BI12" i="86"/>
  <c r="BJ12" i="86"/>
  <c r="BK12" i="86"/>
  <c r="BL12" i="86"/>
  <c r="BM12" i="86"/>
  <c r="BN12" i="86"/>
  <c r="BO12" i="86"/>
  <c r="BP12" i="86"/>
  <c r="BQ12" i="86"/>
  <c r="BR12" i="86"/>
  <c r="BS12" i="86"/>
  <c r="CG12" i="86"/>
  <c r="CU12" i="86"/>
  <c r="DI12" i="86"/>
  <c r="DW12" i="86"/>
  <c r="EK12" i="86"/>
  <c r="C13" i="86"/>
  <c r="D13" i="86"/>
  <c r="E13" i="86"/>
  <c r="F13" i="86"/>
  <c r="G13" i="86"/>
  <c r="H13" i="86"/>
  <c r="I13" i="86"/>
  <c r="J13" i="86"/>
  <c r="K13" i="86"/>
  <c r="L13" i="86"/>
  <c r="M13" i="86"/>
  <c r="N13" i="86"/>
  <c r="O13" i="86"/>
  <c r="Q13" i="86"/>
  <c r="R13" i="86"/>
  <c r="S13" i="86"/>
  <c r="T13" i="86"/>
  <c r="U13" i="86"/>
  <c r="V13" i="86"/>
  <c r="W13" i="86"/>
  <c r="X13" i="86"/>
  <c r="Y13" i="86"/>
  <c r="Z13" i="86"/>
  <c r="AA13" i="86"/>
  <c r="AB13" i="86"/>
  <c r="AC13" i="86"/>
  <c r="AE13" i="86"/>
  <c r="AF13" i="86"/>
  <c r="AG13" i="86"/>
  <c r="AH13" i="86"/>
  <c r="AI13" i="86"/>
  <c r="AJ13" i="86"/>
  <c r="AK13" i="86"/>
  <c r="AL13" i="86"/>
  <c r="AM13" i="86"/>
  <c r="AN13" i="86"/>
  <c r="AO13" i="86"/>
  <c r="AP13" i="86"/>
  <c r="AQ13" i="86"/>
  <c r="AS13" i="86"/>
  <c r="AT13" i="86"/>
  <c r="AU13" i="86"/>
  <c r="AV13" i="86"/>
  <c r="AW13" i="86"/>
  <c r="AX13" i="86"/>
  <c r="AY13" i="86"/>
  <c r="AZ13" i="86"/>
  <c r="BA13" i="86"/>
  <c r="BB13" i="86"/>
  <c r="BC13" i="86"/>
  <c r="BD13" i="86"/>
  <c r="BE13" i="86"/>
  <c r="BG13" i="86"/>
  <c r="BH13" i="86"/>
  <c r="BI13" i="86"/>
  <c r="BJ13" i="86"/>
  <c r="BK13" i="86"/>
  <c r="BL13" i="86"/>
  <c r="BM13" i="86"/>
  <c r="BN13" i="86"/>
  <c r="BO13" i="86"/>
  <c r="BP13" i="86"/>
  <c r="BQ13" i="86"/>
  <c r="BR13" i="86"/>
  <c r="BS13" i="86"/>
  <c r="BU13" i="86"/>
  <c r="BV13" i="86"/>
  <c r="BW13" i="86"/>
  <c r="BX13" i="86"/>
  <c r="BY13" i="86"/>
  <c r="BZ13" i="86"/>
  <c r="CA13" i="86"/>
  <c r="CB13" i="86"/>
  <c r="CC13" i="86"/>
  <c r="CD13" i="86"/>
  <c r="CE13" i="86"/>
  <c r="CF13" i="86"/>
  <c r="CG13" i="86"/>
  <c r="CI13" i="86"/>
  <c r="CJ13" i="86"/>
  <c r="CK13" i="86"/>
  <c r="CL13" i="86"/>
  <c r="CM13" i="86"/>
  <c r="CN13" i="86"/>
  <c r="CO13" i="86"/>
  <c r="CP13" i="86"/>
  <c r="CQ13" i="86"/>
  <c r="CR13" i="86"/>
  <c r="CS13" i="86"/>
  <c r="CT13" i="86"/>
  <c r="CU13" i="86"/>
  <c r="CW13" i="86"/>
  <c r="CX13" i="86"/>
  <c r="CY13" i="86"/>
  <c r="CZ13" i="86"/>
  <c r="DA13" i="86"/>
  <c r="DB13" i="86"/>
  <c r="DC13" i="86"/>
  <c r="DD13" i="86"/>
  <c r="DE13" i="86"/>
  <c r="DF13" i="86"/>
  <c r="DG13" i="86"/>
  <c r="DH13" i="86"/>
  <c r="DI13" i="86"/>
  <c r="DK13" i="86"/>
  <c r="DL13" i="86"/>
  <c r="DM13" i="86"/>
  <c r="DN13" i="86"/>
  <c r="DO13" i="86"/>
  <c r="DP13" i="86"/>
  <c r="DQ13" i="86"/>
  <c r="DR13" i="86"/>
  <c r="DS13" i="86"/>
  <c r="DT13" i="86"/>
  <c r="DU13" i="86"/>
  <c r="DV13" i="86"/>
  <c r="DW13" i="86"/>
  <c r="DY13" i="86"/>
  <c r="DZ13" i="86"/>
  <c r="EA13" i="86"/>
  <c r="EB13" i="86"/>
  <c r="EC13" i="86"/>
  <c r="ED13" i="86"/>
  <c r="EE13" i="86"/>
  <c r="EF13" i="86"/>
  <c r="EG13" i="86"/>
  <c r="EH13" i="86"/>
  <c r="EI13" i="86"/>
  <c r="EJ13" i="86"/>
  <c r="EK13" i="86"/>
  <c r="C14" i="86"/>
  <c r="D14" i="86"/>
  <c r="E14" i="86"/>
  <c r="F14" i="86"/>
  <c r="G14" i="86"/>
  <c r="H14" i="86"/>
  <c r="I14" i="86"/>
  <c r="J14" i="86"/>
  <c r="K14" i="86"/>
  <c r="L14" i="86"/>
  <c r="M14" i="86"/>
  <c r="N14" i="86"/>
  <c r="O14" i="86"/>
  <c r="AC14" i="86"/>
  <c r="AE14" i="86"/>
  <c r="AF14" i="86"/>
  <c r="AG14" i="86"/>
  <c r="AH14" i="86"/>
  <c r="AI14" i="86"/>
  <c r="AJ14" i="86"/>
  <c r="AK14" i="86"/>
  <c r="AL14" i="86"/>
  <c r="AM14" i="86"/>
  <c r="AN14" i="86"/>
  <c r="AO14" i="86"/>
  <c r="AP14" i="86"/>
  <c r="AQ14" i="86"/>
  <c r="BE14" i="86"/>
  <c r="BG14" i="86"/>
  <c r="BH14" i="86"/>
  <c r="BI14" i="86"/>
  <c r="BJ14" i="86"/>
  <c r="BK14" i="86"/>
  <c r="BL14" i="86"/>
  <c r="BM14" i="86"/>
  <c r="BN14" i="86"/>
  <c r="BO14" i="86"/>
  <c r="BP14" i="86"/>
  <c r="BQ14" i="86"/>
  <c r="BR14" i="86"/>
  <c r="BS14" i="86"/>
  <c r="CG14" i="86"/>
  <c r="CU14" i="86"/>
  <c r="DI14" i="86"/>
  <c r="DW14" i="86"/>
  <c r="EK14" i="86"/>
  <c r="C15" i="86"/>
  <c r="D15" i="86"/>
  <c r="E15" i="86"/>
  <c r="F15" i="86"/>
  <c r="G15" i="86"/>
  <c r="H15" i="86"/>
  <c r="I15" i="86"/>
  <c r="J15" i="86"/>
  <c r="K15" i="86"/>
  <c r="L15" i="86"/>
  <c r="M15" i="86"/>
  <c r="N15" i="86"/>
  <c r="O15" i="86"/>
  <c r="AC15" i="86"/>
  <c r="AE15" i="86"/>
  <c r="AF15" i="86"/>
  <c r="AG15" i="86"/>
  <c r="AH15" i="86"/>
  <c r="AI15" i="86"/>
  <c r="AJ15" i="86"/>
  <c r="AK15" i="86"/>
  <c r="AL15" i="86"/>
  <c r="AM15" i="86"/>
  <c r="AN15" i="86"/>
  <c r="AO15" i="86"/>
  <c r="AP15" i="86"/>
  <c r="AQ15" i="86"/>
  <c r="BE15" i="86"/>
  <c r="BG15" i="86"/>
  <c r="BH15" i="86"/>
  <c r="BI15" i="86"/>
  <c r="BJ15" i="86"/>
  <c r="BK15" i="86"/>
  <c r="BL15" i="86"/>
  <c r="BM15" i="86"/>
  <c r="BN15" i="86"/>
  <c r="BO15" i="86"/>
  <c r="BP15" i="86"/>
  <c r="BQ15" i="86"/>
  <c r="BR15" i="86"/>
  <c r="BS15" i="86"/>
  <c r="CG15" i="86"/>
  <c r="CU15" i="86"/>
  <c r="DI15" i="86"/>
  <c r="DW15" i="86"/>
  <c r="EK15" i="86"/>
  <c r="C16" i="86"/>
  <c r="D16" i="86"/>
  <c r="E16" i="86"/>
  <c r="F16" i="86"/>
  <c r="G16" i="86"/>
  <c r="H16" i="86"/>
  <c r="I16" i="86"/>
  <c r="J16" i="86"/>
  <c r="K16" i="86"/>
  <c r="L16" i="86"/>
  <c r="M16" i="86"/>
  <c r="N16" i="86"/>
  <c r="O16" i="86"/>
  <c r="AC16" i="86"/>
  <c r="AE16" i="86"/>
  <c r="AF16" i="86"/>
  <c r="AG16" i="86"/>
  <c r="AH16" i="86"/>
  <c r="AI16" i="86"/>
  <c r="AJ16" i="86"/>
  <c r="AK16" i="86"/>
  <c r="AL16" i="86"/>
  <c r="AM16" i="86"/>
  <c r="AN16" i="86"/>
  <c r="AO16" i="86"/>
  <c r="AP16" i="86"/>
  <c r="AQ16" i="86"/>
  <c r="BE16" i="86"/>
  <c r="BG16" i="86"/>
  <c r="BH16" i="86"/>
  <c r="BI16" i="86"/>
  <c r="BJ16" i="86"/>
  <c r="BK16" i="86"/>
  <c r="BL16" i="86"/>
  <c r="BM16" i="86"/>
  <c r="BN16" i="86"/>
  <c r="BO16" i="86"/>
  <c r="BP16" i="86"/>
  <c r="BQ16" i="86"/>
  <c r="BR16" i="86"/>
  <c r="BS16" i="86"/>
  <c r="CG16" i="86"/>
  <c r="CU16" i="86"/>
  <c r="DI16" i="86"/>
  <c r="DW16" i="86"/>
  <c r="EK16" i="86"/>
  <c r="C17" i="86"/>
  <c r="D17" i="86"/>
  <c r="E17" i="86"/>
  <c r="F17" i="86"/>
  <c r="G17" i="86"/>
  <c r="H17" i="86"/>
  <c r="I17" i="86"/>
  <c r="J17" i="86"/>
  <c r="K17" i="86"/>
  <c r="L17" i="86"/>
  <c r="M17" i="86"/>
  <c r="N17" i="86"/>
  <c r="O17" i="86"/>
  <c r="Q17" i="86"/>
  <c r="R17" i="86"/>
  <c r="S17" i="86"/>
  <c r="T17" i="86"/>
  <c r="U17" i="86"/>
  <c r="V17" i="86"/>
  <c r="W17" i="86"/>
  <c r="X17" i="86"/>
  <c r="Y17" i="86"/>
  <c r="Z17" i="86"/>
  <c r="AA17" i="86"/>
  <c r="AB17" i="86"/>
  <c r="AC17" i="86"/>
  <c r="AE17" i="86"/>
  <c r="AF17" i="86"/>
  <c r="AG17" i="86"/>
  <c r="AH17" i="86"/>
  <c r="AI17" i="86"/>
  <c r="AJ17" i="86"/>
  <c r="AK17" i="86"/>
  <c r="AL17" i="86"/>
  <c r="AM17" i="86"/>
  <c r="AN17" i="86"/>
  <c r="AO17" i="86"/>
  <c r="AP17" i="86"/>
  <c r="AQ17" i="86"/>
  <c r="AS17" i="86"/>
  <c r="AT17" i="86"/>
  <c r="AU17" i="86"/>
  <c r="AV17" i="86"/>
  <c r="AW17" i="86"/>
  <c r="AX17" i="86"/>
  <c r="AY17" i="86"/>
  <c r="AZ17" i="86"/>
  <c r="BA17" i="86"/>
  <c r="BB17" i="86"/>
  <c r="BC17" i="86"/>
  <c r="BD17" i="86"/>
  <c r="BE17" i="86"/>
  <c r="BG17" i="86"/>
  <c r="BH17" i="86"/>
  <c r="BI17" i="86"/>
  <c r="BJ17" i="86"/>
  <c r="BK17" i="86"/>
  <c r="BL17" i="86"/>
  <c r="BM17" i="86"/>
  <c r="BN17" i="86"/>
  <c r="BO17" i="86"/>
  <c r="BP17" i="86"/>
  <c r="BQ17" i="86"/>
  <c r="BR17" i="86"/>
  <c r="BS17" i="86"/>
  <c r="BU17" i="86"/>
  <c r="BV17" i="86"/>
  <c r="BW17" i="86"/>
  <c r="BX17" i="86"/>
  <c r="BY17" i="86"/>
  <c r="BZ17" i="86"/>
  <c r="CA17" i="86"/>
  <c r="CB17" i="86"/>
  <c r="CC17" i="86"/>
  <c r="CD17" i="86"/>
  <c r="CE17" i="86"/>
  <c r="CF17" i="86"/>
  <c r="CG17" i="86"/>
  <c r="CI17" i="86"/>
  <c r="CJ17" i="86"/>
  <c r="CK17" i="86"/>
  <c r="CL17" i="86"/>
  <c r="CM17" i="86"/>
  <c r="CN17" i="86"/>
  <c r="CO17" i="86"/>
  <c r="CP17" i="86"/>
  <c r="CQ17" i="86"/>
  <c r="CR17" i="86"/>
  <c r="CS17" i="86"/>
  <c r="CT17" i="86"/>
  <c r="CU17" i="86"/>
  <c r="CW17" i="86"/>
  <c r="CX17" i="86"/>
  <c r="CY17" i="86"/>
  <c r="CZ17" i="86"/>
  <c r="DA17" i="86"/>
  <c r="DB17" i="86"/>
  <c r="DC17" i="86"/>
  <c r="DD17" i="86"/>
  <c r="DE17" i="86"/>
  <c r="DF17" i="86"/>
  <c r="DG17" i="86"/>
  <c r="DH17" i="86"/>
  <c r="DI17" i="86"/>
  <c r="DK17" i="86"/>
  <c r="DL17" i="86"/>
  <c r="DM17" i="86"/>
  <c r="DN17" i="86"/>
  <c r="DO17" i="86"/>
  <c r="DP17" i="86"/>
  <c r="DQ17" i="86"/>
  <c r="DR17" i="86"/>
  <c r="DS17" i="86"/>
  <c r="DT17" i="86"/>
  <c r="DU17" i="86"/>
  <c r="DV17" i="86"/>
  <c r="DW17" i="86"/>
  <c r="DY17" i="86"/>
  <c r="DZ17" i="86"/>
  <c r="EA17" i="86"/>
  <c r="EB17" i="86"/>
  <c r="EC17" i="86"/>
  <c r="ED17" i="86"/>
  <c r="EE17" i="86"/>
  <c r="EF17" i="86"/>
  <c r="EG17" i="86"/>
  <c r="EH17" i="86"/>
  <c r="EI17" i="86"/>
  <c r="EJ17" i="86"/>
  <c r="EK17" i="86"/>
  <c r="C18" i="86"/>
  <c r="D18" i="86"/>
  <c r="E18" i="86"/>
  <c r="F18" i="86"/>
  <c r="G18" i="86"/>
  <c r="H18" i="86"/>
  <c r="I18" i="86"/>
  <c r="J18" i="86"/>
  <c r="K18" i="86"/>
  <c r="L18" i="86"/>
  <c r="M18" i="86"/>
  <c r="N18" i="86"/>
  <c r="O18" i="86"/>
  <c r="Q18" i="86"/>
  <c r="R18" i="86"/>
  <c r="S18" i="86"/>
  <c r="T18" i="86"/>
  <c r="U18" i="86"/>
  <c r="V18" i="86"/>
  <c r="W18" i="86"/>
  <c r="X18" i="86"/>
  <c r="Y18" i="86"/>
  <c r="Z18" i="86"/>
  <c r="AA18" i="86"/>
  <c r="AB18" i="86"/>
  <c r="AC18" i="86"/>
  <c r="AE18" i="86"/>
  <c r="AF18" i="86"/>
  <c r="AG18" i="86"/>
  <c r="AH18" i="86"/>
  <c r="AI18" i="86"/>
  <c r="AJ18" i="86"/>
  <c r="AK18" i="86"/>
  <c r="AL18" i="86"/>
  <c r="AM18" i="86"/>
  <c r="AN18" i="86"/>
  <c r="AO18" i="86"/>
  <c r="AP18" i="86"/>
  <c r="AQ18" i="86"/>
  <c r="AS18" i="86"/>
  <c r="AT18" i="86"/>
  <c r="AU18" i="86"/>
  <c r="AV18" i="86"/>
  <c r="AW18" i="86"/>
  <c r="AX18" i="86"/>
  <c r="AY18" i="86"/>
  <c r="AZ18" i="86"/>
  <c r="BA18" i="86"/>
  <c r="BB18" i="86"/>
  <c r="BC18" i="86"/>
  <c r="BD18" i="86"/>
  <c r="BE18" i="86"/>
  <c r="BG18" i="86"/>
  <c r="BH18" i="86"/>
  <c r="BI18" i="86"/>
  <c r="BJ18" i="86"/>
  <c r="BK18" i="86"/>
  <c r="BL18" i="86"/>
  <c r="BM18" i="86"/>
  <c r="BN18" i="86"/>
  <c r="BO18" i="86"/>
  <c r="BP18" i="86"/>
  <c r="BQ18" i="86"/>
  <c r="BR18" i="86"/>
  <c r="BS18" i="86"/>
  <c r="BU18" i="86"/>
  <c r="BV18" i="86"/>
  <c r="BW18" i="86"/>
  <c r="BX18" i="86"/>
  <c r="BY18" i="86"/>
  <c r="BZ18" i="86"/>
  <c r="CA18" i="86"/>
  <c r="CB18" i="86"/>
  <c r="CC18" i="86"/>
  <c r="CD18" i="86"/>
  <c r="CE18" i="86"/>
  <c r="CF18" i="86"/>
  <c r="CG18" i="86"/>
  <c r="CI18" i="86"/>
  <c r="CJ18" i="86"/>
  <c r="CK18" i="86"/>
  <c r="CL18" i="86"/>
  <c r="CM18" i="86"/>
  <c r="CN18" i="86"/>
  <c r="CO18" i="86"/>
  <c r="CP18" i="86"/>
  <c r="CQ18" i="86"/>
  <c r="CR18" i="86"/>
  <c r="CS18" i="86"/>
  <c r="CT18" i="86"/>
  <c r="CU18" i="86"/>
  <c r="CW18" i="86"/>
  <c r="CX18" i="86"/>
  <c r="CY18" i="86"/>
  <c r="CZ18" i="86"/>
  <c r="DA18" i="86"/>
  <c r="DB18" i="86"/>
  <c r="DC18" i="86"/>
  <c r="DD18" i="86"/>
  <c r="DE18" i="86"/>
  <c r="DF18" i="86"/>
  <c r="DG18" i="86"/>
  <c r="DH18" i="86"/>
  <c r="DI18" i="86"/>
  <c r="DK18" i="86"/>
  <c r="DL18" i="86"/>
  <c r="DM18" i="86"/>
  <c r="DN18" i="86"/>
  <c r="DO18" i="86"/>
  <c r="DP18" i="86"/>
  <c r="DQ18" i="86"/>
  <c r="DR18" i="86"/>
  <c r="DS18" i="86"/>
  <c r="DT18" i="86"/>
  <c r="DU18" i="86"/>
  <c r="DV18" i="86"/>
  <c r="DW18" i="86"/>
  <c r="DY18" i="86"/>
  <c r="DZ18" i="86"/>
  <c r="EA18" i="86"/>
  <c r="EB18" i="86"/>
  <c r="EC18" i="86"/>
  <c r="ED18" i="86"/>
  <c r="EE18" i="86"/>
  <c r="EF18" i="86"/>
  <c r="EG18" i="86"/>
  <c r="EH18" i="86"/>
  <c r="EI18" i="86"/>
  <c r="EJ18" i="86"/>
  <c r="EK18" i="86"/>
  <c r="C19" i="86"/>
  <c r="D19" i="86"/>
  <c r="E19" i="86"/>
  <c r="F19" i="86"/>
  <c r="G19" i="86"/>
  <c r="H19" i="86"/>
  <c r="I19" i="86"/>
  <c r="J19" i="86"/>
  <c r="K19" i="86"/>
  <c r="L19" i="86"/>
  <c r="M19" i="86"/>
  <c r="N19" i="86"/>
  <c r="O19" i="86"/>
  <c r="Q19" i="86"/>
  <c r="R19" i="86"/>
  <c r="S19" i="86"/>
  <c r="T19" i="86"/>
  <c r="U19" i="86"/>
  <c r="V19" i="86"/>
  <c r="W19" i="86"/>
  <c r="X19" i="86"/>
  <c r="Y19" i="86"/>
  <c r="Z19" i="86"/>
  <c r="AA19" i="86"/>
  <c r="AB19" i="86"/>
  <c r="AC19" i="86"/>
  <c r="AE19" i="86"/>
  <c r="AF19" i="86"/>
  <c r="AG19" i="86"/>
  <c r="AH19" i="86"/>
  <c r="AI19" i="86"/>
  <c r="AJ19" i="86"/>
  <c r="AK19" i="86"/>
  <c r="AL19" i="86"/>
  <c r="AM19" i="86"/>
  <c r="AN19" i="86"/>
  <c r="AO19" i="86"/>
  <c r="AP19" i="86"/>
  <c r="AQ19" i="86"/>
  <c r="AS19" i="86"/>
  <c r="AT19" i="86"/>
  <c r="AU19" i="86"/>
  <c r="AV19" i="86"/>
  <c r="AW19" i="86"/>
  <c r="AX19" i="86"/>
  <c r="AY19" i="86"/>
  <c r="AZ19" i="86"/>
  <c r="BA19" i="86"/>
  <c r="BB19" i="86"/>
  <c r="BC19" i="86"/>
  <c r="BD19" i="86"/>
  <c r="BE19" i="86"/>
  <c r="BG19" i="86"/>
  <c r="BH19" i="86"/>
  <c r="BI19" i="86"/>
  <c r="BJ19" i="86"/>
  <c r="BK19" i="86"/>
  <c r="BL19" i="86"/>
  <c r="BM19" i="86"/>
  <c r="BN19" i="86"/>
  <c r="BO19" i="86"/>
  <c r="BP19" i="86"/>
  <c r="BQ19" i="86"/>
  <c r="BR19" i="86"/>
  <c r="BS19" i="86"/>
  <c r="BU19" i="86"/>
  <c r="BV19" i="86"/>
  <c r="BW19" i="86"/>
  <c r="BX19" i="86"/>
  <c r="BY19" i="86"/>
  <c r="BZ19" i="86"/>
  <c r="CA19" i="86"/>
  <c r="CB19" i="86"/>
  <c r="CC19" i="86"/>
  <c r="CD19" i="86"/>
  <c r="CE19" i="86"/>
  <c r="CF19" i="86"/>
  <c r="CG19" i="86"/>
  <c r="CI19" i="86"/>
  <c r="CJ19" i="86"/>
  <c r="CK19" i="86"/>
  <c r="CL19" i="86"/>
  <c r="CM19" i="86"/>
  <c r="CN19" i="86"/>
  <c r="CO19" i="86"/>
  <c r="CP19" i="86"/>
  <c r="CQ19" i="86"/>
  <c r="CR19" i="86"/>
  <c r="CS19" i="86"/>
  <c r="CT19" i="86"/>
  <c r="CU19" i="86"/>
  <c r="CW19" i="86"/>
  <c r="CX19" i="86"/>
  <c r="CY19" i="86"/>
  <c r="CZ19" i="86"/>
  <c r="DA19" i="86"/>
  <c r="DB19" i="86"/>
  <c r="DC19" i="86"/>
  <c r="DD19" i="86"/>
  <c r="DE19" i="86"/>
  <c r="DF19" i="86"/>
  <c r="DG19" i="86"/>
  <c r="DH19" i="86"/>
  <c r="DI19" i="86"/>
  <c r="DK19" i="86"/>
  <c r="DL19" i="86"/>
  <c r="DM19" i="86"/>
  <c r="DN19" i="86"/>
  <c r="DO19" i="86"/>
  <c r="DP19" i="86"/>
  <c r="DQ19" i="86"/>
  <c r="DR19" i="86"/>
  <c r="DS19" i="86"/>
  <c r="DT19" i="86"/>
  <c r="DU19" i="86"/>
  <c r="DV19" i="86"/>
  <c r="DW19" i="86"/>
  <c r="DY19" i="86"/>
  <c r="DZ19" i="86"/>
  <c r="EA19" i="86"/>
  <c r="EB19" i="86"/>
  <c r="EC19" i="86"/>
  <c r="ED19" i="86"/>
  <c r="EE19" i="86"/>
  <c r="EF19" i="86"/>
  <c r="EG19" i="86"/>
  <c r="EH19" i="86"/>
  <c r="EI19" i="86"/>
  <c r="EJ19" i="86"/>
  <c r="EK19" i="86"/>
  <c r="C20" i="86"/>
  <c r="D20" i="86"/>
  <c r="E20" i="86"/>
  <c r="F20" i="86"/>
  <c r="G20" i="86"/>
  <c r="H20" i="86"/>
  <c r="I20" i="86"/>
  <c r="J20" i="86"/>
  <c r="K20" i="86"/>
  <c r="L20" i="86"/>
  <c r="M20" i="86"/>
  <c r="N20" i="86"/>
  <c r="O20" i="86"/>
  <c r="Q20" i="86"/>
  <c r="R20" i="86"/>
  <c r="S20" i="86"/>
  <c r="T20" i="86"/>
  <c r="U20" i="86"/>
  <c r="V20" i="86"/>
  <c r="W20" i="86"/>
  <c r="X20" i="86"/>
  <c r="Y20" i="86"/>
  <c r="Z20" i="86"/>
  <c r="AA20" i="86"/>
  <c r="AB20" i="86"/>
  <c r="AC20" i="86"/>
  <c r="AE20" i="86"/>
  <c r="AF20" i="86"/>
  <c r="AG20" i="86"/>
  <c r="AH20" i="86"/>
  <c r="AI20" i="86"/>
  <c r="AJ20" i="86"/>
  <c r="AK20" i="86"/>
  <c r="AL20" i="86"/>
  <c r="AM20" i="86"/>
  <c r="AN20" i="86"/>
  <c r="AO20" i="86"/>
  <c r="AP20" i="86"/>
  <c r="AQ20" i="86"/>
  <c r="AS20" i="86"/>
  <c r="AT20" i="86"/>
  <c r="AU20" i="86"/>
  <c r="AV20" i="86"/>
  <c r="AW20" i="86"/>
  <c r="AX20" i="86"/>
  <c r="AY20" i="86"/>
  <c r="AZ20" i="86"/>
  <c r="BA20" i="86"/>
  <c r="BB20" i="86"/>
  <c r="BC20" i="86"/>
  <c r="BD20" i="86"/>
  <c r="BE20" i="86"/>
  <c r="BG20" i="86"/>
  <c r="BH20" i="86"/>
  <c r="BI20" i="86"/>
  <c r="BJ20" i="86"/>
  <c r="BK20" i="86"/>
  <c r="BL20" i="86"/>
  <c r="BM20" i="86"/>
  <c r="BN20" i="86"/>
  <c r="BO20" i="86"/>
  <c r="BP20" i="86"/>
  <c r="BQ20" i="86"/>
  <c r="BR20" i="86"/>
  <c r="BS20" i="86"/>
  <c r="BU20" i="86"/>
  <c r="BV20" i="86"/>
  <c r="BW20" i="86"/>
  <c r="BX20" i="86"/>
  <c r="BY20" i="86"/>
  <c r="BZ20" i="86"/>
  <c r="CA20" i="86"/>
  <c r="CB20" i="86"/>
  <c r="CC20" i="86"/>
  <c r="CD20" i="86"/>
  <c r="CE20" i="86"/>
  <c r="CF20" i="86"/>
  <c r="CG20" i="86"/>
  <c r="CI20" i="86"/>
  <c r="CJ20" i="86"/>
  <c r="CK20" i="86"/>
  <c r="CL20" i="86"/>
  <c r="CM20" i="86"/>
  <c r="CN20" i="86"/>
  <c r="CO20" i="86"/>
  <c r="CP20" i="86"/>
  <c r="CQ20" i="86"/>
  <c r="CR20" i="86"/>
  <c r="CS20" i="86"/>
  <c r="CT20" i="86"/>
  <c r="CU20" i="86"/>
  <c r="CW20" i="86"/>
  <c r="CX20" i="86"/>
  <c r="CY20" i="86"/>
  <c r="CZ20" i="86"/>
  <c r="DA20" i="86"/>
  <c r="DB20" i="86"/>
  <c r="DC20" i="86"/>
  <c r="DD20" i="86"/>
  <c r="DE20" i="86"/>
  <c r="DF20" i="86"/>
  <c r="DG20" i="86"/>
  <c r="DH20" i="86"/>
  <c r="DI20" i="86"/>
  <c r="DK20" i="86"/>
  <c r="DL20" i="86"/>
  <c r="DM20" i="86"/>
  <c r="DN20" i="86"/>
  <c r="DO20" i="86"/>
  <c r="DP20" i="86"/>
  <c r="DQ20" i="86"/>
  <c r="DR20" i="86"/>
  <c r="DS20" i="86"/>
  <c r="DT20" i="86"/>
  <c r="DU20" i="86"/>
  <c r="DV20" i="86"/>
  <c r="DW20" i="86"/>
  <c r="DY20" i="86"/>
  <c r="DZ20" i="86"/>
  <c r="EA20" i="86"/>
  <c r="EB20" i="86"/>
  <c r="EC20" i="86"/>
  <c r="ED20" i="86"/>
  <c r="EE20" i="86"/>
  <c r="EF20" i="86"/>
  <c r="EG20" i="86"/>
  <c r="EH20" i="86"/>
  <c r="EI20" i="86"/>
  <c r="EJ20" i="86"/>
  <c r="EK20" i="86"/>
  <c r="AE21" i="86"/>
  <c r="AF21" i="86"/>
  <c r="AG21" i="86"/>
  <c r="AH21" i="86"/>
  <c r="AI21" i="86"/>
  <c r="AJ21" i="86"/>
  <c r="AK21" i="86"/>
  <c r="AL21" i="86"/>
  <c r="AM21" i="86"/>
  <c r="AN21" i="86"/>
  <c r="AO21" i="86"/>
  <c r="AP21" i="86"/>
  <c r="AQ21" i="86"/>
  <c r="AS21" i="86"/>
  <c r="AT21" i="86"/>
  <c r="AU21" i="86"/>
  <c r="AV21" i="86"/>
  <c r="AW21" i="86"/>
  <c r="AX21" i="86"/>
  <c r="AY21" i="86"/>
  <c r="AZ21" i="86"/>
  <c r="BA21" i="86"/>
  <c r="BB21" i="86"/>
  <c r="BC21" i="86"/>
  <c r="BD21" i="86"/>
  <c r="BE21" i="86"/>
  <c r="BG21" i="86"/>
  <c r="BH21" i="86"/>
  <c r="BI21" i="86"/>
  <c r="BJ21" i="86"/>
  <c r="BK21" i="86"/>
  <c r="BL21" i="86"/>
  <c r="BM21" i="86"/>
  <c r="BN21" i="86"/>
  <c r="BO21" i="86"/>
  <c r="BP21" i="86"/>
  <c r="BQ21" i="86"/>
  <c r="BR21" i="86"/>
  <c r="BS21" i="86"/>
  <c r="BU21" i="86"/>
  <c r="BV21" i="86"/>
  <c r="BW21" i="86"/>
  <c r="BX21" i="86"/>
  <c r="BY21" i="86"/>
  <c r="BZ21" i="86"/>
  <c r="CA21" i="86"/>
  <c r="CB21" i="86"/>
  <c r="CC21" i="86"/>
  <c r="CD21" i="86"/>
  <c r="CE21" i="86"/>
  <c r="CF21" i="86"/>
  <c r="CG21" i="86"/>
  <c r="CI21" i="86"/>
  <c r="CJ21" i="86"/>
  <c r="CK21" i="86"/>
  <c r="CL21" i="86"/>
  <c r="CM21" i="86"/>
  <c r="CN21" i="86"/>
  <c r="CO21" i="86"/>
  <c r="CP21" i="86"/>
  <c r="CQ21" i="86"/>
  <c r="CR21" i="86"/>
  <c r="CS21" i="86"/>
  <c r="CT21" i="86"/>
  <c r="CU21" i="86"/>
  <c r="CW21" i="86"/>
  <c r="CX21" i="86"/>
  <c r="CY21" i="86"/>
  <c r="CZ21" i="86"/>
  <c r="DA21" i="86"/>
  <c r="DB21" i="86"/>
  <c r="DC21" i="86"/>
  <c r="DD21" i="86"/>
  <c r="DE21" i="86"/>
  <c r="DF21" i="86"/>
  <c r="DG21" i="86"/>
  <c r="DH21" i="86"/>
  <c r="DI21" i="86"/>
  <c r="DK21" i="86"/>
  <c r="DL21" i="86"/>
  <c r="DM21" i="86"/>
  <c r="DN21" i="86"/>
  <c r="DO21" i="86"/>
  <c r="DP21" i="86"/>
  <c r="DQ21" i="86"/>
  <c r="DR21" i="86"/>
  <c r="DS21" i="86"/>
  <c r="DT21" i="86"/>
  <c r="DU21" i="86"/>
  <c r="DV21" i="86"/>
  <c r="DW21" i="86"/>
  <c r="DY21" i="86"/>
  <c r="DZ21" i="86"/>
  <c r="EA21" i="86"/>
  <c r="EB21" i="86"/>
  <c r="EC21" i="86"/>
  <c r="ED21" i="86"/>
  <c r="EE21" i="86"/>
  <c r="EF21" i="86"/>
  <c r="EG21" i="86"/>
  <c r="EH21" i="86"/>
  <c r="EI21" i="86"/>
  <c r="EJ21" i="86"/>
  <c r="EK21" i="86"/>
  <c r="C22" i="86"/>
  <c r="D22" i="86"/>
  <c r="E22" i="86"/>
  <c r="F22" i="86"/>
  <c r="G22" i="86"/>
  <c r="H22" i="86"/>
  <c r="I22" i="86"/>
  <c r="J22" i="86"/>
  <c r="K22" i="86"/>
  <c r="L22" i="86"/>
  <c r="M22" i="86"/>
  <c r="N22" i="86"/>
  <c r="O22" i="86"/>
  <c r="AC22" i="86"/>
  <c r="AE22" i="86"/>
  <c r="AF22" i="86"/>
  <c r="AG22" i="86"/>
  <c r="AH22" i="86"/>
  <c r="AI22" i="86"/>
  <c r="AJ22" i="86"/>
  <c r="AK22" i="86"/>
  <c r="AL22" i="86"/>
  <c r="AM22" i="86"/>
  <c r="AN22" i="86"/>
  <c r="AO22" i="86"/>
  <c r="AP22" i="86"/>
  <c r="AQ22" i="86"/>
  <c r="BE22" i="86"/>
  <c r="BG22" i="86"/>
  <c r="BH22" i="86"/>
  <c r="BI22" i="86"/>
  <c r="BJ22" i="86"/>
  <c r="BK22" i="86"/>
  <c r="BL22" i="86"/>
  <c r="BM22" i="86"/>
  <c r="BN22" i="86"/>
  <c r="BO22" i="86"/>
  <c r="BP22" i="86"/>
  <c r="BQ22" i="86"/>
  <c r="BR22" i="86"/>
  <c r="BS22" i="86"/>
  <c r="CG22" i="86"/>
  <c r="CU22" i="86"/>
  <c r="DI22" i="86"/>
  <c r="DW22" i="86"/>
  <c r="EK22" i="86"/>
  <c r="C23" i="86"/>
  <c r="D23" i="86"/>
  <c r="E23" i="86"/>
  <c r="F23" i="86"/>
  <c r="G23" i="86"/>
  <c r="H23" i="86"/>
  <c r="I23" i="86"/>
  <c r="J23" i="86"/>
  <c r="K23" i="86"/>
  <c r="L23" i="86"/>
  <c r="M23" i="86"/>
  <c r="N23" i="86"/>
  <c r="O23" i="86"/>
  <c r="Q23" i="86"/>
  <c r="R23" i="86"/>
  <c r="S23" i="86"/>
  <c r="T23" i="86"/>
  <c r="U23" i="86"/>
  <c r="V23" i="86"/>
  <c r="W23" i="86"/>
  <c r="X23" i="86"/>
  <c r="Y23" i="86"/>
  <c r="Z23" i="86"/>
  <c r="AA23" i="86"/>
  <c r="AB23" i="86"/>
  <c r="AC23" i="86"/>
  <c r="AE23" i="86"/>
  <c r="AF23" i="86"/>
  <c r="AG23" i="86"/>
  <c r="AH23" i="86"/>
  <c r="AI23" i="86"/>
  <c r="AJ23" i="86"/>
  <c r="AK23" i="86"/>
  <c r="AL23" i="86"/>
  <c r="AM23" i="86"/>
  <c r="AN23" i="86"/>
  <c r="AO23" i="86"/>
  <c r="AP23" i="86"/>
  <c r="AQ23" i="86"/>
  <c r="BE23" i="86"/>
  <c r="BG23" i="86"/>
  <c r="BH23" i="86"/>
  <c r="BI23" i="86"/>
  <c r="BJ23" i="86"/>
  <c r="BK23" i="86"/>
  <c r="BL23" i="86"/>
  <c r="BM23" i="86"/>
  <c r="BN23" i="86"/>
  <c r="BO23" i="86"/>
  <c r="BP23" i="86"/>
  <c r="BQ23" i="86"/>
  <c r="BR23" i="86"/>
  <c r="BS23" i="86"/>
  <c r="CG23" i="86"/>
  <c r="CU23" i="86"/>
  <c r="DI23" i="86"/>
  <c r="DW23" i="86"/>
  <c r="EK23" i="86"/>
  <c r="C24" i="86"/>
  <c r="D24" i="86"/>
  <c r="E24" i="86"/>
  <c r="F24" i="86"/>
  <c r="G24" i="86"/>
  <c r="H24" i="86"/>
  <c r="I24" i="86"/>
  <c r="J24" i="86"/>
  <c r="K24" i="86"/>
  <c r="L24" i="86"/>
  <c r="M24" i="86"/>
  <c r="N24" i="86"/>
  <c r="O24" i="86"/>
  <c r="AC24" i="86"/>
  <c r="AE24" i="86"/>
  <c r="AF24" i="86"/>
  <c r="AG24" i="86"/>
  <c r="AH24" i="86"/>
  <c r="AI24" i="86"/>
  <c r="AJ24" i="86"/>
  <c r="AK24" i="86"/>
  <c r="AL24" i="86"/>
  <c r="AM24" i="86"/>
  <c r="AN24" i="86"/>
  <c r="AO24" i="86"/>
  <c r="AP24" i="86"/>
  <c r="AQ24" i="86"/>
  <c r="BE24" i="86"/>
  <c r="BG24" i="86"/>
  <c r="BH24" i="86"/>
  <c r="BI24" i="86"/>
  <c r="BJ24" i="86"/>
  <c r="BK24" i="86"/>
  <c r="BL24" i="86"/>
  <c r="BM24" i="86"/>
  <c r="BN24" i="86"/>
  <c r="BO24" i="86"/>
  <c r="BP24" i="86"/>
  <c r="BQ24" i="86"/>
  <c r="BR24" i="86"/>
  <c r="BS24" i="86"/>
  <c r="CG24" i="86"/>
  <c r="CU24" i="86"/>
  <c r="DI24" i="86"/>
  <c r="DW24" i="86"/>
  <c r="EK24" i="86"/>
  <c r="C25" i="86"/>
  <c r="Q26" i="86"/>
  <c r="C26" i="86" s="1"/>
  <c r="R26" i="86"/>
  <c r="S25" i="86" s="1"/>
  <c r="S26" i="86"/>
  <c r="T26" i="86"/>
  <c r="U26" i="86"/>
  <c r="G26" i="86" s="1"/>
  <c r="V26" i="86"/>
  <c r="H26" i="86" s="1"/>
  <c r="W26" i="86"/>
  <c r="X26" i="86"/>
  <c r="Y26" i="86"/>
  <c r="Z25" i="86" s="1"/>
  <c r="Z26" i="86"/>
  <c r="L26" i="86" s="1"/>
  <c r="AA26" i="86"/>
  <c r="AB25" i="86" s="1"/>
  <c r="AB26" i="86"/>
  <c r="AC26" i="86" s="1"/>
  <c r="AC21" i="86" s="1"/>
  <c r="AQ26" i="86"/>
  <c r="BE26" i="86"/>
  <c r="BS26" i="86"/>
  <c r="CG26" i="86"/>
  <c r="CU26" i="86"/>
  <c r="DI26" i="86"/>
  <c r="DW26" i="86"/>
  <c r="EK26" i="86"/>
  <c r="AE27" i="86"/>
  <c r="AF27" i="86"/>
  <c r="AG27" i="86"/>
  <c r="AH27" i="86"/>
  <c r="AI27" i="86"/>
  <c r="AJ27" i="86"/>
  <c r="AK27" i="86"/>
  <c r="AL27" i="86"/>
  <c r="AM27" i="86"/>
  <c r="AN27" i="86"/>
  <c r="AO27" i="86"/>
  <c r="AP27" i="86"/>
  <c r="AQ27" i="86"/>
  <c r="AS27" i="86"/>
  <c r="AT27" i="86"/>
  <c r="AU27" i="86"/>
  <c r="AV27" i="86"/>
  <c r="AW27" i="86"/>
  <c r="AX27" i="86"/>
  <c r="AY27" i="86"/>
  <c r="AZ27" i="86"/>
  <c r="BA27" i="86"/>
  <c r="BB27" i="86"/>
  <c r="BC27" i="86"/>
  <c r="BD27" i="86"/>
  <c r="BE27" i="86"/>
  <c r="BG27" i="86"/>
  <c r="BH27" i="86"/>
  <c r="BI27" i="86"/>
  <c r="BJ27" i="86"/>
  <c r="BK27" i="86"/>
  <c r="BL27" i="86"/>
  <c r="BM27" i="86"/>
  <c r="BN27" i="86"/>
  <c r="BO27" i="86"/>
  <c r="BP27" i="86"/>
  <c r="BQ27" i="86"/>
  <c r="BR27" i="86"/>
  <c r="BS27" i="86"/>
  <c r="BU27" i="86"/>
  <c r="BV27" i="86"/>
  <c r="BW27" i="86"/>
  <c r="BX27" i="86"/>
  <c r="BY27" i="86"/>
  <c r="BZ27" i="86"/>
  <c r="CA27" i="86"/>
  <c r="CB27" i="86"/>
  <c r="CC27" i="86"/>
  <c r="CD27" i="86"/>
  <c r="CE27" i="86"/>
  <c r="CF27" i="86"/>
  <c r="CG27" i="86"/>
  <c r="CI27" i="86"/>
  <c r="CJ27" i="86"/>
  <c r="CK27" i="86"/>
  <c r="CL27" i="86"/>
  <c r="CM27" i="86"/>
  <c r="CN27" i="86"/>
  <c r="CO27" i="86"/>
  <c r="CP27" i="86"/>
  <c r="CQ27" i="86"/>
  <c r="CR27" i="86"/>
  <c r="CS27" i="86"/>
  <c r="CT27" i="86"/>
  <c r="CU27" i="86"/>
  <c r="CW27" i="86"/>
  <c r="CX27" i="86"/>
  <c r="CY27" i="86"/>
  <c r="CZ27" i="86"/>
  <c r="DA27" i="86"/>
  <c r="DB27" i="86"/>
  <c r="DC27" i="86"/>
  <c r="DD27" i="86"/>
  <c r="DE27" i="86"/>
  <c r="DF27" i="86"/>
  <c r="DG27" i="86"/>
  <c r="DH27" i="86"/>
  <c r="DI27" i="86"/>
  <c r="DK27" i="86"/>
  <c r="DL27" i="86"/>
  <c r="DM27" i="86"/>
  <c r="DN27" i="86"/>
  <c r="DO27" i="86"/>
  <c r="DP27" i="86"/>
  <c r="DQ27" i="86"/>
  <c r="DR27" i="86"/>
  <c r="DS27" i="86"/>
  <c r="DT27" i="86"/>
  <c r="DU27" i="86"/>
  <c r="DV27" i="86"/>
  <c r="DW27" i="86"/>
  <c r="DY27" i="86"/>
  <c r="DZ27" i="86"/>
  <c r="EA27" i="86"/>
  <c r="EB27" i="86"/>
  <c r="EC27" i="86"/>
  <c r="ED27" i="86"/>
  <c r="EE27" i="86"/>
  <c r="EF27" i="86"/>
  <c r="EG27" i="86"/>
  <c r="EH27" i="86"/>
  <c r="EI27" i="86"/>
  <c r="EJ27" i="86"/>
  <c r="EK27" i="86"/>
  <c r="AE28" i="86"/>
  <c r="AF28" i="86"/>
  <c r="AG28" i="86"/>
  <c r="AH28" i="86"/>
  <c r="AI28" i="86"/>
  <c r="AJ28" i="86"/>
  <c r="AK28" i="86"/>
  <c r="AL28" i="86"/>
  <c r="AM28" i="86"/>
  <c r="AN28" i="86"/>
  <c r="AO28" i="86"/>
  <c r="AP28" i="86"/>
  <c r="AQ28" i="86"/>
  <c r="AS28" i="86"/>
  <c r="AT28" i="86"/>
  <c r="AU28" i="86"/>
  <c r="AV28" i="86"/>
  <c r="AW28" i="86"/>
  <c r="AX28" i="86"/>
  <c r="AY28" i="86"/>
  <c r="AZ28" i="86"/>
  <c r="BA28" i="86"/>
  <c r="BB28" i="86"/>
  <c r="BC28" i="86"/>
  <c r="BD28" i="86"/>
  <c r="BE28" i="86"/>
  <c r="BG28" i="86"/>
  <c r="BH28" i="86"/>
  <c r="BI28" i="86"/>
  <c r="BJ28" i="86"/>
  <c r="BK28" i="86"/>
  <c r="BL28" i="86"/>
  <c r="BM28" i="86"/>
  <c r="BN28" i="86"/>
  <c r="BO28" i="86"/>
  <c r="BP28" i="86"/>
  <c r="BQ28" i="86"/>
  <c r="BR28" i="86"/>
  <c r="BS28" i="86"/>
  <c r="BU28" i="86"/>
  <c r="BV28" i="86"/>
  <c r="BW28" i="86"/>
  <c r="BX28" i="86"/>
  <c r="BY28" i="86"/>
  <c r="BZ28" i="86"/>
  <c r="CA28" i="86"/>
  <c r="CB28" i="86"/>
  <c r="CC28" i="86"/>
  <c r="CD28" i="86"/>
  <c r="CE28" i="86"/>
  <c r="CF28" i="86"/>
  <c r="CG28" i="86"/>
  <c r="CI28" i="86"/>
  <c r="CJ28" i="86"/>
  <c r="CK28" i="86"/>
  <c r="CL28" i="86"/>
  <c r="CM28" i="86"/>
  <c r="CN28" i="86"/>
  <c r="CO28" i="86"/>
  <c r="CP28" i="86"/>
  <c r="CQ28" i="86"/>
  <c r="CR28" i="86"/>
  <c r="CS28" i="86"/>
  <c r="CT28" i="86"/>
  <c r="CU28" i="86"/>
  <c r="CW28" i="86"/>
  <c r="CX28" i="86"/>
  <c r="CY28" i="86"/>
  <c r="CZ28" i="86"/>
  <c r="DA28" i="86"/>
  <c r="DB28" i="86"/>
  <c r="DC28" i="86"/>
  <c r="DD28" i="86"/>
  <c r="DE28" i="86"/>
  <c r="DF28" i="86"/>
  <c r="DG28" i="86"/>
  <c r="DH28" i="86"/>
  <c r="DI28" i="86"/>
  <c r="DK28" i="86"/>
  <c r="DL28" i="86"/>
  <c r="DM28" i="86"/>
  <c r="DN28" i="86"/>
  <c r="DO28" i="86"/>
  <c r="DP28" i="86"/>
  <c r="DQ28" i="86"/>
  <c r="DR28" i="86"/>
  <c r="DS28" i="86"/>
  <c r="DT28" i="86"/>
  <c r="DU28" i="86"/>
  <c r="DV28" i="86"/>
  <c r="DW28" i="86"/>
  <c r="DY28" i="86"/>
  <c r="DZ28" i="86"/>
  <c r="EA28" i="86"/>
  <c r="EB28" i="86"/>
  <c r="EC28" i="86"/>
  <c r="ED28" i="86"/>
  <c r="EE28" i="86"/>
  <c r="EF28" i="86"/>
  <c r="EG28" i="86"/>
  <c r="EH28" i="86"/>
  <c r="EI28" i="86"/>
  <c r="EJ28" i="86"/>
  <c r="EK28" i="86"/>
  <c r="C29" i="86"/>
  <c r="D29" i="86"/>
  <c r="E29" i="86"/>
  <c r="F29" i="86"/>
  <c r="G29" i="86"/>
  <c r="H29" i="86"/>
  <c r="I29" i="86"/>
  <c r="J29" i="86"/>
  <c r="K29" i="86"/>
  <c r="L29" i="86"/>
  <c r="M29" i="86"/>
  <c r="N29" i="86"/>
  <c r="O29" i="86"/>
  <c r="Q29" i="86"/>
  <c r="R29" i="86"/>
  <c r="S29" i="86"/>
  <c r="T29" i="86"/>
  <c r="U29" i="86"/>
  <c r="V29" i="86"/>
  <c r="W29" i="86"/>
  <c r="X29" i="86"/>
  <c r="Y29" i="86"/>
  <c r="Z29" i="86"/>
  <c r="AA29" i="86"/>
  <c r="AB29" i="86"/>
  <c r="AC29" i="86"/>
  <c r="AE29" i="86"/>
  <c r="AF29" i="86"/>
  <c r="AG29" i="86"/>
  <c r="AH29" i="86"/>
  <c r="AI29" i="86"/>
  <c r="AJ29" i="86"/>
  <c r="AK29" i="86"/>
  <c r="AL29" i="86"/>
  <c r="AM29" i="86"/>
  <c r="AN29" i="86"/>
  <c r="AO29" i="86"/>
  <c r="AP29" i="86"/>
  <c r="AQ29" i="86"/>
  <c r="AS29" i="86"/>
  <c r="AT29" i="86"/>
  <c r="AU29" i="86"/>
  <c r="AV29" i="86"/>
  <c r="AW29" i="86"/>
  <c r="AX29" i="86"/>
  <c r="AY29" i="86"/>
  <c r="AZ29" i="86"/>
  <c r="BA29" i="86"/>
  <c r="BB29" i="86"/>
  <c r="BC29" i="86"/>
  <c r="BD29" i="86"/>
  <c r="BE29" i="86"/>
  <c r="BG29" i="86"/>
  <c r="BH29" i="86"/>
  <c r="BI29" i="86"/>
  <c r="BJ29" i="86"/>
  <c r="BK29" i="86"/>
  <c r="BL29" i="86"/>
  <c r="BM29" i="86"/>
  <c r="BN29" i="86"/>
  <c r="BO29" i="86"/>
  <c r="BP29" i="86"/>
  <c r="BQ29" i="86"/>
  <c r="BR29" i="86"/>
  <c r="BS29" i="86"/>
  <c r="BU29" i="86"/>
  <c r="BV29" i="86"/>
  <c r="BW29" i="86"/>
  <c r="BX29" i="86"/>
  <c r="BY29" i="86"/>
  <c r="BZ29" i="86"/>
  <c r="CA29" i="86"/>
  <c r="CB29" i="86"/>
  <c r="CC29" i="86"/>
  <c r="CD29" i="86"/>
  <c r="CE29" i="86"/>
  <c r="CF29" i="86"/>
  <c r="CG29" i="86"/>
  <c r="CI29" i="86"/>
  <c r="CJ29" i="86"/>
  <c r="CK29" i="86"/>
  <c r="CL29" i="86"/>
  <c r="CM29" i="86"/>
  <c r="CN29" i="86"/>
  <c r="CO29" i="86"/>
  <c r="CP29" i="86"/>
  <c r="CQ29" i="86"/>
  <c r="CR29" i="86"/>
  <c r="CS29" i="86"/>
  <c r="CT29" i="86"/>
  <c r="CU29" i="86"/>
  <c r="CW29" i="86"/>
  <c r="CX29" i="86"/>
  <c r="CY29" i="86"/>
  <c r="CZ29" i="86"/>
  <c r="DA29" i="86"/>
  <c r="DB29" i="86"/>
  <c r="DC29" i="86"/>
  <c r="DD29" i="86"/>
  <c r="DE29" i="86"/>
  <c r="DF29" i="86"/>
  <c r="DG29" i="86"/>
  <c r="DH29" i="86"/>
  <c r="DI29" i="86"/>
  <c r="DK29" i="86"/>
  <c r="DL29" i="86"/>
  <c r="DM29" i="86"/>
  <c r="DN29" i="86"/>
  <c r="DO29" i="86"/>
  <c r="DP29" i="86"/>
  <c r="DQ29" i="86"/>
  <c r="DR29" i="86"/>
  <c r="DS29" i="86"/>
  <c r="DT29" i="86"/>
  <c r="DU29" i="86"/>
  <c r="DV29" i="86"/>
  <c r="DW29" i="86"/>
  <c r="DY29" i="86"/>
  <c r="DZ29" i="86"/>
  <c r="EA29" i="86"/>
  <c r="EB29" i="86"/>
  <c r="EC29" i="86"/>
  <c r="ED29" i="86"/>
  <c r="EE29" i="86"/>
  <c r="EF29" i="86"/>
  <c r="EG29" i="86"/>
  <c r="EH29" i="86"/>
  <c r="EI29" i="86"/>
  <c r="EJ29" i="86"/>
  <c r="EK29" i="86"/>
  <c r="C30" i="86"/>
  <c r="D30" i="86"/>
  <c r="E30" i="86"/>
  <c r="F30" i="86"/>
  <c r="G30" i="86"/>
  <c r="H30" i="86"/>
  <c r="I30" i="86"/>
  <c r="J30" i="86"/>
  <c r="K30" i="86"/>
  <c r="L30" i="86"/>
  <c r="M30" i="86"/>
  <c r="N30" i="86"/>
  <c r="O30" i="86"/>
  <c r="Q30" i="86"/>
  <c r="R30" i="86"/>
  <c r="S30" i="86"/>
  <c r="T30" i="86"/>
  <c r="U30" i="86"/>
  <c r="V30" i="86"/>
  <c r="W30" i="86"/>
  <c r="X30" i="86"/>
  <c r="Y30" i="86"/>
  <c r="Z30" i="86"/>
  <c r="AA30" i="86"/>
  <c r="AB30" i="86"/>
  <c r="AC30" i="86"/>
  <c r="AE30" i="86"/>
  <c r="AF30" i="86"/>
  <c r="AG30" i="86"/>
  <c r="AH30" i="86"/>
  <c r="AI30" i="86"/>
  <c r="AJ30" i="86"/>
  <c r="AK30" i="86"/>
  <c r="AL30" i="86"/>
  <c r="AM30" i="86"/>
  <c r="AN30" i="86"/>
  <c r="AO30" i="86"/>
  <c r="AP30" i="86"/>
  <c r="AQ30" i="86"/>
  <c r="AS30" i="86"/>
  <c r="AT30" i="86"/>
  <c r="AU30" i="86"/>
  <c r="AV30" i="86"/>
  <c r="AW30" i="86"/>
  <c r="AX30" i="86"/>
  <c r="AY30" i="86"/>
  <c r="AZ30" i="86"/>
  <c r="BA30" i="86"/>
  <c r="BB30" i="86"/>
  <c r="BC30" i="86"/>
  <c r="BD30" i="86"/>
  <c r="BE30" i="86"/>
  <c r="BG30" i="86"/>
  <c r="BH30" i="86"/>
  <c r="BI30" i="86"/>
  <c r="BJ30" i="86"/>
  <c r="BK30" i="86"/>
  <c r="BL30" i="86"/>
  <c r="BM30" i="86"/>
  <c r="BN30" i="86"/>
  <c r="BO30" i="86"/>
  <c r="BP30" i="86"/>
  <c r="BQ30" i="86"/>
  <c r="BR30" i="86"/>
  <c r="BS30" i="86"/>
  <c r="BU30" i="86"/>
  <c r="BV30" i="86"/>
  <c r="BW30" i="86"/>
  <c r="BX30" i="86"/>
  <c r="BY30" i="86"/>
  <c r="BZ30" i="86"/>
  <c r="CA30" i="86"/>
  <c r="CB30" i="86"/>
  <c r="CC30" i="86"/>
  <c r="CD30" i="86"/>
  <c r="CE30" i="86"/>
  <c r="CF30" i="86"/>
  <c r="CG30" i="86"/>
  <c r="CI30" i="86"/>
  <c r="CJ30" i="86"/>
  <c r="CK30" i="86"/>
  <c r="CL30" i="86"/>
  <c r="CM30" i="86"/>
  <c r="CN30" i="86"/>
  <c r="CO30" i="86"/>
  <c r="CP30" i="86"/>
  <c r="CQ30" i="86"/>
  <c r="CR30" i="86"/>
  <c r="CS30" i="86"/>
  <c r="CT30" i="86"/>
  <c r="CU30" i="86"/>
  <c r="CW30" i="86"/>
  <c r="CX30" i="86"/>
  <c r="CY30" i="86"/>
  <c r="CZ30" i="86"/>
  <c r="DA30" i="86"/>
  <c r="DB30" i="86"/>
  <c r="DC30" i="86"/>
  <c r="DD30" i="86"/>
  <c r="DE30" i="86"/>
  <c r="DF30" i="86"/>
  <c r="DG30" i="86"/>
  <c r="DH30" i="86"/>
  <c r="DI30" i="86"/>
  <c r="DK30" i="86"/>
  <c r="DL30" i="86"/>
  <c r="DM30" i="86"/>
  <c r="DN30" i="86"/>
  <c r="DO30" i="86"/>
  <c r="DP30" i="86"/>
  <c r="DQ30" i="86"/>
  <c r="DR30" i="86"/>
  <c r="DS30" i="86"/>
  <c r="DT30" i="86"/>
  <c r="DU30" i="86"/>
  <c r="DV30" i="86"/>
  <c r="DW30" i="86"/>
  <c r="DY30" i="86"/>
  <c r="DZ30" i="86"/>
  <c r="EA30" i="86"/>
  <c r="EB30" i="86"/>
  <c r="EC30" i="86"/>
  <c r="ED30" i="86"/>
  <c r="EE30" i="86"/>
  <c r="EF30" i="86"/>
  <c r="EG30" i="86"/>
  <c r="EH30" i="86"/>
  <c r="EI30" i="86"/>
  <c r="EJ30" i="86"/>
  <c r="EK30" i="86"/>
  <c r="C31" i="86"/>
  <c r="D31" i="86"/>
  <c r="E31" i="86"/>
  <c r="F31" i="86"/>
  <c r="G31" i="86"/>
  <c r="H31" i="86"/>
  <c r="I31" i="86"/>
  <c r="J31" i="86"/>
  <c r="K31" i="86"/>
  <c r="L31" i="86"/>
  <c r="M31" i="86"/>
  <c r="N31" i="86"/>
  <c r="O31" i="86"/>
  <c r="Q31" i="86"/>
  <c r="R31" i="86"/>
  <c r="S31" i="86"/>
  <c r="T31" i="86"/>
  <c r="U31" i="86"/>
  <c r="V31" i="86"/>
  <c r="W31" i="86"/>
  <c r="X31" i="86"/>
  <c r="Y31" i="86"/>
  <c r="Z31" i="86"/>
  <c r="AA31" i="86"/>
  <c r="AB31" i="86"/>
  <c r="AC31" i="86"/>
  <c r="AE31" i="86"/>
  <c r="AF31" i="86"/>
  <c r="AG31" i="86"/>
  <c r="AH31" i="86"/>
  <c r="AI31" i="86"/>
  <c r="AJ31" i="86"/>
  <c r="AK31" i="86"/>
  <c r="AL31" i="86"/>
  <c r="AM31" i="86"/>
  <c r="AN31" i="86"/>
  <c r="AO31" i="86"/>
  <c r="AP31" i="86"/>
  <c r="AQ31" i="86"/>
  <c r="AS31" i="86"/>
  <c r="AT31" i="86"/>
  <c r="AU31" i="86"/>
  <c r="AV31" i="86"/>
  <c r="AW31" i="86"/>
  <c r="AX31" i="86"/>
  <c r="AY31" i="86"/>
  <c r="AZ31" i="86"/>
  <c r="BA31" i="86"/>
  <c r="BB31" i="86"/>
  <c r="BC31" i="86"/>
  <c r="BD31" i="86"/>
  <c r="BE31" i="86"/>
  <c r="BG31" i="86"/>
  <c r="BH31" i="86"/>
  <c r="BI31" i="86"/>
  <c r="BJ31" i="86"/>
  <c r="BK31" i="86"/>
  <c r="BL31" i="86"/>
  <c r="BM31" i="86"/>
  <c r="BN31" i="86"/>
  <c r="BO31" i="86"/>
  <c r="BP31" i="86"/>
  <c r="BQ31" i="86"/>
  <c r="BR31" i="86"/>
  <c r="BS31" i="86"/>
  <c r="BU31" i="86"/>
  <c r="BV31" i="86"/>
  <c r="BW31" i="86"/>
  <c r="BX31" i="86"/>
  <c r="BY31" i="86"/>
  <c r="BZ31" i="86"/>
  <c r="CA31" i="86"/>
  <c r="CB31" i="86"/>
  <c r="CC31" i="86"/>
  <c r="CD31" i="86"/>
  <c r="CE31" i="86"/>
  <c r="CF31" i="86"/>
  <c r="CG31" i="86"/>
  <c r="CI31" i="86"/>
  <c r="CJ31" i="86"/>
  <c r="CK31" i="86"/>
  <c r="CL31" i="86"/>
  <c r="CM31" i="86"/>
  <c r="CN31" i="86"/>
  <c r="CO31" i="86"/>
  <c r="CP31" i="86"/>
  <c r="CQ31" i="86"/>
  <c r="CR31" i="86"/>
  <c r="CS31" i="86"/>
  <c r="CT31" i="86"/>
  <c r="CU31" i="86"/>
  <c r="CW31" i="86"/>
  <c r="CX31" i="86"/>
  <c r="CY31" i="86"/>
  <c r="CZ31" i="86"/>
  <c r="DA31" i="86"/>
  <c r="DB31" i="86"/>
  <c r="DC31" i="86"/>
  <c r="DD31" i="86"/>
  <c r="DE31" i="86"/>
  <c r="DF31" i="86"/>
  <c r="DG31" i="86"/>
  <c r="DH31" i="86"/>
  <c r="DI31" i="86"/>
  <c r="DK31" i="86"/>
  <c r="DL31" i="86"/>
  <c r="DM31" i="86"/>
  <c r="DN31" i="86"/>
  <c r="DO31" i="86"/>
  <c r="DP31" i="86"/>
  <c r="DQ31" i="86"/>
  <c r="DR31" i="86"/>
  <c r="DS31" i="86"/>
  <c r="DT31" i="86"/>
  <c r="DU31" i="86"/>
  <c r="DV31" i="86"/>
  <c r="DW31" i="86"/>
  <c r="DY31" i="86"/>
  <c r="DZ31" i="86"/>
  <c r="EA31" i="86"/>
  <c r="EB31" i="86"/>
  <c r="EC31" i="86"/>
  <c r="ED31" i="86"/>
  <c r="EE31" i="86"/>
  <c r="EF31" i="86"/>
  <c r="EG31" i="86"/>
  <c r="EH31" i="86"/>
  <c r="EI31" i="86"/>
  <c r="EJ31" i="86"/>
  <c r="EK31" i="86"/>
  <c r="C32" i="86"/>
  <c r="D32" i="86"/>
  <c r="E32" i="86"/>
  <c r="F32" i="86"/>
  <c r="G32" i="86"/>
  <c r="H32" i="86"/>
  <c r="I32" i="86"/>
  <c r="J32" i="86"/>
  <c r="K32" i="86"/>
  <c r="L32" i="86"/>
  <c r="M32" i="86"/>
  <c r="N32" i="86"/>
  <c r="O32" i="86"/>
  <c r="AC32" i="86"/>
  <c r="AQ32" i="86"/>
  <c r="BE32" i="86"/>
  <c r="BG32" i="86"/>
  <c r="BH32" i="86"/>
  <c r="BI32" i="86"/>
  <c r="BJ32" i="86"/>
  <c r="BK32" i="86"/>
  <c r="BL32" i="86"/>
  <c r="BM32" i="86"/>
  <c r="BN32" i="86"/>
  <c r="BO32" i="86"/>
  <c r="BP32" i="86"/>
  <c r="BQ32" i="86"/>
  <c r="BR32" i="86"/>
  <c r="BS32" i="86"/>
  <c r="CG32" i="86"/>
  <c r="CU32" i="86"/>
  <c r="DI32" i="86"/>
  <c r="DW32" i="86"/>
  <c r="EK32" i="86"/>
  <c r="C33" i="86"/>
  <c r="D33" i="86"/>
  <c r="E33" i="86"/>
  <c r="F33" i="86"/>
  <c r="G33" i="86"/>
  <c r="H33" i="86"/>
  <c r="I33" i="86"/>
  <c r="J33" i="86"/>
  <c r="K33" i="86"/>
  <c r="L33" i="86"/>
  <c r="M33" i="86"/>
  <c r="N33" i="86"/>
  <c r="O33" i="86"/>
  <c r="AC33" i="86"/>
  <c r="AQ33" i="86"/>
  <c r="BE33" i="86"/>
  <c r="BG33" i="86"/>
  <c r="BH33" i="86"/>
  <c r="BI33" i="86"/>
  <c r="BJ33" i="86"/>
  <c r="BK33" i="86"/>
  <c r="BL33" i="86"/>
  <c r="BM33" i="86"/>
  <c r="BN33" i="86"/>
  <c r="BO33" i="86"/>
  <c r="BP33" i="86"/>
  <c r="BQ33" i="86"/>
  <c r="BR33" i="86"/>
  <c r="BS33" i="86"/>
  <c r="CG33" i="86"/>
  <c r="CU33" i="86"/>
  <c r="DI33" i="86"/>
  <c r="DW33" i="86"/>
  <c r="EK33" i="86"/>
  <c r="C34" i="86"/>
  <c r="D34" i="86"/>
  <c r="E34" i="86"/>
  <c r="F34" i="86"/>
  <c r="G34" i="86"/>
  <c r="H34" i="86"/>
  <c r="I34" i="86"/>
  <c r="J34" i="86"/>
  <c r="K34" i="86"/>
  <c r="L34" i="86"/>
  <c r="M34" i="86"/>
  <c r="N34" i="86"/>
  <c r="O34" i="86"/>
  <c r="AC34" i="86"/>
  <c r="AQ34" i="86"/>
  <c r="BE34" i="86"/>
  <c r="BG34" i="86"/>
  <c r="BH34" i="86"/>
  <c r="BI34" i="86"/>
  <c r="BJ34" i="86"/>
  <c r="BK34" i="86"/>
  <c r="BL34" i="86"/>
  <c r="BM34" i="86"/>
  <c r="BN34" i="86"/>
  <c r="BO34" i="86"/>
  <c r="BP34" i="86"/>
  <c r="BQ34" i="86"/>
  <c r="BR34" i="86"/>
  <c r="BS34" i="86"/>
  <c r="CG34" i="86"/>
  <c r="CU34" i="86"/>
  <c r="DI34" i="86"/>
  <c r="DW34" i="86"/>
  <c r="EK34" i="86"/>
  <c r="C35" i="86"/>
  <c r="D35" i="86"/>
  <c r="E35" i="86"/>
  <c r="F35" i="86"/>
  <c r="G35" i="86"/>
  <c r="H35" i="86"/>
  <c r="I35" i="86"/>
  <c r="J35" i="86"/>
  <c r="K35" i="86"/>
  <c r="L35" i="86"/>
  <c r="M35" i="86"/>
  <c r="N35" i="86"/>
  <c r="O35" i="86"/>
  <c r="AC35" i="86"/>
  <c r="AE35" i="86"/>
  <c r="AF35" i="86"/>
  <c r="AG35" i="86"/>
  <c r="AH35" i="86"/>
  <c r="AI35" i="86"/>
  <c r="AJ35" i="86"/>
  <c r="AK35" i="86"/>
  <c r="AL35" i="86"/>
  <c r="AM35" i="86"/>
  <c r="AN35" i="86"/>
  <c r="AO35" i="86"/>
  <c r="AP35" i="86"/>
  <c r="AQ35" i="86"/>
  <c r="BE35" i="86"/>
  <c r="BG35" i="86"/>
  <c r="BH35" i="86"/>
  <c r="BI35" i="86"/>
  <c r="BJ35" i="86"/>
  <c r="BK35" i="86"/>
  <c r="BL35" i="86"/>
  <c r="BM35" i="86"/>
  <c r="BN35" i="86"/>
  <c r="BO35" i="86"/>
  <c r="BP35" i="86"/>
  <c r="BQ35" i="86"/>
  <c r="BR35" i="86"/>
  <c r="BS35" i="86"/>
  <c r="CG35" i="86"/>
  <c r="CU35" i="86"/>
  <c r="DI35" i="86"/>
  <c r="DW35" i="86"/>
  <c r="EK35" i="86"/>
  <c r="C36" i="86"/>
  <c r="D36" i="86"/>
  <c r="E36" i="86"/>
  <c r="F36" i="86"/>
  <c r="G36" i="86"/>
  <c r="H36" i="86"/>
  <c r="I36" i="86"/>
  <c r="J36" i="86"/>
  <c r="K36" i="86"/>
  <c r="L36" i="86"/>
  <c r="M36" i="86"/>
  <c r="N36" i="86"/>
  <c r="O36" i="86"/>
  <c r="AC36" i="86"/>
  <c r="AE36" i="86"/>
  <c r="AF36" i="86"/>
  <c r="AG36" i="86"/>
  <c r="AH36" i="86"/>
  <c r="AI36" i="86"/>
  <c r="AJ36" i="86"/>
  <c r="AK36" i="86"/>
  <c r="AL36" i="86"/>
  <c r="AM36" i="86"/>
  <c r="AN36" i="86"/>
  <c r="AO36" i="86"/>
  <c r="AP36" i="86"/>
  <c r="AQ36" i="86"/>
  <c r="BE36" i="86"/>
  <c r="BG36" i="86"/>
  <c r="BH36" i="86"/>
  <c r="BI36" i="86"/>
  <c r="BJ36" i="86"/>
  <c r="BK36" i="86"/>
  <c r="BL36" i="86"/>
  <c r="BM36" i="86"/>
  <c r="BN36" i="86"/>
  <c r="BO36" i="86"/>
  <c r="BP36" i="86"/>
  <c r="BQ36" i="86"/>
  <c r="BR36" i="86"/>
  <c r="BS36" i="86"/>
  <c r="CG36" i="86"/>
  <c r="CU36" i="86"/>
  <c r="DI36" i="86"/>
  <c r="DW36" i="86"/>
  <c r="EK36" i="86"/>
  <c r="C37" i="86"/>
  <c r="D37" i="86"/>
  <c r="E37" i="86"/>
  <c r="F37" i="86"/>
  <c r="G37" i="86"/>
  <c r="H37" i="86"/>
  <c r="I37" i="86"/>
  <c r="J37" i="86"/>
  <c r="K37" i="86"/>
  <c r="L37" i="86"/>
  <c r="M37" i="86"/>
  <c r="N37" i="86"/>
  <c r="O37" i="86"/>
  <c r="AC37" i="86"/>
  <c r="AE37" i="86"/>
  <c r="AF37" i="86"/>
  <c r="AG37" i="86"/>
  <c r="AH37" i="86"/>
  <c r="AI37" i="86"/>
  <c r="AJ37" i="86"/>
  <c r="AK37" i="86"/>
  <c r="AL37" i="86"/>
  <c r="AM37" i="86"/>
  <c r="AN37" i="86"/>
  <c r="AO37" i="86"/>
  <c r="AP37" i="86"/>
  <c r="AQ37" i="86"/>
  <c r="BE37" i="86"/>
  <c r="BG37" i="86"/>
  <c r="BH37" i="86"/>
  <c r="BI37" i="86"/>
  <c r="BJ37" i="86"/>
  <c r="BK37" i="86"/>
  <c r="BL37" i="86"/>
  <c r="BM37" i="86"/>
  <c r="BN37" i="86"/>
  <c r="BO37" i="86"/>
  <c r="BP37" i="86"/>
  <c r="BQ37" i="86"/>
  <c r="BR37" i="86"/>
  <c r="BS37" i="86"/>
  <c r="CG37" i="86"/>
  <c r="CU37" i="86"/>
  <c r="DI37" i="86"/>
  <c r="DW37" i="86"/>
  <c r="EK37" i="86"/>
  <c r="C38" i="86"/>
  <c r="D38" i="86"/>
  <c r="E38" i="86"/>
  <c r="F38" i="86"/>
  <c r="G38" i="86"/>
  <c r="H38" i="86"/>
  <c r="I38" i="86"/>
  <c r="J38" i="86"/>
  <c r="K38" i="86"/>
  <c r="L38" i="86"/>
  <c r="M38" i="86"/>
  <c r="N38" i="86"/>
  <c r="O38" i="86"/>
  <c r="AC38" i="86"/>
  <c r="AE38" i="86"/>
  <c r="AF38" i="86"/>
  <c r="AG38" i="86"/>
  <c r="AH38" i="86"/>
  <c r="AI38" i="86"/>
  <c r="AJ38" i="86"/>
  <c r="AK38" i="86"/>
  <c r="AL38" i="86"/>
  <c r="AM38" i="86"/>
  <c r="AN38" i="86"/>
  <c r="AO38" i="86"/>
  <c r="AP38" i="86"/>
  <c r="AQ38" i="86"/>
  <c r="BE38" i="86"/>
  <c r="BG38" i="86"/>
  <c r="BH38" i="86"/>
  <c r="BI38" i="86"/>
  <c r="BJ38" i="86"/>
  <c r="BK38" i="86"/>
  <c r="BL38" i="86"/>
  <c r="BM38" i="86"/>
  <c r="BN38" i="86"/>
  <c r="BO38" i="86"/>
  <c r="BP38" i="86"/>
  <c r="BQ38" i="86"/>
  <c r="BR38" i="86"/>
  <c r="BS38" i="86"/>
  <c r="CG38" i="86"/>
  <c r="CU38" i="86"/>
  <c r="DI38" i="86"/>
  <c r="DW38" i="86"/>
  <c r="EK38" i="86"/>
  <c r="C39" i="86"/>
  <c r="D39" i="86"/>
  <c r="E39" i="86"/>
  <c r="F39" i="86"/>
  <c r="G39" i="86"/>
  <c r="H39" i="86"/>
  <c r="I39" i="86"/>
  <c r="J39" i="86"/>
  <c r="K39" i="86"/>
  <c r="L39" i="86"/>
  <c r="M39" i="86"/>
  <c r="N39" i="86"/>
  <c r="O39" i="86"/>
  <c r="AC39" i="86"/>
  <c r="AE39" i="86"/>
  <c r="AF39" i="86"/>
  <c r="AG39" i="86"/>
  <c r="AH39" i="86"/>
  <c r="AI39" i="86"/>
  <c r="AJ39" i="86"/>
  <c r="AK39" i="86"/>
  <c r="AL39" i="86"/>
  <c r="AM39" i="86"/>
  <c r="AN39" i="86"/>
  <c r="AO39" i="86"/>
  <c r="AP39" i="86"/>
  <c r="AQ39" i="86"/>
  <c r="BE39" i="86"/>
  <c r="BG39" i="86"/>
  <c r="BH39" i="86"/>
  <c r="BI39" i="86"/>
  <c r="BJ39" i="86"/>
  <c r="BK39" i="86"/>
  <c r="BL39" i="86"/>
  <c r="BM39" i="86"/>
  <c r="BN39" i="86"/>
  <c r="BO39" i="86"/>
  <c r="BP39" i="86"/>
  <c r="BQ39" i="86"/>
  <c r="BR39" i="86"/>
  <c r="BS39" i="86"/>
  <c r="CG39" i="86"/>
  <c r="CU39" i="86"/>
  <c r="DI39" i="86"/>
  <c r="DW39" i="86"/>
  <c r="EK39" i="86"/>
  <c r="AE40" i="86"/>
  <c r="AF40" i="86"/>
  <c r="AG40" i="86"/>
  <c r="AH40" i="86"/>
  <c r="AI40" i="86"/>
  <c r="AJ40" i="86"/>
  <c r="AK40" i="86"/>
  <c r="AL40" i="86"/>
  <c r="AM40" i="86"/>
  <c r="AN40" i="86"/>
  <c r="AO40" i="86"/>
  <c r="AP40" i="86"/>
  <c r="AQ40" i="86"/>
  <c r="AS40" i="86"/>
  <c r="AT40" i="86"/>
  <c r="AU40" i="86"/>
  <c r="AV40" i="86"/>
  <c r="AW40" i="86"/>
  <c r="AX40" i="86"/>
  <c r="AY40" i="86"/>
  <c r="AZ40" i="86"/>
  <c r="BA40" i="86"/>
  <c r="BB40" i="86"/>
  <c r="BC40" i="86"/>
  <c r="BD40" i="86"/>
  <c r="BE40" i="86"/>
  <c r="BG40" i="86"/>
  <c r="BH40" i="86"/>
  <c r="BI40" i="86"/>
  <c r="BJ40" i="86"/>
  <c r="BK40" i="86"/>
  <c r="BL40" i="86"/>
  <c r="BM40" i="86"/>
  <c r="BN40" i="86"/>
  <c r="BO40" i="86"/>
  <c r="BP40" i="86"/>
  <c r="BQ40" i="86"/>
  <c r="BR40" i="86"/>
  <c r="BS40" i="86"/>
  <c r="BU40" i="86"/>
  <c r="BV40" i="86"/>
  <c r="BW40" i="86"/>
  <c r="BX40" i="86"/>
  <c r="BY40" i="86"/>
  <c r="BZ40" i="86"/>
  <c r="CA40" i="86"/>
  <c r="CB40" i="86"/>
  <c r="CC40" i="86"/>
  <c r="CD40" i="86"/>
  <c r="CE40" i="86"/>
  <c r="CF40" i="86"/>
  <c r="CG40" i="86"/>
  <c r="CI40" i="86"/>
  <c r="CJ40" i="86"/>
  <c r="CK40" i="86"/>
  <c r="CL40" i="86"/>
  <c r="CM40" i="86"/>
  <c r="CN40" i="86"/>
  <c r="CO40" i="86"/>
  <c r="CP40" i="86"/>
  <c r="CQ40" i="86"/>
  <c r="CR40" i="86"/>
  <c r="CS40" i="86"/>
  <c r="CT40" i="86"/>
  <c r="CU40" i="86"/>
  <c r="CW40" i="86"/>
  <c r="CX40" i="86"/>
  <c r="CY40" i="86"/>
  <c r="CZ40" i="86"/>
  <c r="DA40" i="86"/>
  <c r="DB40" i="86"/>
  <c r="DC40" i="86"/>
  <c r="DD40" i="86"/>
  <c r="DE40" i="86"/>
  <c r="DF40" i="86"/>
  <c r="DG40" i="86"/>
  <c r="DH40" i="86"/>
  <c r="DI40" i="86"/>
  <c r="DK40" i="86"/>
  <c r="DL40" i="86"/>
  <c r="DM40" i="86"/>
  <c r="DN40" i="86"/>
  <c r="DO40" i="86"/>
  <c r="DP40" i="86"/>
  <c r="DQ40" i="86"/>
  <c r="DR40" i="86"/>
  <c r="DS40" i="86"/>
  <c r="DT40" i="86"/>
  <c r="DU40" i="86"/>
  <c r="DV40" i="86"/>
  <c r="DW40" i="86"/>
  <c r="DY40" i="86"/>
  <c r="DZ40" i="86"/>
  <c r="EA40" i="86"/>
  <c r="EB40" i="86"/>
  <c r="EC40" i="86"/>
  <c r="ED40" i="86"/>
  <c r="EE40" i="86"/>
  <c r="EF40" i="86"/>
  <c r="EG40" i="86"/>
  <c r="EH40" i="86"/>
  <c r="EI40" i="86"/>
  <c r="EJ40" i="86"/>
  <c r="EK40" i="86"/>
  <c r="C41" i="86"/>
  <c r="D41" i="86"/>
  <c r="E41" i="86"/>
  <c r="F41" i="86"/>
  <c r="G41" i="86"/>
  <c r="H41" i="86"/>
  <c r="I41" i="86"/>
  <c r="J41" i="86"/>
  <c r="K41" i="86"/>
  <c r="L41" i="86"/>
  <c r="M41" i="86"/>
  <c r="N41" i="86"/>
  <c r="O41" i="86"/>
  <c r="AC41" i="86"/>
  <c r="AE41" i="86"/>
  <c r="AF41" i="86"/>
  <c r="AG41" i="86"/>
  <c r="AH41" i="86"/>
  <c r="AI41" i="86"/>
  <c r="AJ41" i="86"/>
  <c r="AK41" i="86"/>
  <c r="AL41" i="86"/>
  <c r="AM41" i="86"/>
  <c r="AN41" i="86"/>
  <c r="AO41" i="86"/>
  <c r="AP41" i="86"/>
  <c r="AQ41" i="86"/>
  <c r="BE41" i="86"/>
  <c r="BG41" i="86"/>
  <c r="BH41" i="86"/>
  <c r="BI41" i="86"/>
  <c r="BJ41" i="86"/>
  <c r="BK41" i="86"/>
  <c r="BL41" i="86"/>
  <c r="BM41" i="86"/>
  <c r="BN41" i="86"/>
  <c r="BO41" i="86"/>
  <c r="BP41" i="86"/>
  <c r="BQ41" i="86"/>
  <c r="BR41" i="86"/>
  <c r="BS41" i="86"/>
  <c r="CG41" i="86"/>
  <c r="CU41" i="86"/>
  <c r="DI41" i="86"/>
  <c r="DW41" i="86"/>
  <c r="EK41" i="86"/>
  <c r="C42" i="86"/>
  <c r="D42" i="86"/>
  <c r="E42" i="86"/>
  <c r="F42" i="86"/>
  <c r="G42" i="86"/>
  <c r="H42" i="86"/>
  <c r="I42" i="86"/>
  <c r="J42" i="86"/>
  <c r="K42" i="86"/>
  <c r="L42" i="86"/>
  <c r="M42" i="86"/>
  <c r="N42" i="86"/>
  <c r="O42" i="86"/>
  <c r="AC42" i="86"/>
  <c r="AE42" i="86"/>
  <c r="AF42" i="86"/>
  <c r="AG42" i="86"/>
  <c r="AH42" i="86"/>
  <c r="AI42" i="86"/>
  <c r="AJ42" i="86"/>
  <c r="AK42" i="86"/>
  <c r="AL42" i="86"/>
  <c r="AM42" i="86"/>
  <c r="AN42" i="86"/>
  <c r="AO42" i="86"/>
  <c r="AP42" i="86"/>
  <c r="AQ42" i="86"/>
  <c r="BE42" i="86"/>
  <c r="BG42" i="86"/>
  <c r="BH42" i="86"/>
  <c r="BI42" i="86"/>
  <c r="BJ42" i="86"/>
  <c r="BK42" i="86"/>
  <c r="BL42" i="86"/>
  <c r="BM42" i="86"/>
  <c r="BN42" i="86"/>
  <c r="BO42" i="86"/>
  <c r="BP42" i="86"/>
  <c r="BQ42" i="86"/>
  <c r="BR42" i="86"/>
  <c r="BS42" i="86"/>
  <c r="CG42" i="86"/>
  <c r="CU42" i="86"/>
  <c r="DI42" i="86"/>
  <c r="DW42" i="86"/>
  <c r="EK42" i="86"/>
  <c r="C43" i="86"/>
  <c r="D43" i="86"/>
  <c r="E43" i="86"/>
  <c r="F43" i="86"/>
  <c r="G43" i="86"/>
  <c r="H43" i="86"/>
  <c r="I43" i="86"/>
  <c r="J43" i="86"/>
  <c r="K43" i="86"/>
  <c r="L43" i="86"/>
  <c r="M43" i="86"/>
  <c r="N43" i="86"/>
  <c r="O43" i="86"/>
  <c r="Q43" i="86"/>
  <c r="R43" i="86"/>
  <c r="S43" i="86"/>
  <c r="T43" i="86"/>
  <c r="U43" i="86"/>
  <c r="V43" i="86"/>
  <c r="W43" i="86"/>
  <c r="X43" i="86"/>
  <c r="Y43" i="86"/>
  <c r="Z43" i="86"/>
  <c r="AA43" i="86"/>
  <c r="AB43" i="86"/>
  <c r="AC43" i="86"/>
  <c r="AE43" i="86"/>
  <c r="AF43" i="86"/>
  <c r="AG43" i="86"/>
  <c r="AH43" i="86"/>
  <c r="AI43" i="86"/>
  <c r="AJ43" i="86"/>
  <c r="AK43" i="86"/>
  <c r="AL43" i="86"/>
  <c r="AM43" i="86"/>
  <c r="AN43" i="86"/>
  <c r="AO43" i="86"/>
  <c r="AP43" i="86"/>
  <c r="AQ43" i="86"/>
  <c r="AS43" i="86"/>
  <c r="AT43" i="86"/>
  <c r="AU43" i="86"/>
  <c r="AV43" i="86"/>
  <c r="AW43" i="86"/>
  <c r="AX43" i="86"/>
  <c r="AY43" i="86"/>
  <c r="AZ43" i="86"/>
  <c r="BA43" i="86"/>
  <c r="BB43" i="86"/>
  <c r="BC43" i="86"/>
  <c r="BD43" i="86"/>
  <c r="BE43" i="86"/>
  <c r="BG43" i="86"/>
  <c r="BH43" i="86"/>
  <c r="BI43" i="86"/>
  <c r="BJ43" i="86"/>
  <c r="BK43" i="86"/>
  <c r="BL43" i="86"/>
  <c r="BM43" i="86"/>
  <c r="BN43" i="86"/>
  <c r="BO43" i="86"/>
  <c r="BP43" i="86"/>
  <c r="BQ43" i="86"/>
  <c r="BR43" i="86"/>
  <c r="BS43" i="86"/>
  <c r="BU43" i="86"/>
  <c r="BV43" i="86"/>
  <c r="BW43" i="86"/>
  <c r="BX43" i="86"/>
  <c r="BY43" i="86"/>
  <c r="BZ43" i="86"/>
  <c r="CA43" i="86"/>
  <c r="CB43" i="86"/>
  <c r="CC43" i="86"/>
  <c r="CD43" i="86"/>
  <c r="CE43" i="86"/>
  <c r="CF43" i="86"/>
  <c r="CG43" i="86"/>
  <c r="CI43" i="86"/>
  <c r="CJ43" i="86"/>
  <c r="CK43" i="86"/>
  <c r="CL43" i="86"/>
  <c r="CM43" i="86"/>
  <c r="CN43" i="86"/>
  <c r="CO43" i="86"/>
  <c r="CP43" i="86"/>
  <c r="CQ43" i="86"/>
  <c r="CR43" i="86"/>
  <c r="CS43" i="86"/>
  <c r="CT43" i="86"/>
  <c r="CU43" i="86"/>
  <c r="CW43" i="86"/>
  <c r="CX43" i="86"/>
  <c r="CY43" i="86"/>
  <c r="CZ43" i="86"/>
  <c r="DA43" i="86"/>
  <c r="DB43" i="86"/>
  <c r="DC43" i="86"/>
  <c r="DD43" i="86"/>
  <c r="DE43" i="86"/>
  <c r="DF43" i="86"/>
  <c r="DG43" i="86"/>
  <c r="DH43" i="86"/>
  <c r="DI43" i="86"/>
  <c r="DK43" i="86"/>
  <c r="DL43" i="86"/>
  <c r="DM43" i="86"/>
  <c r="DN43" i="86"/>
  <c r="DO43" i="86"/>
  <c r="DP43" i="86"/>
  <c r="DQ43" i="86"/>
  <c r="DR43" i="86"/>
  <c r="DS43" i="86"/>
  <c r="DT43" i="86"/>
  <c r="DU43" i="86"/>
  <c r="DV43" i="86"/>
  <c r="DW43" i="86"/>
  <c r="DY43" i="86"/>
  <c r="DZ43" i="86"/>
  <c r="EA43" i="86"/>
  <c r="EB43" i="86"/>
  <c r="EC43" i="86"/>
  <c r="ED43" i="86"/>
  <c r="EE43" i="86"/>
  <c r="EF43" i="86"/>
  <c r="EG43" i="86"/>
  <c r="EH43" i="86"/>
  <c r="EI43" i="86"/>
  <c r="EJ43" i="86"/>
  <c r="EK43" i="86"/>
  <c r="AE44" i="86"/>
  <c r="AF44" i="86"/>
  <c r="AG44" i="86"/>
  <c r="AH44" i="86"/>
  <c r="AI44" i="86"/>
  <c r="AJ44" i="86"/>
  <c r="AK44" i="86"/>
  <c r="AL44" i="86"/>
  <c r="AM44" i="86"/>
  <c r="AN44" i="86"/>
  <c r="AO44" i="86"/>
  <c r="AP44" i="86"/>
  <c r="AQ44" i="86"/>
  <c r="AS44" i="86"/>
  <c r="AT44" i="86"/>
  <c r="AU44" i="86"/>
  <c r="AV44" i="86"/>
  <c r="AW44" i="86"/>
  <c r="AX44" i="86"/>
  <c r="AY44" i="86"/>
  <c r="AZ44" i="86"/>
  <c r="BA44" i="86"/>
  <c r="BB44" i="86"/>
  <c r="BC44" i="86"/>
  <c r="BD44" i="86"/>
  <c r="BE44" i="86"/>
  <c r="BG44" i="86"/>
  <c r="BH44" i="86"/>
  <c r="BI44" i="86"/>
  <c r="BJ44" i="86"/>
  <c r="BK44" i="86"/>
  <c r="BL44" i="86"/>
  <c r="BM44" i="86"/>
  <c r="BN44" i="86"/>
  <c r="BO44" i="86"/>
  <c r="BP44" i="86"/>
  <c r="BQ44" i="86"/>
  <c r="BR44" i="86"/>
  <c r="BS44" i="86"/>
  <c r="BU44" i="86"/>
  <c r="BV44" i="86"/>
  <c r="BW44" i="86"/>
  <c r="BX44" i="86"/>
  <c r="BY44" i="86"/>
  <c r="BZ44" i="86"/>
  <c r="CA44" i="86"/>
  <c r="CB44" i="86"/>
  <c r="CC44" i="86"/>
  <c r="CD44" i="86"/>
  <c r="CE44" i="86"/>
  <c r="CF44" i="86"/>
  <c r="CG44" i="86"/>
  <c r="CI44" i="86"/>
  <c r="CJ44" i="86"/>
  <c r="CK44" i="86"/>
  <c r="CL44" i="86"/>
  <c r="CM44" i="86"/>
  <c r="CN44" i="86"/>
  <c r="CO44" i="86"/>
  <c r="CP44" i="86"/>
  <c r="CQ44" i="86"/>
  <c r="CR44" i="86"/>
  <c r="CS44" i="86"/>
  <c r="CT44" i="86"/>
  <c r="CU44" i="86"/>
  <c r="CW44" i="86"/>
  <c r="CX44" i="86"/>
  <c r="CY44" i="86"/>
  <c r="CZ44" i="86"/>
  <c r="DA44" i="86"/>
  <c r="DB44" i="86"/>
  <c r="DC44" i="86"/>
  <c r="DD44" i="86"/>
  <c r="DE44" i="86"/>
  <c r="DF44" i="86"/>
  <c r="DG44" i="86"/>
  <c r="DH44" i="86"/>
  <c r="DI44" i="86"/>
  <c r="DK44" i="86"/>
  <c r="DL44" i="86"/>
  <c r="DM44" i="86"/>
  <c r="DN44" i="86"/>
  <c r="DO44" i="86"/>
  <c r="DP44" i="86"/>
  <c r="DQ44" i="86"/>
  <c r="DR44" i="86"/>
  <c r="DS44" i="86"/>
  <c r="DT44" i="86"/>
  <c r="DU44" i="86"/>
  <c r="DV44" i="86"/>
  <c r="DW44" i="86"/>
  <c r="DY44" i="86"/>
  <c r="DZ44" i="86"/>
  <c r="EA44" i="86"/>
  <c r="EB44" i="86"/>
  <c r="EC44" i="86"/>
  <c r="ED44" i="86"/>
  <c r="EE44" i="86"/>
  <c r="EF44" i="86"/>
  <c r="EG44" i="86"/>
  <c r="EH44" i="86"/>
  <c r="EI44" i="86"/>
  <c r="EJ44" i="86"/>
  <c r="EK44" i="86"/>
  <c r="C45" i="86"/>
  <c r="D45" i="86"/>
  <c r="E45" i="86"/>
  <c r="F45" i="86"/>
  <c r="G45" i="86"/>
  <c r="H45" i="86"/>
  <c r="I45" i="86"/>
  <c r="J45" i="86"/>
  <c r="K45" i="86"/>
  <c r="L45" i="86"/>
  <c r="M45" i="86"/>
  <c r="N45" i="86"/>
  <c r="O45" i="86"/>
  <c r="AC45" i="86"/>
  <c r="AE45" i="86"/>
  <c r="AF45" i="86"/>
  <c r="AG45" i="86"/>
  <c r="AH45" i="86"/>
  <c r="AI45" i="86"/>
  <c r="AJ45" i="86"/>
  <c r="AK45" i="86"/>
  <c r="AL45" i="86"/>
  <c r="AM45" i="86"/>
  <c r="AN45" i="86"/>
  <c r="AO45" i="86"/>
  <c r="AP45" i="86"/>
  <c r="AQ45" i="86"/>
  <c r="BE45" i="86"/>
  <c r="BG45" i="86"/>
  <c r="BH45" i="86"/>
  <c r="BI45" i="86"/>
  <c r="BJ45" i="86"/>
  <c r="BK45" i="86"/>
  <c r="BL45" i="86"/>
  <c r="BM45" i="86"/>
  <c r="BN45" i="86"/>
  <c r="BO45" i="86"/>
  <c r="BP45" i="86"/>
  <c r="BQ45" i="86"/>
  <c r="BR45" i="86"/>
  <c r="BS45" i="86"/>
  <c r="CG45" i="86"/>
  <c r="CU45" i="86"/>
  <c r="DI45" i="86"/>
  <c r="DW45" i="86"/>
  <c r="EK45" i="86"/>
  <c r="C46" i="86"/>
  <c r="D46" i="86"/>
  <c r="E46" i="86"/>
  <c r="F46" i="86"/>
  <c r="G46" i="86"/>
  <c r="H46" i="86"/>
  <c r="I46" i="86"/>
  <c r="J46" i="86"/>
  <c r="K46" i="86"/>
  <c r="L46" i="86"/>
  <c r="M46" i="86"/>
  <c r="N46" i="86"/>
  <c r="O46" i="86"/>
  <c r="AC46" i="86"/>
  <c r="AE46" i="86"/>
  <c r="AF46" i="86"/>
  <c r="AG46" i="86"/>
  <c r="AH46" i="86"/>
  <c r="AI46" i="86"/>
  <c r="AJ46" i="86"/>
  <c r="AK46" i="86"/>
  <c r="AL46" i="86"/>
  <c r="AM46" i="86"/>
  <c r="AN46" i="86"/>
  <c r="AO46" i="86"/>
  <c r="AP46" i="86"/>
  <c r="AQ46" i="86"/>
  <c r="BE46" i="86"/>
  <c r="BG46" i="86"/>
  <c r="BH46" i="86"/>
  <c r="BI46" i="86"/>
  <c r="BJ46" i="86"/>
  <c r="BK46" i="86"/>
  <c r="BL46" i="86"/>
  <c r="BM46" i="86"/>
  <c r="BN46" i="86"/>
  <c r="BO46" i="86"/>
  <c r="BP46" i="86"/>
  <c r="BQ46" i="86"/>
  <c r="BR46" i="86"/>
  <c r="BS46" i="86"/>
  <c r="CG46" i="86"/>
  <c r="CU46" i="86"/>
  <c r="DI46" i="86"/>
  <c r="DW46" i="86"/>
  <c r="EK46" i="86"/>
  <c r="AE47" i="86"/>
  <c r="AF47" i="86"/>
  <c r="AG47" i="86"/>
  <c r="AH47" i="86"/>
  <c r="AI47" i="86"/>
  <c r="AJ47" i="86"/>
  <c r="AK47" i="86"/>
  <c r="AL47" i="86"/>
  <c r="AM47" i="86"/>
  <c r="AN47" i="86"/>
  <c r="AO47" i="86"/>
  <c r="AP47" i="86"/>
  <c r="AQ47" i="86"/>
  <c r="AS47" i="86"/>
  <c r="AT47" i="86"/>
  <c r="AU47" i="86"/>
  <c r="AV47" i="86"/>
  <c r="AW47" i="86"/>
  <c r="AX47" i="86"/>
  <c r="AY47" i="86"/>
  <c r="AZ47" i="86"/>
  <c r="BA47" i="86"/>
  <c r="BB47" i="86"/>
  <c r="BC47" i="86"/>
  <c r="BD47" i="86"/>
  <c r="BE47" i="86"/>
  <c r="BG47" i="86"/>
  <c r="BH47" i="86"/>
  <c r="BI47" i="86"/>
  <c r="BJ47" i="86"/>
  <c r="BK47" i="86"/>
  <c r="BL47" i="86"/>
  <c r="BM47" i="86"/>
  <c r="BN47" i="86"/>
  <c r="BO47" i="86"/>
  <c r="BP47" i="86"/>
  <c r="BQ47" i="86"/>
  <c r="BR47" i="86"/>
  <c r="BS47" i="86"/>
  <c r="BU47" i="86"/>
  <c r="BV47" i="86"/>
  <c r="BW47" i="86"/>
  <c r="BX47" i="86"/>
  <c r="BY47" i="86"/>
  <c r="BZ47" i="86"/>
  <c r="CA47" i="86"/>
  <c r="CB47" i="86"/>
  <c r="CC47" i="86"/>
  <c r="CD47" i="86"/>
  <c r="CE47" i="86"/>
  <c r="CF47" i="86"/>
  <c r="CG47" i="86"/>
  <c r="CI47" i="86"/>
  <c r="CJ47" i="86"/>
  <c r="CK47" i="86"/>
  <c r="CL47" i="86"/>
  <c r="CM47" i="86"/>
  <c r="CN47" i="86"/>
  <c r="CO47" i="86"/>
  <c r="CP47" i="86"/>
  <c r="CQ47" i="86"/>
  <c r="CR47" i="86"/>
  <c r="CS47" i="86"/>
  <c r="CT47" i="86"/>
  <c r="CU47" i="86"/>
  <c r="CW47" i="86"/>
  <c r="CX47" i="86"/>
  <c r="CY47" i="86"/>
  <c r="CZ47" i="86"/>
  <c r="DA47" i="86"/>
  <c r="DB47" i="86"/>
  <c r="DC47" i="86"/>
  <c r="DD47" i="86"/>
  <c r="DE47" i="86"/>
  <c r="DF47" i="86"/>
  <c r="DG47" i="86"/>
  <c r="DH47" i="86"/>
  <c r="DI47" i="86"/>
  <c r="DK47" i="86"/>
  <c r="DL47" i="86"/>
  <c r="DM47" i="86"/>
  <c r="DN47" i="86"/>
  <c r="DO47" i="86"/>
  <c r="DP47" i="86"/>
  <c r="DQ47" i="86"/>
  <c r="DR47" i="86"/>
  <c r="DS47" i="86"/>
  <c r="DT47" i="86"/>
  <c r="DU47" i="86"/>
  <c r="DV47" i="86"/>
  <c r="DW47" i="86"/>
  <c r="DY47" i="86"/>
  <c r="DZ47" i="86"/>
  <c r="EA47" i="86"/>
  <c r="EB47" i="86"/>
  <c r="EC47" i="86"/>
  <c r="ED47" i="86"/>
  <c r="EE47" i="86"/>
  <c r="EF47" i="86"/>
  <c r="EG47" i="86"/>
  <c r="EH47" i="86"/>
  <c r="EI47" i="86"/>
  <c r="EJ47" i="86"/>
  <c r="EK47" i="86"/>
  <c r="H24" i="88" l="1"/>
  <c r="H23" i="88"/>
  <c r="V19" i="88"/>
  <c r="V29" i="88" s="1"/>
  <c r="H33" i="88"/>
  <c r="H32" i="88" s="1"/>
  <c r="I44" i="88"/>
  <c r="H44" i="88" s="1"/>
  <c r="H14" i="88"/>
  <c r="I18" i="88"/>
  <c r="I17" i="88" s="1"/>
  <c r="J13" i="88"/>
  <c r="H15" i="88"/>
  <c r="K21" i="88"/>
  <c r="H40" i="88"/>
  <c r="H46" i="88"/>
  <c r="H38" i="88"/>
  <c r="J5" i="88"/>
  <c r="J9" i="88"/>
  <c r="J18" i="88"/>
  <c r="J19" i="88"/>
  <c r="J29" i="88" s="1"/>
  <c r="H11" i="88"/>
  <c r="H39" i="88"/>
  <c r="J20" i="88"/>
  <c r="J30" i="88" s="1"/>
  <c r="H12" i="88"/>
  <c r="K13" i="88"/>
  <c r="K18" i="88"/>
  <c r="H37" i="88"/>
  <c r="H16" i="88"/>
  <c r="K19" i="88"/>
  <c r="K29" i="88" s="1"/>
  <c r="K20" i="88"/>
  <c r="K30" i="88" s="1"/>
  <c r="H5" i="88"/>
  <c r="I9" i="88"/>
  <c r="I21" i="88"/>
  <c r="I5" i="88"/>
  <c r="H10" i="88"/>
  <c r="I32" i="88"/>
  <c r="N26" i="86"/>
  <c r="O26" i="86" s="1"/>
  <c r="M26" i="86"/>
  <c r="K26" i="86"/>
  <c r="W25" i="86"/>
  <c r="W28" i="86" s="1"/>
  <c r="W27" i="86" s="1"/>
  <c r="W40" i="86" s="1"/>
  <c r="W44" i="86" s="1"/>
  <c r="W47" i="86" s="1"/>
  <c r="AB21" i="86"/>
  <c r="R25" i="86"/>
  <c r="R21" i="86" s="1"/>
  <c r="AC28" i="86"/>
  <c r="AC27" i="86" s="1"/>
  <c r="AC40" i="86" s="1"/>
  <c r="AC44" i="86" s="1"/>
  <c r="AC47" i="86" s="1"/>
  <c r="Y25" i="86"/>
  <c r="K25" i="86" s="1"/>
  <c r="J26" i="86"/>
  <c r="X25" i="86"/>
  <c r="X28" i="86" s="1"/>
  <c r="X27" i="86" s="1"/>
  <c r="X40" i="86" s="1"/>
  <c r="X44" i="86" s="1"/>
  <c r="X47" i="86" s="1"/>
  <c r="I26" i="86"/>
  <c r="T25" i="86"/>
  <c r="T21" i="86" s="1"/>
  <c r="E26" i="86"/>
  <c r="AB28" i="86"/>
  <c r="AB27" i="86" s="1"/>
  <c r="AB40" i="86" s="1"/>
  <c r="AB44" i="86" s="1"/>
  <c r="AB47" i="86" s="1"/>
  <c r="U25" i="86"/>
  <c r="U28" i="86" s="1"/>
  <c r="U27" i="86" s="1"/>
  <c r="U40" i="86" s="1"/>
  <c r="U44" i="86" s="1"/>
  <c r="U47" i="86" s="1"/>
  <c r="F26" i="86"/>
  <c r="N25" i="86"/>
  <c r="D26" i="86"/>
  <c r="C21" i="86"/>
  <c r="C28" i="86"/>
  <c r="C27" i="86" s="1"/>
  <c r="C40" i="86" s="1"/>
  <c r="C44" i="86" s="1"/>
  <c r="C47" i="86" s="1"/>
  <c r="L25" i="86"/>
  <c r="Z28" i="86"/>
  <c r="Z27" i="86" s="1"/>
  <c r="Z40" i="86" s="1"/>
  <c r="Z44" i="86" s="1"/>
  <c r="Z47" i="86" s="1"/>
  <c r="Z21" i="86"/>
  <c r="S21" i="86"/>
  <c r="E25" i="86"/>
  <c r="S28" i="86"/>
  <c r="S27" i="86" s="1"/>
  <c r="S40" i="86" s="1"/>
  <c r="S44" i="86" s="1"/>
  <c r="S47" i="86" s="1"/>
  <c r="AA25" i="86"/>
  <c r="Q28" i="86"/>
  <c r="Q27" i="86" s="1"/>
  <c r="Q40" i="86" s="1"/>
  <c r="Q44" i="86" s="1"/>
  <c r="Q47" i="86" s="1"/>
  <c r="V25" i="86"/>
  <c r="Q21" i="86"/>
  <c r="DV46" i="83"/>
  <c r="DU46" i="83"/>
  <c r="DT46" i="83"/>
  <c r="AN46" i="83" s="1"/>
  <c r="DS46" i="83"/>
  <c r="DR46" i="83"/>
  <c r="AL46" i="83" s="1"/>
  <c r="J46" i="83" s="1"/>
  <c r="DQ46" i="83"/>
  <c r="DP46" i="83"/>
  <c r="DO46" i="83"/>
  <c r="DN46" i="83"/>
  <c r="AH46" i="83" s="1"/>
  <c r="F46" i="83" s="1"/>
  <c r="DM46" i="83"/>
  <c r="DL46" i="83"/>
  <c r="DK46" i="83"/>
  <c r="AE46" i="83" s="1"/>
  <c r="C46" i="83" s="1"/>
  <c r="BD46" i="83"/>
  <c r="BC46" i="83"/>
  <c r="AO46" i="83" s="1"/>
  <c r="M46" i="83" s="1"/>
  <c r="BB46" i="83"/>
  <c r="BA46" i="83"/>
  <c r="AZ46" i="83"/>
  <c r="AY46" i="83"/>
  <c r="AK46" i="83" s="1"/>
  <c r="AX46" i="83"/>
  <c r="AW46" i="83"/>
  <c r="AI46" i="83" s="1"/>
  <c r="AV46" i="83"/>
  <c r="AU46" i="83"/>
  <c r="AT46" i="83"/>
  <c r="AS46" i="83"/>
  <c r="DV45" i="83"/>
  <c r="AP45" i="83" s="1"/>
  <c r="N45" i="83" s="1"/>
  <c r="AM44" i="95" s="1"/>
  <c r="DU45" i="83"/>
  <c r="DT45" i="83"/>
  <c r="DS45" i="83"/>
  <c r="DR45" i="83"/>
  <c r="DQ45" i="83"/>
  <c r="DP45" i="83"/>
  <c r="DO45" i="83"/>
  <c r="DN45" i="83"/>
  <c r="DM45" i="83"/>
  <c r="DL45" i="83"/>
  <c r="DK45" i="83"/>
  <c r="BD45" i="83"/>
  <c r="BC45" i="83"/>
  <c r="BB45" i="83"/>
  <c r="BA45" i="83"/>
  <c r="AZ45" i="83"/>
  <c r="AL45" i="83" s="1"/>
  <c r="J45" i="83" s="1"/>
  <c r="AI44" i="95" s="1"/>
  <c r="AY45" i="83"/>
  <c r="AX45" i="83"/>
  <c r="AJ45" i="83" s="1"/>
  <c r="H45" i="83" s="1"/>
  <c r="AG44" i="95" s="1"/>
  <c r="AW45" i="83"/>
  <c r="AV45" i="83"/>
  <c r="AU45" i="83"/>
  <c r="AG45" i="83" s="1"/>
  <c r="E45" i="83" s="1"/>
  <c r="AD44" i="95" s="1"/>
  <c r="AT45" i="83"/>
  <c r="AS45" i="83"/>
  <c r="DV42" i="83"/>
  <c r="DU42" i="83"/>
  <c r="DT42" i="83"/>
  <c r="AN42" i="83" s="1"/>
  <c r="L42" i="83" s="1"/>
  <c r="DS42" i="83"/>
  <c r="DR42" i="83"/>
  <c r="DR43" i="83" s="1"/>
  <c r="DQ42" i="83"/>
  <c r="DP42" i="83"/>
  <c r="DP43" i="83" s="1"/>
  <c r="DO42" i="83"/>
  <c r="DN42" i="83"/>
  <c r="DN43" i="83" s="1"/>
  <c r="DM42" i="83"/>
  <c r="DM43" i="83" s="1"/>
  <c r="DL42" i="83"/>
  <c r="AF42" i="83" s="1"/>
  <c r="D42" i="83" s="1"/>
  <c r="DK42" i="83"/>
  <c r="DK43" i="83" s="1"/>
  <c r="BD42" i="83"/>
  <c r="BC42" i="83"/>
  <c r="BB42" i="83"/>
  <c r="BA42" i="83"/>
  <c r="AZ42" i="83"/>
  <c r="AY42" i="83"/>
  <c r="AX42" i="83"/>
  <c r="AW42" i="83"/>
  <c r="AI42" i="83" s="1"/>
  <c r="G42" i="83" s="1"/>
  <c r="AV42" i="83"/>
  <c r="AU42" i="83"/>
  <c r="AT42" i="83"/>
  <c r="AS42" i="83"/>
  <c r="DV41" i="83"/>
  <c r="DU41" i="83"/>
  <c r="DT41" i="83"/>
  <c r="DT43" i="83" s="1"/>
  <c r="DS41" i="83"/>
  <c r="DR41" i="83"/>
  <c r="DQ41" i="83"/>
  <c r="DQ43" i="83" s="1"/>
  <c r="DP41" i="83"/>
  <c r="DO41" i="83"/>
  <c r="DN41" i="83"/>
  <c r="DM41" i="83"/>
  <c r="DL41" i="83"/>
  <c r="DK41" i="83"/>
  <c r="BD41" i="83"/>
  <c r="BD43" i="83" s="1"/>
  <c r="BC41" i="83"/>
  <c r="BB41" i="83"/>
  <c r="BB43" i="83" s="1"/>
  <c r="BA41" i="83"/>
  <c r="AZ41" i="83"/>
  <c r="AY41" i="83"/>
  <c r="AY43" i="83" s="1"/>
  <c r="AX41" i="83"/>
  <c r="AX43" i="83" s="1"/>
  <c r="AW41" i="83"/>
  <c r="AW43" i="83" s="1"/>
  <c r="AV41" i="83"/>
  <c r="AU41" i="83"/>
  <c r="AT41" i="83"/>
  <c r="AS41" i="83"/>
  <c r="DV39" i="83"/>
  <c r="DU39" i="83"/>
  <c r="DT39" i="83"/>
  <c r="DS39" i="83"/>
  <c r="DR39" i="83"/>
  <c r="DQ39" i="83"/>
  <c r="DP39" i="83"/>
  <c r="DO39" i="83"/>
  <c r="DN39" i="83"/>
  <c r="DM39" i="83"/>
  <c r="DL39" i="83"/>
  <c r="DK39" i="83"/>
  <c r="DH39" i="83"/>
  <c r="DG39" i="83"/>
  <c r="DF39" i="83"/>
  <c r="DE39" i="83"/>
  <c r="DD39" i="83"/>
  <c r="DC39" i="83"/>
  <c r="DB39" i="83"/>
  <c r="DA39" i="83"/>
  <c r="CZ39" i="83"/>
  <c r="CY39" i="83"/>
  <c r="CX39" i="83"/>
  <c r="CW39" i="83"/>
  <c r="CT39" i="83"/>
  <c r="AP39" i="83" s="1"/>
  <c r="N39" i="83" s="1"/>
  <c r="AM38" i="95" s="1"/>
  <c r="CS39" i="83"/>
  <c r="BQ39" i="83" s="1"/>
  <c r="CR39" i="83"/>
  <c r="CQ39" i="83"/>
  <c r="CP39" i="83"/>
  <c r="BN39" i="83" s="1"/>
  <c r="CO39" i="83"/>
  <c r="CN39" i="83"/>
  <c r="BL39" i="83" s="1"/>
  <c r="CM39" i="83"/>
  <c r="CL39" i="83"/>
  <c r="CK39" i="83"/>
  <c r="CJ39" i="83"/>
  <c r="CI39" i="83"/>
  <c r="BD39" i="83"/>
  <c r="BC39" i="83"/>
  <c r="BB39" i="83"/>
  <c r="BA39" i="83"/>
  <c r="AZ39" i="83"/>
  <c r="AY39" i="83"/>
  <c r="AX39" i="83"/>
  <c r="AW39" i="83"/>
  <c r="AV39" i="83"/>
  <c r="AU39" i="83"/>
  <c r="AT39" i="83"/>
  <c r="AS39" i="83"/>
  <c r="DV38" i="83"/>
  <c r="DU38" i="83"/>
  <c r="DT38" i="83"/>
  <c r="DS38" i="83"/>
  <c r="DR38" i="83"/>
  <c r="DQ38" i="83"/>
  <c r="DP38" i="83"/>
  <c r="DO38" i="83"/>
  <c r="DN38" i="83"/>
  <c r="DM38" i="83"/>
  <c r="DL38" i="83"/>
  <c r="DK38" i="83"/>
  <c r="DH38" i="83"/>
  <c r="DG38" i="83"/>
  <c r="BQ38" i="83" s="1"/>
  <c r="DF38" i="83"/>
  <c r="AN38" i="83" s="1"/>
  <c r="L38" i="83" s="1"/>
  <c r="AK37" i="95" s="1"/>
  <c r="DE38" i="83"/>
  <c r="DD38" i="83"/>
  <c r="DC38" i="83"/>
  <c r="DB38" i="83"/>
  <c r="DA38" i="83"/>
  <c r="DI38" i="83" s="1"/>
  <c r="G39" i="88" s="1"/>
  <c r="O39" i="88" s="1"/>
  <c r="S39" i="88" s="1"/>
  <c r="CZ38" i="83"/>
  <c r="CY38" i="83"/>
  <c r="CX38" i="83"/>
  <c r="CW38" i="83"/>
  <c r="CT38" i="83"/>
  <c r="CS38" i="83"/>
  <c r="CR38" i="83"/>
  <c r="CQ38" i="83"/>
  <c r="CP38" i="83"/>
  <c r="AL38" i="83" s="1"/>
  <c r="J38" i="83" s="1"/>
  <c r="AI37" i="95" s="1"/>
  <c r="CO38" i="83"/>
  <c r="CN38" i="83"/>
  <c r="CM38" i="83"/>
  <c r="CL38" i="83"/>
  <c r="BJ38" i="83" s="1"/>
  <c r="CK38" i="83"/>
  <c r="AG38" i="83" s="1"/>
  <c r="E38" i="83" s="1"/>
  <c r="AD37" i="95" s="1"/>
  <c r="CJ38" i="83"/>
  <c r="CI38" i="83"/>
  <c r="BH38" i="83"/>
  <c r="BD38" i="83"/>
  <c r="BC38" i="83"/>
  <c r="BB38" i="83"/>
  <c r="BA38" i="83"/>
  <c r="AZ38" i="83"/>
  <c r="AY38" i="83"/>
  <c r="AX38" i="83"/>
  <c r="AW38" i="83"/>
  <c r="AV38" i="83"/>
  <c r="AU38" i="83"/>
  <c r="AT38" i="83"/>
  <c r="AS38" i="83"/>
  <c r="DV37" i="83"/>
  <c r="AP37" i="83" s="1"/>
  <c r="N37" i="83" s="1"/>
  <c r="DU37" i="83"/>
  <c r="DT37" i="83"/>
  <c r="AN37" i="83" s="1"/>
  <c r="L37" i="83" s="1"/>
  <c r="DS37" i="83"/>
  <c r="DR37" i="83"/>
  <c r="DQ37" i="83"/>
  <c r="DP37" i="83"/>
  <c r="DO37" i="83"/>
  <c r="DN37" i="83"/>
  <c r="AH37" i="83" s="1"/>
  <c r="F37" i="83" s="1"/>
  <c r="DM37" i="83"/>
  <c r="DL37" i="83"/>
  <c r="AF37" i="83" s="1"/>
  <c r="D37" i="83" s="1"/>
  <c r="DK37" i="83"/>
  <c r="BD37" i="83"/>
  <c r="BC37" i="83"/>
  <c r="BB37" i="83"/>
  <c r="BA37" i="83"/>
  <c r="AZ37" i="83"/>
  <c r="AY37" i="83"/>
  <c r="AX37" i="83"/>
  <c r="AJ37" i="83" s="1"/>
  <c r="H37" i="83" s="1"/>
  <c r="AW37" i="83"/>
  <c r="AI37" i="83" s="1"/>
  <c r="G37" i="83" s="1"/>
  <c r="AV37" i="83"/>
  <c r="AU37" i="83"/>
  <c r="AG37" i="83" s="1"/>
  <c r="E37" i="83" s="1"/>
  <c r="AT37" i="83"/>
  <c r="AS37" i="83"/>
  <c r="DV36" i="83"/>
  <c r="DU36" i="83"/>
  <c r="DT36" i="83"/>
  <c r="DS36" i="83"/>
  <c r="DR36" i="83"/>
  <c r="DQ36" i="83"/>
  <c r="DP36" i="83"/>
  <c r="DO36" i="83"/>
  <c r="DN36" i="83"/>
  <c r="DM36" i="83"/>
  <c r="AG36" i="83" s="1"/>
  <c r="E36" i="83" s="1"/>
  <c r="DL36" i="83"/>
  <c r="DK36" i="83"/>
  <c r="BD36" i="83"/>
  <c r="BC36" i="83"/>
  <c r="AO36" i="83" s="1"/>
  <c r="M36" i="83" s="1"/>
  <c r="BB36" i="83"/>
  <c r="BA36" i="83"/>
  <c r="AM36" i="83" s="1"/>
  <c r="K36" i="83" s="1"/>
  <c r="AZ36" i="83"/>
  <c r="AY36" i="83"/>
  <c r="AX36" i="83"/>
  <c r="AW36" i="83"/>
  <c r="AV36" i="83"/>
  <c r="AU36" i="83"/>
  <c r="AT36" i="83"/>
  <c r="AS36" i="83"/>
  <c r="DV35" i="83"/>
  <c r="DU35" i="83"/>
  <c r="DT35" i="83"/>
  <c r="DS35" i="83"/>
  <c r="DR35" i="83"/>
  <c r="DQ35" i="83"/>
  <c r="DP35" i="83"/>
  <c r="DO35" i="83"/>
  <c r="DN35" i="83"/>
  <c r="DM35" i="83"/>
  <c r="DL35" i="83"/>
  <c r="DK35" i="83"/>
  <c r="CT35" i="83"/>
  <c r="CS35" i="83"/>
  <c r="CR35" i="83"/>
  <c r="BP35" i="83" s="1"/>
  <c r="CQ35" i="83"/>
  <c r="CP35" i="83"/>
  <c r="CO35" i="83"/>
  <c r="CN35" i="83"/>
  <c r="BL35" i="83" s="1"/>
  <c r="CM35" i="83"/>
  <c r="CL35" i="83"/>
  <c r="AH35" i="83" s="1"/>
  <c r="F35" i="83" s="1"/>
  <c r="AE34" i="95" s="1"/>
  <c r="CK35" i="83"/>
  <c r="BI35" i="83" s="1"/>
  <c r="CJ35" i="83"/>
  <c r="BH35" i="83" s="1"/>
  <c r="CI35" i="83"/>
  <c r="AE35" i="83" s="1"/>
  <c r="BD35" i="83"/>
  <c r="BC35" i="83"/>
  <c r="BB35" i="83"/>
  <c r="BA35" i="83"/>
  <c r="AZ35" i="83"/>
  <c r="AY35" i="83"/>
  <c r="AX35" i="83"/>
  <c r="AW35" i="83"/>
  <c r="AV35" i="83"/>
  <c r="AU35" i="83"/>
  <c r="AT35" i="83"/>
  <c r="AS35" i="83"/>
  <c r="DH23" i="83"/>
  <c r="DH21" i="83" s="1"/>
  <c r="DG23" i="83"/>
  <c r="DF23" i="83"/>
  <c r="DF21" i="83" s="1"/>
  <c r="DE23" i="83"/>
  <c r="DE21" i="83" s="1"/>
  <c r="DD23" i="83"/>
  <c r="DC23" i="83"/>
  <c r="DB23" i="83"/>
  <c r="DA23" i="83"/>
  <c r="DI23" i="83" s="1"/>
  <c r="G23" i="88" s="1"/>
  <c r="O23" i="88" s="1"/>
  <c r="S23" i="88" s="1"/>
  <c r="CZ23" i="83"/>
  <c r="CY23" i="83"/>
  <c r="CX23" i="83"/>
  <c r="CW23" i="83"/>
  <c r="CT23" i="83"/>
  <c r="CT21" i="83" s="1"/>
  <c r="CS23" i="83"/>
  <c r="CR23" i="83"/>
  <c r="CR21" i="83" s="1"/>
  <c r="CQ23" i="83"/>
  <c r="CP23" i="83"/>
  <c r="CO23" i="83"/>
  <c r="CN23" i="83"/>
  <c r="CN21" i="83" s="1"/>
  <c r="CM23" i="83"/>
  <c r="CL23" i="83"/>
  <c r="CL21" i="83" s="1"/>
  <c r="CK23" i="83"/>
  <c r="CK21" i="83" s="1"/>
  <c r="CJ23" i="83"/>
  <c r="CJ21" i="83" s="1"/>
  <c r="CI23" i="83"/>
  <c r="BD22" i="83"/>
  <c r="BC22" i="83"/>
  <c r="BB22" i="83"/>
  <c r="BA22" i="83"/>
  <c r="AZ22" i="83"/>
  <c r="AY22" i="83"/>
  <c r="AX22" i="83"/>
  <c r="AJ22" i="83" s="1"/>
  <c r="H22" i="83" s="1"/>
  <c r="AW22" i="83"/>
  <c r="AV22" i="83"/>
  <c r="AH22" i="83" s="1"/>
  <c r="F22" i="83" s="1"/>
  <c r="AU22" i="83"/>
  <c r="AT22" i="83"/>
  <c r="AS22" i="83"/>
  <c r="DH11" i="83"/>
  <c r="DG11" i="83"/>
  <c r="DF11" i="83"/>
  <c r="DF19" i="83" s="1"/>
  <c r="DE11" i="83"/>
  <c r="DD11" i="83"/>
  <c r="DC11" i="83"/>
  <c r="DB11" i="83"/>
  <c r="DA11" i="83"/>
  <c r="CZ11" i="83"/>
  <c r="CY11" i="83"/>
  <c r="CX11" i="83"/>
  <c r="CW11" i="83"/>
  <c r="CT11" i="83"/>
  <c r="CT9" i="83" s="1"/>
  <c r="CS11" i="83"/>
  <c r="CS19" i="83" s="1"/>
  <c r="CR11" i="83"/>
  <c r="CQ11" i="83"/>
  <c r="CQ19" i="83" s="1"/>
  <c r="CQ29" i="83" s="1"/>
  <c r="CP11" i="83"/>
  <c r="BN11" i="83" s="1"/>
  <c r="CO11" i="83"/>
  <c r="BM11" i="83" s="1"/>
  <c r="CN11" i="83"/>
  <c r="CN19" i="83" s="1"/>
  <c r="CM11" i="83"/>
  <c r="CM9" i="83" s="1"/>
  <c r="CL11" i="83"/>
  <c r="BJ11" i="83" s="1"/>
  <c r="CK11" i="83"/>
  <c r="CJ11" i="83"/>
  <c r="CI11" i="83"/>
  <c r="CB19" i="83"/>
  <c r="CB29" i="83" s="1"/>
  <c r="AF11" i="83"/>
  <c r="BD10" i="83"/>
  <c r="BC10" i="83"/>
  <c r="BB10" i="83"/>
  <c r="BA10" i="83"/>
  <c r="AZ10" i="83"/>
  <c r="AY10" i="83"/>
  <c r="AX10" i="83"/>
  <c r="AW10" i="83"/>
  <c r="AV10" i="83"/>
  <c r="AU10" i="83"/>
  <c r="AT10" i="83"/>
  <c r="AS10" i="83"/>
  <c r="DH7" i="83"/>
  <c r="DG7" i="83"/>
  <c r="DF7" i="83"/>
  <c r="DF5" i="83" s="1"/>
  <c r="DE7" i="83"/>
  <c r="BO7" i="83" s="1"/>
  <c r="DD7" i="83"/>
  <c r="DC7" i="83"/>
  <c r="DC5" i="83" s="1"/>
  <c r="DB7" i="83"/>
  <c r="DA7" i="83"/>
  <c r="DA5" i="83" s="1"/>
  <c r="CZ7" i="83"/>
  <c r="CY7" i="83"/>
  <c r="CX7" i="83"/>
  <c r="CW7" i="83"/>
  <c r="CT7" i="83"/>
  <c r="CT5" i="83" s="1"/>
  <c r="CS7" i="83"/>
  <c r="CS5" i="83" s="1"/>
  <c r="CR7" i="83"/>
  <c r="CQ7" i="83"/>
  <c r="CP7" i="83"/>
  <c r="BN7" i="83" s="1"/>
  <c r="CO7" i="83"/>
  <c r="BM7" i="83" s="1"/>
  <c r="CN7" i="83"/>
  <c r="CN5" i="83" s="1"/>
  <c r="CM7" i="83"/>
  <c r="CM5" i="83" s="1"/>
  <c r="CL7" i="83"/>
  <c r="AH7" i="83" s="1"/>
  <c r="T7" i="83" s="1"/>
  <c r="F7" i="83" s="1"/>
  <c r="AE6" i="95" s="1"/>
  <c r="CK7" i="83"/>
  <c r="CK5" i="83" s="1"/>
  <c r="CJ7" i="83"/>
  <c r="AF7" i="83" s="1"/>
  <c r="R7" i="83" s="1"/>
  <c r="D7" i="83" s="1"/>
  <c r="AC6" i="95" s="1"/>
  <c r="CI7" i="83"/>
  <c r="BI7" i="83"/>
  <c r="AS6" i="83"/>
  <c r="EK46" i="83"/>
  <c r="DI46" i="83"/>
  <c r="G47" i="88" s="1"/>
  <c r="O47" i="88" s="1"/>
  <c r="S47" i="88" s="1"/>
  <c r="CU46" i="83"/>
  <c r="F47" i="88" s="1"/>
  <c r="N47" i="88" s="1"/>
  <c r="R47" i="88" s="1"/>
  <c r="CG46" i="83"/>
  <c r="E47" i="88" s="1"/>
  <c r="M47" i="88" s="1"/>
  <c r="Q47" i="88" s="1"/>
  <c r="BR46" i="83"/>
  <c r="BQ46" i="83"/>
  <c r="BP46" i="83"/>
  <c r="BO46" i="83"/>
  <c r="BN46" i="83"/>
  <c r="BM46" i="83"/>
  <c r="BL46" i="83"/>
  <c r="BK46" i="83"/>
  <c r="BJ46" i="83"/>
  <c r="BI46" i="83"/>
  <c r="BH46" i="83"/>
  <c r="BG46" i="83"/>
  <c r="AP46" i="83"/>
  <c r="AC46" i="83"/>
  <c r="N46" i="83"/>
  <c r="L46" i="83"/>
  <c r="I46" i="83"/>
  <c r="G46" i="83"/>
  <c r="EK45" i="83"/>
  <c r="DI45" i="83"/>
  <c r="G46" i="88" s="1"/>
  <c r="O46" i="88" s="1"/>
  <c r="S46" i="88" s="1"/>
  <c r="CU45" i="83"/>
  <c r="F46" i="88" s="1"/>
  <c r="N46" i="88" s="1"/>
  <c r="R46" i="88" s="1"/>
  <c r="CG45" i="83"/>
  <c r="E46" i="88" s="1"/>
  <c r="M46" i="88" s="1"/>
  <c r="Q46" i="88" s="1"/>
  <c r="BR45" i="83"/>
  <c r="BQ45" i="83"/>
  <c r="BP45" i="83"/>
  <c r="BO45" i="83"/>
  <c r="BN45" i="83"/>
  <c r="BM45" i="83"/>
  <c r="BL45" i="83"/>
  <c r="BK45" i="83"/>
  <c r="BJ45" i="83"/>
  <c r="BI45" i="83"/>
  <c r="BH45" i="83"/>
  <c r="BG45" i="83"/>
  <c r="AM45" i="83"/>
  <c r="K45" i="83" s="1"/>
  <c r="AJ44" i="95" s="1"/>
  <c r="AK45" i="83"/>
  <c r="I45" i="83" s="1"/>
  <c r="AH44" i="95" s="1"/>
  <c r="AH45" i="83"/>
  <c r="F45" i="83" s="1"/>
  <c r="AE44" i="95" s="1"/>
  <c r="AF45" i="83"/>
  <c r="D45" i="83" s="1"/>
  <c r="AC44" i="95" s="1"/>
  <c r="AC45" i="83"/>
  <c r="EJ43" i="83"/>
  <c r="EI43" i="83"/>
  <c r="EH43" i="83"/>
  <c r="EG43" i="83"/>
  <c r="EF43" i="83"/>
  <c r="EE43" i="83"/>
  <c r="ED43" i="83"/>
  <c r="EC43" i="83"/>
  <c r="EB43" i="83"/>
  <c r="EA43" i="83"/>
  <c r="DZ43" i="83"/>
  <c r="DY43" i="83"/>
  <c r="DH43" i="83"/>
  <c r="DG43" i="83"/>
  <c r="DF43" i="83"/>
  <c r="DE43" i="83"/>
  <c r="DD43" i="83"/>
  <c r="DC43" i="83"/>
  <c r="DB43" i="83"/>
  <c r="DA43" i="83"/>
  <c r="CZ43" i="83"/>
  <c r="CY43" i="83"/>
  <c r="CX43" i="83"/>
  <c r="CW43" i="83"/>
  <c r="CT43" i="83"/>
  <c r="CS43" i="83"/>
  <c r="CR43" i="83"/>
  <c r="CQ43" i="83"/>
  <c r="CP43" i="83"/>
  <c r="CO43" i="83"/>
  <c r="CN43" i="83"/>
  <c r="CM43" i="83"/>
  <c r="CL43" i="83"/>
  <c r="CK43" i="83"/>
  <c r="CJ43" i="83"/>
  <c r="CI43" i="83"/>
  <c r="CF43" i="83"/>
  <c r="CE43" i="83"/>
  <c r="CD43" i="83"/>
  <c r="CC43" i="83"/>
  <c r="CB43" i="83"/>
  <c r="CA43" i="83"/>
  <c r="BZ43" i="83"/>
  <c r="BY43" i="83"/>
  <c r="BX43" i="83"/>
  <c r="BW43" i="83"/>
  <c r="BV43" i="83"/>
  <c r="BU43" i="83"/>
  <c r="AV43" i="83"/>
  <c r="AB43" i="83"/>
  <c r="AA43" i="83"/>
  <c r="Z43" i="83"/>
  <c r="Y43" i="83"/>
  <c r="X43" i="83"/>
  <c r="W43" i="83"/>
  <c r="V43" i="83"/>
  <c r="U43" i="83"/>
  <c r="T43" i="83"/>
  <c r="S43" i="83"/>
  <c r="R43" i="83"/>
  <c r="Q43" i="83"/>
  <c r="EK42" i="83"/>
  <c r="DI42" i="83"/>
  <c r="G43" i="88" s="1"/>
  <c r="O43" i="88" s="1"/>
  <c r="S43" i="88" s="1"/>
  <c r="CU42" i="83"/>
  <c r="F43" i="88" s="1"/>
  <c r="N43" i="88" s="1"/>
  <c r="R43" i="88" s="1"/>
  <c r="CG42" i="83"/>
  <c r="E43" i="88" s="1"/>
  <c r="M43" i="88" s="1"/>
  <c r="Q43" i="88" s="1"/>
  <c r="BR42" i="83"/>
  <c r="BQ42" i="83"/>
  <c r="BP42" i="83"/>
  <c r="BO42" i="83"/>
  <c r="BN42" i="83"/>
  <c r="BM42" i="83"/>
  <c r="BL42" i="83"/>
  <c r="BK42" i="83"/>
  <c r="BJ42" i="83"/>
  <c r="BI42" i="83"/>
  <c r="BH42" i="83"/>
  <c r="BG42" i="83"/>
  <c r="AP42" i="83"/>
  <c r="N42" i="83" s="1"/>
  <c r="AK42" i="83"/>
  <c r="I42" i="83" s="1"/>
  <c r="AC42" i="83"/>
  <c r="EK41" i="83"/>
  <c r="DI41" i="83"/>
  <c r="G42" i="88" s="1"/>
  <c r="O42" i="88" s="1"/>
  <c r="S42" i="88" s="1"/>
  <c r="CU41" i="83"/>
  <c r="CG41" i="83"/>
  <c r="BR41" i="83"/>
  <c r="BQ41" i="83"/>
  <c r="BQ43" i="83" s="1"/>
  <c r="BP41" i="83"/>
  <c r="BO41" i="83"/>
  <c r="BN41" i="83"/>
  <c r="BM41" i="83"/>
  <c r="BL41" i="83"/>
  <c r="BK41" i="83"/>
  <c r="BJ41" i="83"/>
  <c r="BI41" i="83"/>
  <c r="BH41" i="83"/>
  <c r="BG41" i="83"/>
  <c r="AK41" i="83"/>
  <c r="AH41" i="83"/>
  <c r="AF41" i="83"/>
  <c r="AC41" i="83"/>
  <c r="EK39" i="83"/>
  <c r="AF39" i="83"/>
  <c r="D39" i="83" s="1"/>
  <c r="AC38" i="95" s="1"/>
  <c r="AC39" i="83"/>
  <c r="EK38" i="83"/>
  <c r="AC38" i="83"/>
  <c r="EK37" i="83"/>
  <c r="DI37" i="83"/>
  <c r="G38" i="88" s="1"/>
  <c r="O38" i="88" s="1"/>
  <c r="S38" i="88" s="1"/>
  <c r="CU37" i="83"/>
  <c r="F38" i="88" s="1"/>
  <c r="N38" i="88" s="1"/>
  <c r="R38" i="88" s="1"/>
  <c r="CG37" i="83"/>
  <c r="E38" i="88" s="1"/>
  <c r="M38" i="88" s="1"/>
  <c r="Q38" i="88" s="1"/>
  <c r="BR37" i="83"/>
  <c r="BQ37" i="83"/>
  <c r="BP37" i="83"/>
  <c r="BO37" i="83"/>
  <c r="BN37" i="83"/>
  <c r="BM37" i="83"/>
  <c r="BL37" i="83"/>
  <c r="BK37" i="83"/>
  <c r="BJ37" i="83"/>
  <c r="BI37" i="83"/>
  <c r="BH37" i="83"/>
  <c r="BG37" i="83"/>
  <c r="AM37" i="83"/>
  <c r="K37" i="83" s="1"/>
  <c r="AL37" i="83"/>
  <c r="J37" i="83" s="1"/>
  <c r="AK37" i="83"/>
  <c r="I37" i="83" s="1"/>
  <c r="AC37" i="83"/>
  <c r="EK36" i="83"/>
  <c r="DI36" i="83"/>
  <c r="G37" i="88" s="1"/>
  <c r="O37" i="88" s="1"/>
  <c r="S37" i="88" s="1"/>
  <c r="CU36" i="83"/>
  <c r="F37" i="88" s="1"/>
  <c r="N37" i="88" s="1"/>
  <c r="R37" i="88" s="1"/>
  <c r="CG36" i="83"/>
  <c r="E37" i="88" s="1"/>
  <c r="M37" i="88" s="1"/>
  <c r="Q37" i="88" s="1"/>
  <c r="BR36" i="83"/>
  <c r="BQ36" i="83"/>
  <c r="BP36" i="83"/>
  <c r="BO36" i="83"/>
  <c r="BN36" i="83"/>
  <c r="BM36" i="83"/>
  <c r="BL36" i="83"/>
  <c r="BK36" i="83"/>
  <c r="BJ36" i="83"/>
  <c r="BI36" i="83"/>
  <c r="BH36" i="83"/>
  <c r="BG36" i="83"/>
  <c r="AP36" i="83"/>
  <c r="N36" i="83" s="1"/>
  <c r="AN36" i="83"/>
  <c r="L36" i="83" s="1"/>
  <c r="AL36" i="83"/>
  <c r="J36" i="83" s="1"/>
  <c r="AK36" i="83"/>
  <c r="I36" i="83" s="1"/>
  <c r="AI36" i="83"/>
  <c r="G36" i="83" s="1"/>
  <c r="AC36" i="83"/>
  <c r="EK35" i="83"/>
  <c r="DI35" i="83"/>
  <c r="G36" i="88" s="1"/>
  <c r="O36" i="88" s="1"/>
  <c r="S36" i="88" s="1"/>
  <c r="BR35" i="83"/>
  <c r="BO35" i="83"/>
  <c r="BJ35" i="83"/>
  <c r="AC35" i="83"/>
  <c r="EK34" i="83"/>
  <c r="DW34" i="83"/>
  <c r="DI34" i="83"/>
  <c r="G35" i="88" s="1"/>
  <c r="O35" i="88" s="1"/>
  <c r="S35" i="88" s="1"/>
  <c r="CU34" i="83"/>
  <c r="F35" i="88" s="1"/>
  <c r="N35" i="88" s="1"/>
  <c r="R35" i="88" s="1"/>
  <c r="CG34" i="83"/>
  <c r="E35" i="88" s="1"/>
  <c r="M35" i="88" s="1"/>
  <c r="Q35" i="88" s="1"/>
  <c r="BR34" i="83"/>
  <c r="BQ34" i="83"/>
  <c r="BP34" i="83"/>
  <c r="BO34" i="83"/>
  <c r="BN34" i="83"/>
  <c r="BM34" i="83"/>
  <c r="BL34" i="83"/>
  <c r="BK34" i="83"/>
  <c r="BJ34" i="83"/>
  <c r="BI34" i="83"/>
  <c r="BH34" i="83"/>
  <c r="BG34" i="83"/>
  <c r="BE34" i="83"/>
  <c r="AQ34" i="83"/>
  <c r="AC34" i="83"/>
  <c r="N34" i="83"/>
  <c r="M34" i="83"/>
  <c r="L34" i="83"/>
  <c r="K34" i="83"/>
  <c r="J34" i="83"/>
  <c r="I34" i="83"/>
  <c r="H34" i="83"/>
  <c r="G34" i="83"/>
  <c r="F34" i="83"/>
  <c r="E34" i="83"/>
  <c r="D34" i="83"/>
  <c r="C34" i="83"/>
  <c r="EK33" i="83"/>
  <c r="DW33" i="83"/>
  <c r="DI33" i="83"/>
  <c r="G34" i="88" s="1"/>
  <c r="O34" i="88" s="1"/>
  <c r="S34" i="88" s="1"/>
  <c r="CU33" i="83"/>
  <c r="CG33" i="83"/>
  <c r="E34" i="88" s="1"/>
  <c r="M34" i="88" s="1"/>
  <c r="Q34" i="88" s="1"/>
  <c r="BR33" i="83"/>
  <c r="BQ33" i="83"/>
  <c r="BP33" i="83"/>
  <c r="BO33" i="83"/>
  <c r="BN33" i="83"/>
  <c r="BM33" i="83"/>
  <c r="BL33" i="83"/>
  <c r="BK33" i="83"/>
  <c r="BJ33" i="83"/>
  <c r="BI33" i="83"/>
  <c r="BH33" i="83"/>
  <c r="BG33" i="83"/>
  <c r="BE33" i="83"/>
  <c r="AQ33" i="83"/>
  <c r="AC33" i="83"/>
  <c r="N33" i="83"/>
  <c r="M33" i="83"/>
  <c r="L33" i="83"/>
  <c r="K33" i="83"/>
  <c r="J33" i="83"/>
  <c r="I33" i="83"/>
  <c r="H33" i="83"/>
  <c r="G33" i="83"/>
  <c r="F33" i="83"/>
  <c r="E33" i="83"/>
  <c r="D33" i="83"/>
  <c r="C33" i="83"/>
  <c r="EK32" i="83"/>
  <c r="DW32" i="83"/>
  <c r="DI32" i="83"/>
  <c r="G33" i="88" s="1"/>
  <c r="O33" i="88" s="1"/>
  <c r="S33" i="88" s="1"/>
  <c r="CU32" i="83"/>
  <c r="F33" i="88" s="1"/>
  <c r="N33" i="88" s="1"/>
  <c r="R33" i="88" s="1"/>
  <c r="CG32" i="83"/>
  <c r="BR32" i="83"/>
  <c r="BR31" i="83" s="1"/>
  <c r="BQ32" i="83"/>
  <c r="BP32" i="83"/>
  <c r="BO32" i="83"/>
  <c r="BN32" i="83"/>
  <c r="BM32" i="83"/>
  <c r="BM31" i="83" s="1"/>
  <c r="BL32" i="83"/>
  <c r="BL31" i="83" s="1"/>
  <c r="BK32" i="83"/>
  <c r="BJ32" i="83"/>
  <c r="BI32" i="83"/>
  <c r="BI31" i="83" s="1"/>
  <c r="BH32" i="83"/>
  <c r="BH31" i="83" s="1"/>
  <c r="BG32" i="83"/>
  <c r="BG31" i="83" s="1"/>
  <c r="BE32" i="83"/>
  <c r="AQ32" i="83"/>
  <c r="AC32" i="83"/>
  <c r="AC31" i="83" s="1"/>
  <c r="N32" i="83"/>
  <c r="N31" i="83" s="1"/>
  <c r="M32" i="83"/>
  <c r="M31" i="83" s="1"/>
  <c r="L32" i="83"/>
  <c r="L31" i="83" s="1"/>
  <c r="K32" i="83"/>
  <c r="K31" i="83" s="1"/>
  <c r="J32" i="83"/>
  <c r="J31" i="83" s="1"/>
  <c r="I32" i="83"/>
  <c r="I31" i="83" s="1"/>
  <c r="H32" i="83"/>
  <c r="H31" i="83" s="1"/>
  <c r="G32" i="83"/>
  <c r="G31" i="83" s="1"/>
  <c r="F32" i="83"/>
  <c r="E32" i="83"/>
  <c r="D32" i="83"/>
  <c r="D31" i="83" s="1"/>
  <c r="C32" i="83"/>
  <c r="EK31" i="83"/>
  <c r="EJ31" i="83"/>
  <c r="EI31" i="83"/>
  <c r="EH31" i="83"/>
  <c r="EG31" i="83"/>
  <c r="EF31" i="83"/>
  <c r="EE31" i="83"/>
  <c r="ED31" i="83"/>
  <c r="EC31" i="83"/>
  <c r="EB31" i="83"/>
  <c r="EA31" i="83"/>
  <c r="DZ31" i="83"/>
  <c r="DY31" i="83"/>
  <c r="DV31" i="83"/>
  <c r="DU31" i="83"/>
  <c r="DT31" i="83"/>
  <c r="DS31" i="83"/>
  <c r="DR31" i="83"/>
  <c r="DQ31" i="83"/>
  <c r="DP31" i="83"/>
  <c r="DO31" i="83"/>
  <c r="DN31" i="83"/>
  <c r="DM31" i="83"/>
  <c r="DL31" i="83"/>
  <c r="DK31" i="83"/>
  <c r="DH31" i="83"/>
  <c r="DG31" i="83"/>
  <c r="DF31" i="83"/>
  <c r="DE31" i="83"/>
  <c r="DD31" i="83"/>
  <c r="DC31" i="83"/>
  <c r="DB31" i="83"/>
  <c r="DA31" i="83"/>
  <c r="CZ31" i="83"/>
  <c r="CY31" i="83"/>
  <c r="CX31" i="83"/>
  <c r="CW31" i="83"/>
  <c r="CT31" i="83"/>
  <c r="CS31" i="83"/>
  <c r="CR31" i="83"/>
  <c r="CQ31" i="83"/>
  <c r="CP31" i="83"/>
  <c r="CO31" i="83"/>
  <c r="CN31" i="83"/>
  <c r="CM31" i="83"/>
  <c r="CL31" i="83"/>
  <c r="CK31" i="83"/>
  <c r="CJ31" i="83"/>
  <c r="CI31" i="83"/>
  <c r="CF31" i="83"/>
  <c r="CE31" i="83"/>
  <c r="CD31" i="83"/>
  <c r="CC31" i="83"/>
  <c r="CB31" i="83"/>
  <c r="CA31" i="83"/>
  <c r="BZ31" i="83"/>
  <c r="BY31" i="83"/>
  <c r="BX31" i="83"/>
  <c r="BW31" i="83"/>
  <c r="BV31" i="83"/>
  <c r="BU31" i="83"/>
  <c r="BD31" i="83"/>
  <c r="BC31" i="83"/>
  <c r="BB31" i="83"/>
  <c r="BA31" i="83"/>
  <c r="AZ31" i="83"/>
  <c r="AY31" i="83"/>
  <c r="AX31" i="83"/>
  <c r="AW31" i="83"/>
  <c r="AV31" i="83"/>
  <c r="AU31" i="83"/>
  <c r="AT31" i="83"/>
  <c r="AS31" i="83"/>
  <c r="AP31" i="83"/>
  <c r="AO31" i="83"/>
  <c r="AN31" i="83"/>
  <c r="AM31" i="83"/>
  <c r="AL31" i="83"/>
  <c r="AK31" i="83"/>
  <c r="AJ31" i="83"/>
  <c r="AI31" i="83"/>
  <c r="AH31" i="83"/>
  <c r="AG31" i="83"/>
  <c r="AF31" i="83"/>
  <c r="AE31" i="83"/>
  <c r="AB31" i="83"/>
  <c r="AA31" i="83"/>
  <c r="Z31" i="83"/>
  <c r="Y31" i="83"/>
  <c r="X31" i="83"/>
  <c r="W31" i="83"/>
  <c r="V31" i="83"/>
  <c r="U31" i="83"/>
  <c r="T31" i="83"/>
  <c r="S31" i="83"/>
  <c r="R31" i="83"/>
  <c r="Q31" i="83"/>
  <c r="EK26" i="83"/>
  <c r="DW26" i="83"/>
  <c r="DI26" i="83"/>
  <c r="CU26" i="83"/>
  <c r="CG26" i="83"/>
  <c r="BS26" i="83"/>
  <c r="BE26" i="83"/>
  <c r="AQ26" i="83"/>
  <c r="C25" i="83"/>
  <c r="EK24" i="83"/>
  <c r="DW24" i="83"/>
  <c r="DI24" i="83"/>
  <c r="G24" i="88" s="1"/>
  <c r="O24" i="88" s="1"/>
  <c r="S24" i="88" s="1"/>
  <c r="CU24" i="83"/>
  <c r="F24" i="88" s="1"/>
  <c r="N24" i="88" s="1"/>
  <c r="R24" i="88" s="1"/>
  <c r="CG24" i="83"/>
  <c r="E24" i="88" s="1"/>
  <c r="M24" i="88" s="1"/>
  <c r="Q24" i="88" s="1"/>
  <c r="BR24" i="83"/>
  <c r="BQ24" i="83"/>
  <c r="BP24" i="83"/>
  <c r="BO24" i="83"/>
  <c r="BN24" i="83"/>
  <c r="BM24" i="83"/>
  <c r="BL24" i="83"/>
  <c r="BK24" i="83"/>
  <c r="BJ24" i="83"/>
  <c r="BI24" i="83"/>
  <c r="BH24" i="83"/>
  <c r="BG24" i="83"/>
  <c r="BE24" i="83"/>
  <c r="AP24" i="83"/>
  <c r="N24" i="83" s="1"/>
  <c r="AO24" i="83"/>
  <c r="AN24" i="83"/>
  <c r="L24" i="83" s="1"/>
  <c r="AM24" i="83"/>
  <c r="K24" i="83" s="1"/>
  <c r="AL24" i="83"/>
  <c r="J24" i="83" s="1"/>
  <c r="AK24" i="83"/>
  <c r="I24" i="83" s="1"/>
  <c r="AJ24" i="83"/>
  <c r="H24" i="83" s="1"/>
  <c r="AI24" i="83"/>
  <c r="G24" i="83" s="1"/>
  <c r="AH24" i="83"/>
  <c r="F24" i="83" s="1"/>
  <c r="AG24" i="83"/>
  <c r="E24" i="83" s="1"/>
  <c r="AF24" i="83"/>
  <c r="D24" i="83" s="1"/>
  <c r="AE24" i="83"/>
  <c r="C24" i="83" s="1"/>
  <c r="AC24" i="83"/>
  <c r="EK23" i="83"/>
  <c r="DW23" i="83"/>
  <c r="BE23" i="83"/>
  <c r="AM23" i="83"/>
  <c r="EK22" i="83"/>
  <c r="DW22" i="83"/>
  <c r="DI22" i="83"/>
  <c r="G22" i="88" s="1"/>
  <c r="CU22" i="83"/>
  <c r="F22" i="88" s="1"/>
  <c r="N22" i="88" s="1"/>
  <c r="R22" i="88" s="1"/>
  <c r="CG22" i="83"/>
  <c r="E22" i="88" s="1"/>
  <c r="BR22" i="83"/>
  <c r="BQ22" i="83"/>
  <c r="BP22" i="83"/>
  <c r="BO22" i="83"/>
  <c r="BN22" i="83"/>
  <c r="BM22" i="83"/>
  <c r="BL22" i="83"/>
  <c r="BK22" i="83"/>
  <c r="BJ22" i="83"/>
  <c r="BI22" i="83"/>
  <c r="BH22" i="83"/>
  <c r="BG22" i="83"/>
  <c r="AP22" i="83"/>
  <c r="AN22" i="83"/>
  <c r="L22" i="83" s="1"/>
  <c r="AL22" i="83"/>
  <c r="J22" i="83" s="1"/>
  <c r="AK22" i="83"/>
  <c r="I22" i="83" s="1"/>
  <c r="AI22" i="83"/>
  <c r="G22" i="83" s="1"/>
  <c r="AG22" i="83"/>
  <c r="E22" i="83" s="1"/>
  <c r="AE22" i="83"/>
  <c r="C22" i="83" s="1"/>
  <c r="AC22" i="83"/>
  <c r="EJ21" i="83"/>
  <c r="EI21" i="83"/>
  <c r="EH21" i="83"/>
  <c r="EG21" i="83"/>
  <c r="EF21" i="83"/>
  <c r="EE21" i="83"/>
  <c r="ED21" i="83"/>
  <c r="EC21" i="83"/>
  <c r="EB21" i="83"/>
  <c r="EA21" i="83"/>
  <c r="DZ21" i="83"/>
  <c r="DY21" i="83"/>
  <c r="DV21" i="83"/>
  <c r="DU21" i="83"/>
  <c r="DT21" i="83"/>
  <c r="DS21" i="83"/>
  <c r="DR21" i="83"/>
  <c r="DQ21" i="83"/>
  <c r="DP21" i="83"/>
  <c r="DO21" i="83"/>
  <c r="DN21" i="83"/>
  <c r="DM21" i="83"/>
  <c r="DL21" i="83"/>
  <c r="DK21" i="83"/>
  <c r="DD21" i="83"/>
  <c r="DC21" i="83"/>
  <c r="DB21" i="83"/>
  <c r="CZ21" i="83"/>
  <c r="CY21" i="83"/>
  <c r="CX21" i="83"/>
  <c r="CW21" i="83"/>
  <c r="CS21" i="83"/>
  <c r="CQ21" i="83"/>
  <c r="CF21" i="83"/>
  <c r="CE21" i="83"/>
  <c r="CD21" i="83"/>
  <c r="CC21" i="83"/>
  <c r="CB21" i="83"/>
  <c r="CA21" i="83"/>
  <c r="BY21" i="83"/>
  <c r="BD21" i="83"/>
  <c r="BB21" i="83"/>
  <c r="AZ21" i="83"/>
  <c r="AY21" i="83"/>
  <c r="AX21" i="83"/>
  <c r="AW21" i="83"/>
  <c r="AV21" i="83"/>
  <c r="AU21" i="83"/>
  <c r="AS21" i="83"/>
  <c r="EJ20" i="83"/>
  <c r="EJ30" i="83" s="1"/>
  <c r="EI20" i="83"/>
  <c r="EI30" i="83" s="1"/>
  <c r="EH20" i="83"/>
  <c r="EH30" i="83" s="1"/>
  <c r="EG20" i="83"/>
  <c r="EG30" i="83" s="1"/>
  <c r="EF20" i="83"/>
  <c r="EF30" i="83" s="1"/>
  <c r="EE20" i="83"/>
  <c r="EE30" i="83" s="1"/>
  <c r="ED20" i="83"/>
  <c r="ED30" i="83" s="1"/>
  <c r="EC20" i="83"/>
  <c r="EC30" i="83" s="1"/>
  <c r="EB20" i="83"/>
  <c r="EB30" i="83" s="1"/>
  <c r="EA20" i="83"/>
  <c r="EA30" i="83" s="1"/>
  <c r="DZ20" i="83"/>
  <c r="DZ30" i="83" s="1"/>
  <c r="DY20" i="83"/>
  <c r="DY30" i="83" s="1"/>
  <c r="DV20" i="83"/>
  <c r="DV30" i="83" s="1"/>
  <c r="DU20" i="83"/>
  <c r="DU30" i="83" s="1"/>
  <c r="DT20" i="83"/>
  <c r="DT30" i="83" s="1"/>
  <c r="DS20" i="83"/>
  <c r="DS30" i="83" s="1"/>
  <c r="DR20" i="83"/>
  <c r="DR30" i="83" s="1"/>
  <c r="DQ20" i="83"/>
  <c r="DQ30" i="83" s="1"/>
  <c r="DP20" i="83"/>
  <c r="DP30" i="83" s="1"/>
  <c r="DO20" i="83"/>
  <c r="DO30" i="83" s="1"/>
  <c r="DN20" i="83"/>
  <c r="DN30" i="83" s="1"/>
  <c r="DM20" i="83"/>
  <c r="DM30" i="83" s="1"/>
  <c r="DL20" i="83"/>
  <c r="DL30" i="83" s="1"/>
  <c r="DK20" i="83"/>
  <c r="DK30" i="83" s="1"/>
  <c r="DH20" i="83"/>
  <c r="DH30" i="83" s="1"/>
  <c r="DG20" i="83"/>
  <c r="DG30" i="83" s="1"/>
  <c r="DF20" i="83"/>
  <c r="DF30" i="83" s="1"/>
  <c r="DE20" i="83"/>
  <c r="DE30" i="83" s="1"/>
  <c r="DD20" i="83"/>
  <c r="DD30" i="83" s="1"/>
  <c r="DC20" i="83"/>
  <c r="DC30" i="83" s="1"/>
  <c r="DB20" i="83"/>
  <c r="DB30" i="83" s="1"/>
  <c r="DA20" i="83"/>
  <c r="DA30" i="83" s="1"/>
  <c r="CZ20" i="83"/>
  <c r="CZ30" i="83" s="1"/>
  <c r="CY20" i="83"/>
  <c r="CY30" i="83" s="1"/>
  <c r="CX20" i="83"/>
  <c r="CX30" i="83" s="1"/>
  <c r="CW20" i="83"/>
  <c r="CW30" i="83" s="1"/>
  <c r="CT20" i="83"/>
  <c r="CT30" i="83" s="1"/>
  <c r="CS20" i="83"/>
  <c r="CS30" i="83" s="1"/>
  <c r="CR20" i="83"/>
  <c r="CR30" i="83" s="1"/>
  <c r="CQ20" i="83"/>
  <c r="CQ30" i="83" s="1"/>
  <c r="CP20" i="83"/>
  <c r="CP30" i="83" s="1"/>
  <c r="CO20" i="83"/>
  <c r="CO30" i="83" s="1"/>
  <c r="CN20" i="83"/>
  <c r="CN30" i="83" s="1"/>
  <c r="CM20" i="83"/>
  <c r="CM30" i="83" s="1"/>
  <c r="CL20" i="83"/>
  <c r="CL30" i="83" s="1"/>
  <c r="CK20" i="83"/>
  <c r="CK30" i="83" s="1"/>
  <c r="CJ20" i="83"/>
  <c r="CJ30" i="83" s="1"/>
  <c r="CI20" i="83"/>
  <c r="CI30" i="83" s="1"/>
  <c r="CF20" i="83"/>
  <c r="CF30" i="83" s="1"/>
  <c r="CE20" i="83"/>
  <c r="CE30" i="83" s="1"/>
  <c r="CD20" i="83"/>
  <c r="CD30" i="83" s="1"/>
  <c r="CC20" i="83"/>
  <c r="CC30" i="83" s="1"/>
  <c r="CB20" i="83"/>
  <c r="CB30" i="83" s="1"/>
  <c r="CA20" i="83"/>
  <c r="CA30" i="83" s="1"/>
  <c r="BZ20" i="83"/>
  <c r="BZ30" i="83" s="1"/>
  <c r="BY20" i="83"/>
  <c r="BY30" i="83" s="1"/>
  <c r="BX20" i="83"/>
  <c r="BX30" i="83" s="1"/>
  <c r="BW20" i="83"/>
  <c r="BW30" i="83" s="1"/>
  <c r="BV20" i="83"/>
  <c r="BV30" i="83" s="1"/>
  <c r="BU20" i="83"/>
  <c r="BU30" i="83" s="1"/>
  <c r="BD20" i="83"/>
  <c r="BD30" i="83" s="1"/>
  <c r="BC20" i="83"/>
  <c r="BC30" i="83" s="1"/>
  <c r="BB20" i="83"/>
  <c r="BB30" i="83" s="1"/>
  <c r="BA20" i="83"/>
  <c r="BA30" i="83" s="1"/>
  <c r="AZ20" i="83"/>
  <c r="AZ30" i="83" s="1"/>
  <c r="AY20" i="83"/>
  <c r="AY30" i="83" s="1"/>
  <c r="AX20" i="83"/>
  <c r="AX30" i="83" s="1"/>
  <c r="AW20" i="83"/>
  <c r="AW30" i="83" s="1"/>
  <c r="AV20" i="83"/>
  <c r="AV30" i="83" s="1"/>
  <c r="AU20" i="83"/>
  <c r="AU30" i="83" s="1"/>
  <c r="AT20" i="83"/>
  <c r="AT30" i="83" s="1"/>
  <c r="AS20" i="83"/>
  <c r="AB20" i="83"/>
  <c r="AB30" i="83" s="1"/>
  <c r="AA20" i="83"/>
  <c r="AA30" i="83" s="1"/>
  <c r="Z20" i="83"/>
  <c r="Z30" i="83" s="1"/>
  <c r="Y20" i="83"/>
  <c r="Y30" i="83" s="1"/>
  <c r="X20" i="83"/>
  <c r="X30" i="83" s="1"/>
  <c r="W20" i="83"/>
  <c r="W30" i="83" s="1"/>
  <c r="V20" i="83"/>
  <c r="V30" i="83" s="1"/>
  <c r="U20" i="83"/>
  <c r="U30" i="83" s="1"/>
  <c r="T20" i="83"/>
  <c r="T30" i="83" s="1"/>
  <c r="S20" i="83"/>
  <c r="S30" i="83" s="1"/>
  <c r="R20" i="83"/>
  <c r="R30" i="83" s="1"/>
  <c r="Q20" i="83"/>
  <c r="Q30" i="83" s="1"/>
  <c r="EJ19" i="83"/>
  <c r="EJ29" i="83" s="1"/>
  <c r="EI19" i="83"/>
  <c r="EI29" i="83" s="1"/>
  <c r="EH19" i="83"/>
  <c r="EH29" i="83" s="1"/>
  <c r="EG19" i="83"/>
  <c r="EG29" i="83" s="1"/>
  <c r="EF19" i="83"/>
  <c r="EF29" i="83" s="1"/>
  <c r="EE19" i="83"/>
  <c r="EE29" i="83" s="1"/>
  <c r="ED19" i="83"/>
  <c r="ED29" i="83" s="1"/>
  <c r="EC19" i="83"/>
  <c r="EC29" i="83" s="1"/>
  <c r="EB19" i="83"/>
  <c r="EB29" i="83" s="1"/>
  <c r="EA19" i="83"/>
  <c r="EA29" i="83" s="1"/>
  <c r="DZ19" i="83"/>
  <c r="DZ29" i="83" s="1"/>
  <c r="DY19" i="83"/>
  <c r="DY29" i="83" s="1"/>
  <c r="DV19" i="83"/>
  <c r="DV29" i="83" s="1"/>
  <c r="DU19" i="83"/>
  <c r="DU29" i="83" s="1"/>
  <c r="DT19" i="83"/>
  <c r="DS19" i="83"/>
  <c r="DS29" i="83" s="1"/>
  <c r="DR19" i="83"/>
  <c r="DQ19" i="83"/>
  <c r="DQ29" i="83" s="1"/>
  <c r="DP19" i="83"/>
  <c r="DP29" i="83" s="1"/>
  <c r="DO19" i="83"/>
  <c r="DO29" i="83" s="1"/>
  <c r="DN19" i="83"/>
  <c r="DN29" i="83" s="1"/>
  <c r="DM19" i="83"/>
  <c r="DL19" i="83"/>
  <c r="DL29" i="83" s="1"/>
  <c r="DK19" i="83"/>
  <c r="DK29" i="83" s="1"/>
  <c r="DD19" i="83"/>
  <c r="DD29" i="83" s="1"/>
  <c r="DB19" i="83"/>
  <c r="CZ19" i="83"/>
  <c r="CY19" i="83"/>
  <c r="CY29" i="83" s="1"/>
  <c r="CX19" i="83"/>
  <c r="CX29" i="83" s="1"/>
  <c r="CW19" i="83"/>
  <c r="CW29" i="83" s="1"/>
  <c r="CJ19" i="83"/>
  <c r="CF19" i="83"/>
  <c r="CF29" i="83" s="1"/>
  <c r="CE19" i="83"/>
  <c r="CE29" i="83" s="1"/>
  <c r="CD19" i="83"/>
  <c r="CC19" i="83"/>
  <c r="CC29" i="83" s="1"/>
  <c r="CA19" i="83"/>
  <c r="CA29" i="83" s="1"/>
  <c r="BY19" i="83"/>
  <c r="BY29" i="83" s="1"/>
  <c r="BD19" i="83"/>
  <c r="BD29" i="83" s="1"/>
  <c r="BC19" i="83"/>
  <c r="BC29" i="83" s="1"/>
  <c r="BB19" i="83"/>
  <c r="BB29" i="83" s="1"/>
  <c r="BA19" i="83"/>
  <c r="BA29" i="83" s="1"/>
  <c r="AZ19" i="83"/>
  <c r="AZ29" i="83" s="1"/>
  <c r="AY19" i="83"/>
  <c r="AY29" i="83" s="1"/>
  <c r="AX19" i="83"/>
  <c r="AX29" i="83" s="1"/>
  <c r="AW19" i="83"/>
  <c r="AW29" i="83" s="1"/>
  <c r="AV19" i="83"/>
  <c r="AV29" i="83" s="1"/>
  <c r="AU19" i="83"/>
  <c r="AU29" i="83" s="1"/>
  <c r="AT19" i="83"/>
  <c r="AT29" i="83" s="1"/>
  <c r="AS19" i="83"/>
  <c r="AS29" i="83" s="1"/>
  <c r="EJ18" i="83"/>
  <c r="EJ28" i="83" s="1"/>
  <c r="EI18" i="83"/>
  <c r="EH18" i="83"/>
  <c r="EG18" i="83"/>
  <c r="EG28" i="83" s="1"/>
  <c r="EF18" i="83"/>
  <c r="EE18" i="83"/>
  <c r="EE28" i="83" s="1"/>
  <c r="ED18" i="83"/>
  <c r="ED28" i="83" s="1"/>
  <c r="EC18" i="83"/>
  <c r="EC28" i="83" s="1"/>
  <c r="EB18" i="83"/>
  <c r="EB28" i="83" s="1"/>
  <c r="EA18" i="83"/>
  <c r="DZ18" i="83"/>
  <c r="DZ28" i="83" s="1"/>
  <c r="DY18" i="83"/>
  <c r="DV18" i="83"/>
  <c r="DV28" i="83" s="1"/>
  <c r="DU18" i="83"/>
  <c r="DT18" i="83"/>
  <c r="DT28" i="83" s="1"/>
  <c r="DS18" i="83"/>
  <c r="DS28" i="83" s="1"/>
  <c r="DR18" i="83"/>
  <c r="DR28" i="83" s="1"/>
  <c r="DQ18" i="83"/>
  <c r="DP18" i="83"/>
  <c r="DO18" i="83"/>
  <c r="DN18" i="83"/>
  <c r="DN28" i="83" s="1"/>
  <c r="DM18" i="83"/>
  <c r="DM28" i="83" s="1"/>
  <c r="DL18" i="83"/>
  <c r="DL28" i="83" s="1"/>
  <c r="DK18" i="83"/>
  <c r="DK28" i="83" s="1"/>
  <c r="DH18" i="83"/>
  <c r="DH28" i="83" s="1"/>
  <c r="DG18" i="83"/>
  <c r="DF18" i="83"/>
  <c r="DF28" i="83" s="1"/>
  <c r="DE18" i="83"/>
  <c r="DE28" i="83" s="1"/>
  <c r="DD18" i="83"/>
  <c r="DD28" i="83" s="1"/>
  <c r="DC18" i="83"/>
  <c r="DC28" i="83" s="1"/>
  <c r="DB18" i="83"/>
  <c r="DB28" i="83" s="1"/>
  <c r="DA18" i="83"/>
  <c r="CZ18" i="83"/>
  <c r="CZ28" i="83" s="1"/>
  <c r="CY18" i="83"/>
  <c r="CY28" i="83" s="1"/>
  <c r="CX18" i="83"/>
  <c r="CW18" i="83"/>
  <c r="CT18" i="83"/>
  <c r="CT28" i="83" s="1"/>
  <c r="CS18" i="83"/>
  <c r="CR18" i="83"/>
  <c r="CR28" i="83" s="1"/>
  <c r="CQ18" i="83"/>
  <c r="CQ28" i="83" s="1"/>
  <c r="CP18" i="83"/>
  <c r="CP28" i="83" s="1"/>
  <c r="CO18" i="83"/>
  <c r="CN18" i="83"/>
  <c r="CN28" i="83" s="1"/>
  <c r="CM18" i="83"/>
  <c r="CM28" i="83" s="1"/>
  <c r="CL18" i="83"/>
  <c r="CL28" i="83" s="1"/>
  <c r="CK18" i="83"/>
  <c r="CK28" i="83" s="1"/>
  <c r="CJ18" i="83"/>
  <c r="CJ28" i="83" s="1"/>
  <c r="CI18" i="83"/>
  <c r="CF18" i="83"/>
  <c r="CE18" i="83"/>
  <c r="CD18" i="83"/>
  <c r="CD28" i="83" s="1"/>
  <c r="CC18" i="83"/>
  <c r="CC28" i="83" s="1"/>
  <c r="CB18" i="83"/>
  <c r="CA18" i="83"/>
  <c r="BZ18" i="83"/>
  <c r="BY18" i="83"/>
  <c r="BX18" i="83"/>
  <c r="BW18" i="83"/>
  <c r="BV18" i="83"/>
  <c r="BV28" i="83" s="1"/>
  <c r="BU18" i="83"/>
  <c r="BU28" i="83" s="1"/>
  <c r="BD18" i="83"/>
  <c r="BB18" i="83"/>
  <c r="BB28" i="83" s="1"/>
  <c r="AZ18" i="83"/>
  <c r="AZ28" i="83" s="1"/>
  <c r="AY18" i="83"/>
  <c r="AY28" i="83" s="1"/>
  <c r="AX18" i="83"/>
  <c r="AW18" i="83"/>
  <c r="AW28" i="83" s="1"/>
  <c r="AV18" i="83"/>
  <c r="AV28" i="83" s="1"/>
  <c r="AU18" i="83"/>
  <c r="AU28" i="83" s="1"/>
  <c r="AS18" i="83"/>
  <c r="AS28" i="83" s="1"/>
  <c r="AB18" i="83"/>
  <c r="AA18" i="83"/>
  <c r="Z18" i="83"/>
  <c r="Y18" i="83"/>
  <c r="X18" i="83"/>
  <c r="W18" i="83"/>
  <c r="V18" i="83"/>
  <c r="U18" i="83"/>
  <c r="T18" i="83"/>
  <c r="S18" i="83"/>
  <c r="R18" i="83"/>
  <c r="Q18" i="83"/>
  <c r="EK16" i="83"/>
  <c r="DW16" i="83"/>
  <c r="DI16" i="83"/>
  <c r="G16" i="88" s="1"/>
  <c r="O16" i="88" s="1"/>
  <c r="S16" i="88" s="1"/>
  <c r="CU16" i="83"/>
  <c r="F16" i="88" s="1"/>
  <c r="N16" i="88" s="1"/>
  <c r="R16" i="88" s="1"/>
  <c r="CG16" i="83"/>
  <c r="E16" i="88" s="1"/>
  <c r="BR16" i="83"/>
  <c r="BQ16" i="83"/>
  <c r="BP16" i="83"/>
  <c r="BO16" i="83"/>
  <c r="BN16" i="83"/>
  <c r="BM16" i="83"/>
  <c r="BL16" i="83"/>
  <c r="BK16" i="83"/>
  <c r="BJ16" i="83"/>
  <c r="BI16" i="83"/>
  <c r="BH16" i="83"/>
  <c r="BG16" i="83"/>
  <c r="BE16" i="83"/>
  <c r="AP16" i="83"/>
  <c r="AO16" i="83"/>
  <c r="AN16" i="83"/>
  <c r="AM16" i="83"/>
  <c r="AL16" i="83"/>
  <c r="J16" i="83" s="1"/>
  <c r="AK16" i="83"/>
  <c r="I16" i="83" s="1"/>
  <c r="AJ16" i="83"/>
  <c r="H16" i="83" s="1"/>
  <c r="AI16" i="83"/>
  <c r="G16" i="83" s="1"/>
  <c r="AH16" i="83"/>
  <c r="F16" i="83" s="1"/>
  <c r="AG16" i="83"/>
  <c r="AF16" i="83"/>
  <c r="D16" i="83" s="1"/>
  <c r="AE16" i="83"/>
  <c r="AC16" i="83"/>
  <c r="EK15" i="83"/>
  <c r="DW15" i="83"/>
  <c r="DI15" i="83"/>
  <c r="G15" i="88" s="1"/>
  <c r="O15" i="88" s="1"/>
  <c r="S15" i="88" s="1"/>
  <c r="CU15" i="83"/>
  <c r="CG15" i="83"/>
  <c r="E15" i="88" s="1"/>
  <c r="M15" i="88" s="1"/>
  <c r="Q15" i="88" s="1"/>
  <c r="BR15" i="83"/>
  <c r="BQ15" i="83"/>
  <c r="BP15" i="83"/>
  <c r="BO15" i="83"/>
  <c r="BN15" i="83"/>
  <c r="BM15" i="83"/>
  <c r="BL15" i="83"/>
  <c r="BK15" i="83"/>
  <c r="BJ15" i="83"/>
  <c r="BI15" i="83"/>
  <c r="BH15" i="83"/>
  <c r="BG15" i="83"/>
  <c r="BE15" i="83"/>
  <c r="AP15" i="83"/>
  <c r="AO15" i="83"/>
  <c r="M15" i="83" s="1"/>
  <c r="AN15" i="83"/>
  <c r="AM15" i="83"/>
  <c r="AL15" i="83"/>
  <c r="J15" i="83" s="1"/>
  <c r="AK15" i="83"/>
  <c r="I15" i="83" s="1"/>
  <c r="AJ15" i="83"/>
  <c r="H15" i="83" s="1"/>
  <c r="AI15" i="83"/>
  <c r="G15" i="83" s="1"/>
  <c r="AH15" i="83"/>
  <c r="F15" i="83" s="1"/>
  <c r="AG15" i="83"/>
  <c r="E15" i="83" s="1"/>
  <c r="AF15" i="83"/>
  <c r="D15" i="83" s="1"/>
  <c r="AE15" i="83"/>
  <c r="C15" i="83" s="1"/>
  <c r="AC15" i="83"/>
  <c r="EK14" i="83"/>
  <c r="DW14" i="83"/>
  <c r="DI14" i="83"/>
  <c r="G14" i="88" s="1"/>
  <c r="CU14" i="83"/>
  <c r="F14" i="88" s="1"/>
  <c r="CG14" i="83"/>
  <c r="E14" i="88" s="1"/>
  <c r="M14" i="88" s="1"/>
  <c r="Q14" i="88" s="1"/>
  <c r="BR14" i="83"/>
  <c r="BQ14" i="83"/>
  <c r="BP14" i="83"/>
  <c r="BO14" i="83"/>
  <c r="BN14" i="83"/>
  <c r="BM14" i="83"/>
  <c r="BL14" i="83"/>
  <c r="BK14" i="83"/>
  <c r="BJ14" i="83"/>
  <c r="BI14" i="83"/>
  <c r="BH14" i="83"/>
  <c r="BG14" i="83"/>
  <c r="BE14" i="83"/>
  <c r="AP14" i="83"/>
  <c r="N14" i="83" s="1"/>
  <c r="AO14" i="83"/>
  <c r="M14" i="83" s="1"/>
  <c r="AN14" i="83"/>
  <c r="L14" i="83" s="1"/>
  <c r="AM14" i="83"/>
  <c r="K14" i="83" s="1"/>
  <c r="AL14" i="83"/>
  <c r="J14" i="83" s="1"/>
  <c r="AK14" i="83"/>
  <c r="AJ14" i="83"/>
  <c r="AI14" i="83"/>
  <c r="G14" i="83" s="1"/>
  <c r="AH14" i="83"/>
  <c r="F14" i="83" s="1"/>
  <c r="AG14" i="83"/>
  <c r="AF14" i="83"/>
  <c r="D14" i="83" s="1"/>
  <c r="AE14" i="83"/>
  <c r="AC14" i="83"/>
  <c r="EJ13" i="83"/>
  <c r="EI13" i="83"/>
  <c r="EH13" i="83"/>
  <c r="EG13" i="83"/>
  <c r="EF13" i="83"/>
  <c r="EE13" i="83"/>
  <c r="ED13" i="83"/>
  <c r="EC13" i="83"/>
  <c r="EB13" i="83"/>
  <c r="EA13" i="83"/>
  <c r="DZ13" i="83"/>
  <c r="DY13" i="83"/>
  <c r="DV13" i="83"/>
  <c r="DU13" i="83"/>
  <c r="DT13" i="83"/>
  <c r="DS13" i="83"/>
  <c r="DR13" i="83"/>
  <c r="DQ13" i="83"/>
  <c r="DP13" i="83"/>
  <c r="DO13" i="83"/>
  <c r="DN13" i="83"/>
  <c r="DM13" i="83"/>
  <c r="DL13" i="83"/>
  <c r="DK13" i="83"/>
  <c r="DH13" i="83"/>
  <c r="DG13" i="83"/>
  <c r="DF13" i="83"/>
  <c r="DE13" i="83"/>
  <c r="DD13" i="83"/>
  <c r="DC13" i="83"/>
  <c r="DB13" i="83"/>
  <c r="DA13" i="83"/>
  <c r="CZ13" i="83"/>
  <c r="CY13" i="83"/>
  <c r="CX13" i="83"/>
  <c r="CW13" i="83"/>
  <c r="CT13" i="83"/>
  <c r="CS13" i="83"/>
  <c r="CR13" i="83"/>
  <c r="CQ13" i="83"/>
  <c r="CP13" i="83"/>
  <c r="CO13" i="83"/>
  <c r="CN13" i="83"/>
  <c r="CM13" i="83"/>
  <c r="CL13" i="83"/>
  <c r="CK13" i="83"/>
  <c r="CJ13" i="83"/>
  <c r="CI13" i="83"/>
  <c r="CF13" i="83"/>
  <c r="CE13" i="83"/>
  <c r="CD13" i="83"/>
  <c r="CC13" i="83"/>
  <c r="CB13" i="83"/>
  <c r="CA13" i="83"/>
  <c r="BZ13" i="83"/>
  <c r="BY13" i="83"/>
  <c r="BX13" i="83"/>
  <c r="BW13" i="83"/>
  <c r="BV13" i="83"/>
  <c r="BU13" i="83"/>
  <c r="BD13" i="83"/>
  <c r="BC13" i="83"/>
  <c r="BB13" i="83"/>
  <c r="BA13" i="83"/>
  <c r="AZ13" i="83"/>
  <c r="AY13" i="83"/>
  <c r="AX13" i="83"/>
  <c r="AW13" i="83"/>
  <c r="AV13" i="83"/>
  <c r="AU13" i="83"/>
  <c r="AT13" i="83"/>
  <c r="AS13" i="83"/>
  <c r="AB13" i="83"/>
  <c r="AA13" i="83"/>
  <c r="Z13" i="83"/>
  <c r="Y13" i="83"/>
  <c r="X13" i="83"/>
  <c r="W13" i="83"/>
  <c r="V13" i="83"/>
  <c r="U13" i="83"/>
  <c r="T13" i="83"/>
  <c r="S13" i="83"/>
  <c r="R13" i="83"/>
  <c r="Q13" i="83"/>
  <c r="EK12" i="83"/>
  <c r="EK20" i="83" s="1"/>
  <c r="DW12" i="83"/>
  <c r="DI12" i="83"/>
  <c r="CU12" i="83"/>
  <c r="F12" i="88" s="1"/>
  <c r="CG12" i="83"/>
  <c r="E12" i="88" s="1"/>
  <c r="BR12" i="83"/>
  <c r="BQ12" i="83"/>
  <c r="BP12" i="83"/>
  <c r="BO12" i="83"/>
  <c r="BN12" i="83"/>
  <c r="BM12" i="83"/>
  <c r="BL12" i="83"/>
  <c r="BK12" i="83"/>
  <c r="BK20" i="83" s="1"/>
  <c r="BJ12" i="83"/>
  <c r="BI12" i="83"/>
  <c r="BH12" i="83"/>
  <c r="BG12" i="83"/>
  <c r="BE12" i="83"/>
  <c r="AP12" i="83"/>
  <c r="N12" i="83" s="1"/>
  <c r="AO12" i="83"/>
  <c r="M12" i="83" s="1"/>
  <c r="AN12" i="83"/>
  <c r="L12" i="83" s="1"/>
  <c r="AM12" i="83"/>
  <c r="K12" i="83" s="1"/>
  <c r="AL12" i="83"/>
  <c r="AK12" i="83"/>
  <c r="I12" i="83" s="1"/>
  <c r="AJ12" i="83"/>
  <c r="H12" i="83" s="1"/>
  <c r="AI12" i="83"/>
  <c r="G12" i="83" s="1"/>
  <c r="AH12" i="83"/>
  <c r="AG12" i="83"/>
  <c r="E12" i="83" s="1"/>
  <c r="AF12" i="83"/>
  <c r="D12" i="83" s="1"/>
  <c r="AE12" i="83"/>
  <c r="C12" i="83" s="1"/>
  <c r="AC12" i="83"/>
  <c r="EK11" i="83"/>
  <c r="EK19" i="83" s="1"/>
  <c r="DW11" i="83"/>
  <c r="BI11" i="83"/>
  <c r="BH11" i="83"/>
  <c r="BE11" i="83"/>
  <c r="EK10" i="83"/>
  <c r="DW10" i="83"/>
  <c r="DI10" i="83"/>
  <c r="G10" i="88" s="1"/>
  <c r="O10" i="88" s="1"/>
  <c r="S10" i="88" s="1"/>
  <c r="CU10" i="83"/>
  <c r="CG10" i="83"/>
  <c r="BR10" i="83"/>
  <c r="BQ10" i="83"/>
  <c r="BP10" i="83"/>
  <c r="BO10" i="83"/>
  <c r="BN10" i="83"/>
  <c r="BM10" i="83"/>
  <c r="BL10" i="83"/>
  <c r="BK10" i="83"/>
  <c r="BJ10" i="83"/>
  <c r="BI10" i="83"/>
  <c r="BH10" i="83"/>
  <c r="BG10" i="83"/>
  <c r="AP10" i="83"/>
  <c r="N10" i="83" s="1"/>
  <c r="AN10" i="83"/>
  <c r="L10" i="83" s="1"/>
  <c r="AL10" i="83"/>
  <c r="AK10" i="83"/>
  <c r="AJ10" i="83"/>
  <c r="AI10" i="83"/>
  <c r="AH10" i="83"/>
  <c r="AG10" i="83"/>
  <c r="E10" i="83" s="1"/>
  <c r="AE10" i="83"/>
  <c r="C10" i="83" s="1"/>
  <c r="AC10" i="83"/>
  <c r="EJ9" i="83"/>
  <c r="EI9" i="83"/>
  <c r="EH9" i="83"/>
  <c r="EG9" i="83"/>
  <c r="EF9" i="83"/>
  <c r="EE9" i="83"/>
  <c r="ED9" i="83"/>
  <c r="EC9" i="83"/>
  <c r="EB9" i="83"/>
  <c r="EA9" i="83"/>
  <c r="DZ9" i="83"/>
  <c r="DY9" i="83"/>
  <c r="DV9" i="83"/>
  <c r="DU9" i="83"/>
  <c r="DT9" i="83"/>
  <c r="DS9" i="83"/>
  <c r="DR9" i="83"/>
  <c r="DQ9" i="83"/>
  <c r="DP9" i="83"/>
  <c r="DO9" i="83"/>
  <c r="DN9" i="83"/>
  <c r="DM9" i="83"/>
  <c r="DL9" i="83"/>
  <c r="DK9" i="83"/>
  <c r="DF9" i="83"/>
  <c r="DD9" i="83"/>
  <c r="DB9" i="83"/>
  <c r="CZ9" i="83"/>
  <c r="CY9" i="83"/>
  <c r="CX9" i="83"/>
  <c r="CW9" i="83"/>
  <c r="CL9" i="83"/>
  <c r="CJ9" i="83"/>
  <c r="CF9" i="83"/>
  <c r="CE9" i="83"/>
  <c r="CD9" i="83"/>
  <c r="CC9" i="83"/>
  <c r="CB9" i="83"/>
  <c r="CA9" i="83"/>
  <c r="BY9" i="83"/>
  <c r="BD9" i="83"/>
  <c r="BB9" i="83"/>
  <c r="AZ9" i="83"/>
  <c r="AY9" i="83"/>
  <c r="AX9" i="83"/>
  <c r="AW9" i="83"/>
  <c r="AV9" i="83"/>
  <c r="AU9" i="83"/>
  <c r="AS9" i="83"/>
  <c r="EK8" i="83"/>
  <c r="DW8" i="83"/>
  <c r="DI8" i="83"/>
  <c r="G8" i="88" s="1"/>
  <c r="O8" i="88" s="1"/>
  <c r="S8" i="88" s="1"/>
  <c r="CU8" i="83"/>
  <c r="F8" i="88" s="1"/>
  <c r="N8" i="88" s="1"/>
  <c r="R8" i="88" s="1"/>
  <c r="CG8" i="83"/>
  <c r="E8" i="88" s="1"/>
  <c r="M8" i="88" s="1"/>
  <c r="Q8" i="88" s="1"/>
  <c r="BR8" i="83"/>
  <c r="BQ8" i="83"/>
  <c r="BP8" i="83"/>
  <c r="BO8" i="83"/>
  <c r="BN8" i="83"/>
  <c r="BM8" i="83"/>
  <c r="BL8" i="83"/>
  <c r="BK8" i="83"/>
  <c r="BJ8" i="83"/>
  <c r="BI8" i="83"/>
  <c r="BH8" i="83"/>
  <c r="BG8" i="83"/>
  <c r="BE8" i="83"/>
  <c r="AP8" i="83"/>
  <c r="N8" i="83" s="1"/>
  <c r="AO8" i="83"/>
  <c r="M8" i="83" s="1"/>
  <c r="AN8" i="83"/>
  <c r="L8" i="83" s="1"/>
  <c r="AM8" i="83"/>
  <c r="K8" i="83" s="1"/>
  <c r="AL8" i="83"/>
  <c r="J8" i="83" s="1"/>
  <c r="AK8" i="83"/>
  <c r="I8" i="83" s="1"/>
  <c r="AJ8" i="83"/>
  <c r="H8" i="83" s="1"/>
  <c r="AI8" i="83"/>
  <c r="G8" i="83" s="1"/>
  <c r="AH8" i="83"/>
  <c r="F8" i="83" s="1"/>
  <c r="AG8" i="83"/>
  <c r="E8" i="83" s="1"/>
  <c r="AF8" i="83"/>
  <c r="D8" i="83" s="1"/>
  <c r="AE8" i="83"/>
  <c r="C8" i="83" s="1"/>
  <c r="AC8" i="83"/>
  <c r="EK7" i="83"/>
  <c r="DW7" i="83"/>
  <c r="DI7" i="83"/>
  <c r="CG7" i="83"/>
  <c r="BE7" i="83"/>
  <c r="AM7" i="83"/>
  <c r="AG7" i="83"/>
  <c r="EK6" i="83"/>
  <c r="DW6" i="83"/>
  <c r="DI6" i="83"/>
  <c r="G6" i="88" s="1"/>
  <c r="O6" i="88" s="1"/>
  <c r="S6" i="88" s="1"/>
  <c r="CU6" i="83"/>
  <c r="F6" i="88" s="1"/>
  <c r="N6" i="88" s="1"/>
  <c r="R6" i="88" s="1"/>
  <c r="CG6" i="83"/>
  <c r="E6" i="88" s="1"/>
  <c r="BR6" i="83"/>
  <c r="BQ6" i="83"/>
  <c r="BP6" i="83"/>
  <c r="BO6" i="83"/>
  <c r="BN6" i="83"/>
  <c r="BM6" i="83"/>
  <c r="BL6" i="83"/>
  <c r="BK6" i="83"/>
  <c r="BJ6" i="83"/>
  <c r="BI6" i="83"/>
  <c r="BH6" i="83"/>
  <c r="BG6" i="83"/>
  <c r="BE6" i="83"/>
  <c r="AP6" i="83"/>
  <c r="N6" i="83" s="1"/>
  <c r="AO6" i="83"/>
  <c r="M6" i="83" s="1"/>
  <c r="AN6" i="83"/>
  <c r="L6" i="83" s="1"/>
  <c r="AM6" i="83"/>
  <c r="K6" i="83" s="1"/>
  <c r="AL6" i="83"/>
  <c r="AK6" i="83"/>
  <c r="I6" i="83" s="1"/>
  <c r="AJ6" i="83"/>
  <c r="H6" i="83" s="1"/>
  <c r="AI6" i="83"/>
  <c r="G6" i="83" s="1"/>
  <c r="AH6" i="83"/>
  <c r="F6" i="83" s="1"/>
  <c r="AG6" i="83"/>
  <c r="E6" i="83" s="1"/>
  <c r="AF6" i="83"/>
  <c r="D6" i="83" s="1"/>
  <c r="AE6" i="83"/>
  <c r="AC6" i="83"/>
  <c r="EJ5" i="83"/>
  <c r="EI5" i="83"/>
  <c r="EH5" i="83"/>
  <c r="EG5" i="83"/>
  <c r="EF5" i="83"/>
  <c r="EE5" i="83"/>
  <c r="ED5" i="83"/>
  <c r="EC5" i="83"/>
  <c r="EB5" i="83"/>
  <c r="EA5" i="83"/>
  <c r="DZ5" i="83"/>
  <c r="DY5" i="83"/>
  <c r="DV5" i="83"/>
  <c r="DU5" i="83"/>
  <c r="DT5" i="83"/>
  <c r="DS5" i="83"/>
  <c r="DR5" i="83"/>
  <c r="DQ5" i="83"/>
  <c r="DP5" i="83"/>
  <c r="DO5" i="83"/>
  <c r="DN5" i="83"/>
  <c r="DM5" i="83"/>
  <c r="DL5" i="83"/>
  <c r="DK5" i="83"/>
  <c r="DH5" i="83"/>
  <c r="DG5" i="83"/>
  <c r="DD5" i="83"/>
  <c r="DB5" i="83"/>
  <c r="CZ5" i="83"/>
  <c r="CY5" i="83"/>
  <c r="CX5" i="83"/>
  <c r="CW5" i="83"/>
  <c r="CQ5" i="83"/>
  <c r="CL5" i="83"/>
  <c r="CJ5" i="83"/>
  <c r="CF5" i="83"/>
  <c r="CE5" i="83"/>
  <c r="CD5" i="83"/>
  <c r="CC5" i="83"/>
  <c r="CB5" i="83"/>
  <c r="CA5" i="83"/>
  <c r="BZ5" i="83"/>
  <c r="BY5" i="83"/>
  <c r="BX5" i="83"/>
  <c r="BW5" i="83"/>
  <c r="BV5" i="83"/>
  <c r="BD5" i="83"/>
  <c r="BC5" i="83"/>
  <c r="BB5" i="83"/>
  <c r="BA5" i="83"/>
  <c r="AZ5" i="83"/>
  <c r="AY5" i="83"/>
  <c r="AX5" i="83"/>
  <c r="AW5" i="83"/>
  <c r="AV5" i="83"/>
  <c r="AU5" i="83"/>
  <c r="AT5" i="83"/>
  <c r="AS5" i="83"/>
  <c r="CL19" i="83" l="1"/>
  <c r="CS29" i="83"/>
  <c r="BQ23" i="83"/>
  <c r="BQ7" i="83"/>
  <c r="CQ9" i="83"/>
  <c r="CJ29" i="83"/>
  <c r="BJ39" i="83"/>
  <c r="CL29" i="83"/>
  <c r="AH39" i="83"/>
  <c r="F39" i="83" s="1"/>
  <c r="AE38" i="95" s="1"/>
  <c r="CP19" i="83"/>
  <c r="CP29" i="83" s="1"/>
  <c r="BO38" i="83"/>
  <c r="E31" i="83"/>
  <c r="E20" i="88"/>
  <c r="BO31" i="83"/>
  <c r="EK29" i="83"/>
  <c r="BK30" i="83"/>
  <c r="DD27" i="83"/>
  <c r="BQ13" i="83"/>
  <c r="AM20" i="83"/>
  <c r="EK30" i="83"/>
  <c r="DV17" i="83"/>
  <c r="BM20" i="83"/>
  <c r="BM30" i="83" s="1"/>
  <c r="BK43" i="83"/>
  <c r="EG27" i="83"/>
  <c r="EG40" i="83" s="1"/>
  <c r="EG44" i="83" s="1"/>
  <c r="EG47" i="83" s="1"/>
  <c r="BH18" i="83"/>
  <c r="BH28" i="83" s="1"/>
  <c r="AL20" i="83"/>
  <c r="AL30" i="83" s="1"/>
  <c r="L18" i="83"/>
  <c r="BG18" i="83"/>
  <c r="AJ20" i="83"/>
  <c r="BI18" i="83"/>
  <c r="BI28" i="83" s="1"/>
  <c r="ED17" i="83"/>
  <c r="CY27" i="83"/>
  <c r="CY40" i="83" s="1"/>
  <c r="CY44" i="83" s="1"/>
  <c r="CY47" i="83" s="1"/>
  <c r="BJ18" i="83"/>
  <c r="BJ28" i="83" s="1"/>
  <c r="AC13" i="83"/>
  <c r="BL13" i="83"/>
  <c r="AI13" i="83"/>
  <c r="G21" i="88"/>
  <c r="BO13" i="83"/>
  <c r="DV27" i="83"/>
  <c r="DV40" i="83" s="1"/>
  <c r="BR13" i="83"/>
  <c r="DI43" i="83"/>
  <c r="EK13" i="83"/>
  <c r="DW20" i="83"/>
  <c r="DW30" i="83" s="1"/>
  <c r="D47" i="88"/>
  <c r="L47" i="88" s="1"/>
  <c r="P47" i="88" s="1"/>
  <c r="DY17" i="83"/>
  <c r="M12" i="88"/>
  <c r="Q12" i="88" s="1"/>
  <c r="E13" i="88"/>
  <c r="M13" i="88" s="1"/>
  <c r="Q13" i="88" s="1"/>
  <c r="BN43" i="83"/>
  <c r="BM18" i="83"/>
  <c r="D22" i="88"/>
  <c r="L22" i="88" s="1"/>
  <c r="P22" i="88" s="1"/>
  <c r="F20" i="88"/>
  <c r="K16" i="83"/>
  <c r="DK17" i="83"/>
  <c r="N12" i="88"/>
  <c r="R12" i="88" s="1"/>
  <c r="D38" i="88"/>
  <c r="L38" i="88" s="1"/>
  <c r="P38" i="88" s="1"/>
  <c r="J12" i="83"/>
  <c r="J20" i="83" s="1"/>
  <c r="J30" i="83" s="1"/>
  <c r="BJ13" i="83"/>
  <c r="EC17" i="83"/>
  <c r="CZ17" i="83"/>
  <c r="D46" i="88"/>
  <c r="L46" i="88" s="1"/>
  <c r="P46" i="88" s="1"/>
  <c r="AW27" i="83"/>
  <c r="AW40" i="83" s="1"/>
  <c r="AW44" i="83" s="1"/>
  <c r="AW47" i="83" s="1"/>
  <c r="BS16" i="83"/>
  <c r="BP43" i="83"/>
  <c r="G13" i="83"/>
  <c r="BN13" i="83"/>
  <c r="CX17" i="83"/>
  <c r="D20" i="83"/>
  <c r="D30" i="83" s="1"/>
  <c r="BB27" i="83"/>
  <c r="BB40" i="83" s="1"/>
  <c r="BB44" i="83" s="1"/>
  <c r="BB47" i="83" s="1"/>
  <c r="DM17" i="83"/>
  <c r="DW18" i="83"/>
  <c r="CZ29" i="83"/>
  <c r="BS37" i="83"/>
  <c r="AC20" i="83"/>
  <c r="AC30" i="83" s="1"/>
  <c r="F13" i="83"/>
  <c r="D14" i="88"/>
  <c r="L14" i="88" s="1"/>
  <c r="P14" i="88" s="1"/>
  <c r="J13" i="83"/>
  <c r="DS27" i="83"/>
  <c r="BM19" i="83"/>
  <c r="BN19" i="83"/>
  <c r="BS24" i="83"/>
  <c r="G13" i="88"/>
  <c r="BJ31" i="83"/>
  <c r="EK43" i="83"/>
  <c r="EJ27" i="83"/>
  <c r="EJ40" i="83" s="1"/>
  <c r="CU18" i="83"/>
  <c r="CU28" i="83" s="1"/>
  <c r="F10" i="88"/>
  <c r="DD40" i="83"/>
  <c r="DD44" i="83" s="1"/>
  <c r="DD47" i="83" s="1"/>
  <c r="BN5" i="83"/>
  <c r="D8" i="88"/>
  <c r="L8" i="88" s="1"/>
  <c r="P8" i="88" s="1"/>
  <c r="G44" i="88"/>
  <c r="O44" i="88" s="1"/>
  <c r="S44" i="88" s="1"/>
  <c r="DZ17" i="83"/>
  <c r="BE19" i="83"/>
  <c r="BE29" i="83" s="1"/>
  <c r="BN31" i="83"/>
  <c r="O22" i="88"/>
  <c r="S22" i="88" s="1"/>
  <c r="F31" i="83"/>
  <c r="BS12" i="83"/>
  <c r="CU13" i="83"/>
  <c r="F15" i="88"/>
  <c r="BQ20" i="83"/>
  <c r="BQ30" i="83" s="1"/>
  <c r="AN18" i="83"/>
  <c r="AN28" i="83" s="1"/>
  <c r="DR17" i="83"/>
  <c r="DM29" i="83"/>
  <c r="DM27" i="83" s="1"/>
  <c r="DM40" i="83" s="1"/>
  <c r="DM44" i="83" s="1"/>
  <c r="DM47" i="83" s="1"/>
  <c r="BS42" i="83"/>
  <c r="O14" i="88"/>
  <c r="S14" i="88" s="1"/>
  <c r="BL20" i="83"/>
  <c r="BL30" i="83" s="1"/>
  <c r="BE5" i="83"/>
  <c r="DW5" i="83"/>
  <c r="AH20" i="83"/>
  <c r="AH30" i="83" s="1"/>
  <c r="EE17" i="83"/>
  <c r="AP18" i="83"/>
  <c r="AP28" i="83" s="1"/>
  <c r="AU27" i="83"/>
  <c r="AU40" i="83" s="1"/>
  <c r="BP31" i="83"/>
  <c r="BH43" i="83"/>
  <c r="D24" i="88"/>
  <c r="G32" i="88"/>
  <c r="O32" i="88" s="1"/>
  <c r="S32" i="88" s="1"/>
  <c r="M22" i="88"/>
  <c r="Q22" i="88" s="1"/>
  <c r="BK31" i="83"/>
  <c r="BQ31" i="83"/>
  <c r="BI43" i="83"/>
  <c r="BQ5" i="83"/>
  <c r="G20" i="83"/>
  <c r="G30" i="83" s="1"/>
  <c r="EG17" i="83"/>
  <c r="BO20" i="83"/>
  <c r="BO30" i="83" s="1"/>
  <c r="BM13" i="83"/>
  <c r="D16" i="88"/>
  <c r="L16" i="88" s="1"/>
  <c r="P16" i="88" s="1"/>
  <c r="EJ17" i="83"/>
  <c r="DI18" i="83"/>
  <c r="EA17" i="83"/>
  <c r="BO43" i="83"/>
  <c r="BJ43" i="83"/>
  <c r="D35" i="88"/>
  <c r="L35" i="88" s="1"/>
  <c r="P35" i="88" s="1"/>
  <c r="AM5" i="83"/>
  <c r="AC18" i="83"/>
  <c r="BP20" i="83"/>
  <c r="BP30" i="83" s="1"/>
  <c r="AP20" i="83"/>
  <c r="AP30" i="83" s="1"/>
  <c r="AZ17" i="83"/>
  <c r="EA28" i="83"/>
  <c r="EA27" i="83" s="1"/>
  <c r="EA40" i="83" s="1"/>
  <c r="EA44" i="83" s="1"/>
  <c r="EA47" i="83" s="1"/>
  <c r="DR29" i="83"/>
  <c r="DR27" i="83" s="1"/>
  <c r="DR40" i="83" s="1"/>
  <c r="DR44" i="83" s="1"/>
  <c r="DR47" i="83" s="1"/>
  <c r="CG31" i="83"/>
  <c r="E33" i="88"/>
  <c r="AJ30" i="83"/>
  <c r="EK21" i="83"/>
  <c r="CU31" i="83"/>
  <c r="F34" i="88"/>
  <c r="N34" i="88" s="1"/>
  <c r="R34" i="88" s="1"/>
  <c r="M16" i="88"/>
  <c r="Q16" i="88" s="1"/>
  <c r="AQ6" i="83"/>
  <c r="CG5" i="83"/>
  <c r="E7" i="88"/>
  <c r="M7" i="88" s="1"/>
  <c r="Q7" i="88" s="1"/>
  <c r="BR20" i="83"/>
  <c r="BR30" i="83" s="1"/>
  <c r="BP13" i="83"/>
  <c r="BG13" i="83"/>
  <c r="DW13" i="83"/>
  <c r="CU20" i="83"/>
  <c r="CU30" i="83" s="1"/>
  <c r="AQ31" i="83"/>
  <c r="BR43" i="83"/>
  <c r="N14" i="88"/>
  <c r="R14" i="88" s="1"/>
  <c r="G18" i="88"/>
  <c r="G28" i="88" s="1"/>
  <c r="BH20" i="83"/>
  <c r="BH30" i="83" s="1"/>
  <c r="CC27" i="83"/>
  <c r="CC40" i="83" s="1"/>
  <c r="CC44" i="83" s="1"/>
  <c r="CC47" i="83" s="1"/>
  <c r="AC43" i="83"/>
  <c r="CG43" i="83"/>
  <c r="E42" i="88"/>
  <c r="D37" i="88"/>
  <c r="L37" i="88" s="1"/>
  <c r="P37" i="88" s="1"/>
  <c r="DI5" i="83"/>
  <c r="G7" i="88"/>
  <c r="O7" i="88" s="1"/>
  <c r="S7" i="88" s="1"/>
  <c r="K20" i="83"/>
  <c r="K30" i="83" s="1"/>
  <c r="BQ18" i="83"/>
  <c r="BQ28" i="83" s="1"/>
  <c r="H20" i="83"/>
  <c r="H30" i="83" s="1"/>
  <c r="AV17" i="83"/>
  <c r="CU43" i="83"/>
  <c r="F42" i="88"/>
  <c r="D43" i="88"/>
  <c r="L43" i="88" s="1"/>
  <c r="P43" i="88" s="1"/>
  <c r="D6" i="88"/>
  <c r="L6" i="88" s="1"/>
  <c r="P6" i="88" s="1"/>
  <c r="EK5" i="83"/>
  <c r="DI20" i="83"/>
  <c r="DI30" i="83" s="1"/>
  <c r="G12" i="88"/>
  <c r="AZ27" i="83"/>
  <c r="AZ40" i="83" s="1"/>
  <c r="BS45" i="83"/>
  <c r="M6" i="88"/>
  <c r="Q6" i="88" s="1"/>
  <c r="BN20" i="83"/>
  <c r="BN30" i="83" s="1"/>
  <c r="CJ17" i="83"/>
  <c r="AK18" i="83"/>
  <c r="AK28" i="83" s="1"/>
  <c r="CG18" i="83"/>
  <c r="CG28" i="83" s="1"/>
  <c r="E10" i="88"/>
  <c r="BE20" i="83"/>
  <c r="BE30" i="83" s="1"/>
  <c r="AF13" i="83"/>
  <c r="DD17" i="83"/>
  <c r="BR7" i="83"/>
  <c r="AP35" i="83"/>
  <c r="N35" i="83" s="1"/>
  <c r="AM34" i="95" s="1"/>
  <c r="AP38" i="83"/>
  <c r="N38" i="83" s="1"/>
  <c r="AM37" i="95" s="1"/>
  <c r="CQ27" i="83"/>
  <c r="CQ40" i="83" s="1"/>
  <c r="CQ44" i="83" s="1"/>
  <c r="CQ47" i="83" s="1"/>
  <c r="CT19" i="83"/>
  <c r="CT29" i="83" s="1"/>
  <c r="CT27" i="83" s="1"/>
  <c r="CT40" i="83" s="1"/>
  <c r="CT44" i="83" s="1"/>
  <c r="CT47" i="83" s="1"/>
  <c r="Y7" i="83"/>
  <c r="Y5" i="83" s="1"/>
  <c r="CQ17" i="83"/>
  <c r="CL17" i="83"/>
  <c r="AL7" i="83"/>
  <c r="X7" i="83" s="1"/>
  <c r="J7" i="83" s="1"/>
  <c r="AI6" i="95" s="1"/>
  <c r="CS9" i="83"/>
  <c r="BR39" i="83"/>
  <c r="AM35" i="83"/>
  <c r="K35" i="83" s="1"/>
  <c r="AJ34" i="95" s="1"/>
  <c r="CU38" i="83"/>
  <c r="F39" i="88" s="1"/>
  <c r="CU39" i="83"/>
  <c r="F40" i="88" s="1"/>
  <c r="BO39" i="83"/>
  <c r="CO5" i="83"/>
  <c r="CP5" i="83"/>
  <c r="CL27" i="83"/>
  <c r="CL40" i="83" s="1"/>
  <c r="CL44" i="83" s="1"/>
  <c r="CL47" i="83" s="1"/>
  <c r="AO35" i="83"/>
  <c r="M35" i="83" s="1"/>
  <c r="AL34" i="95" s="1"/>
  <c r="AO38" i="83"/>
  <c r="M38" i="83" s="1"/>
  <c r="AL37" i="95" s="1"/>
  <c r="BI39" i="83"/>
  <c r="H19" i="88"/>
  <c r="H29" i="88" s="1"/>
  <c r="H21" i="88"/>
  <c r="L24" i="88"/>
  <c r="P24" i="88" s="1"/>
  <c r="O13" i="88"/>
  <c r="S13" i="88" s="1"/>
  <c r="I28" i="88"/>
  <c r="I27" i="88" s="1"/>
  <c r="I41" i="88" s="1"/>
  <c r="I45" i="88" s="1"/>
  <c r="I48" i="88" s="1"/>
  <c r="H13" i="88"/>
  <c r="O21" i="88"/>
  <c r="S21" i="88" s="1"/>
  <c r="I31" i="88"/>
  <c r="V17" i="88"/>
  <c r="O28" i="86"/>
  <c r="O27" i="86" s="1"/>
  <c r="O40" i="86" s="1"/>
  <c r="O44" i="86" s="1"/>
  <c r="O47" i="86" s="1"/>
  <c r="V26" i="88"/>
  <c r="H20" i="88"/>
  <c r="H30" i="88" s="1"/>
  <c r="E30" i="88"/>
  <c r="M30" i="88" s="1"/>
  <c r="Q30" i="88" s="1"/>
  <c r="M20" i="88"/>
  <c r="Q20" i="88" s="1"/>
  <c r="K28" i="88"/>
  <c r="K27" i="88" s="1"/>
  <c r="K17" i="88"/>
  <c r="O18" i="88"/>
  <c r="S18" i="88" s="1"/>
  <c r="J28" i="88"/>
  <c r="J27" i="88" s="1"/>
  <c r="J17" i="88"/>
  <c r="F30" i="88"/>
  <c r="N30" i="88" s="1"/>
  <c r="R30" i="88" s="1"/>
  <c r="N20" i="88"/>
  <c r="R20" i="88" s="1"/>
  <c r="H18" i="88"/>
  <c r="H9" i="88"/>
  <c r="O21" i="86"/>
  <c r="W21" i="86"/>
  <c r="I25" i="86"/>
  <c r="I28" i="86" s="1"/>
  <c r="I27" i="86" s="1"/>
  <c r="I40" i="86" s="1"/>
  <c r="I44" i="86" s="1"/>
  <c r="I47" i="86" s="1"/>
  <c r="J25" i="86"/>
  <c r="J21" i="86" s="1"/>
  <c r="F25" i="86"/>
  <c r="F28" i="86" s="1"/>
  <c r="F27" i="86" s="1"/>
  <c r="F40" i="86" s="1"/>
  <c r="F44" i="86" s="1"/>
  <c r="F47" i="86" s="1"/>
  <c r="U21" i="86"/>
  <c r="G25" i="86"/>
  <c r="G21" i="86" s="1"/>
  <c r="T28" i="86"/>
  <c r="T27" i="86" s="1"/>
  <c r="T40" i="86" s="1"/>
  <c r="T44" i="86" s="1"/>
  <c r="T47" i="86" s="1"/>
  <c r="D25" i="86"/>
  <c r="D28" i="86" s="1"/>
  <c r="D27" i="86" s="1"/>
  <c r="D40" i="86" s="1"/>
  <c r="D44" i="86" s="1"/>
  <c r="D47" i="86" s="1"/>
  <c r="X21" i="86"/>
  <c r="Y21" i="86"/>
  <c r="Y28" i="86"/>
  <c r="Y27" i="86" s="1"/>
  <c r="Y40" i="86" s="1"/>
  <c r="Y44" i="86" s="1"/>
  <c r="Y47" i="86" s="1"/>
  <c r="R28" i="86"/>
  <c r="R27" i="86" s="1"/>
  <c r="R40" i="86" s="1"/>
  <c r="R44" i="86" s="1"/>
  <c r="R47" i="86" s="1"/>
  <c r="C1" i="86"/>
  <c r="N21" i="86"/>
  <c r="N28" i="86"/>
  <c r="N27" i="86" s="1"/>
  <c r="N40" i="86" s="1"/>
  <c r="N44" i="86" s="1"/>
  <c r="N47" i="86" s="1"/>
  <c r="V28" i="86"/>
  <c r="V27" i="86" s="1"/>
  <c r="V40" i="86" s="1"/>
  <c r="V44" i="86" s="1"/>
  <c r="V47" i="86" s="1"/>
  <c r="V21" i="86"/>
  <c r="H25" i="86"/>
  <c r="K28" i="86"/>
  <c r="K27" i="86" s="1"/>
  <c r="K40" i="86" s="1"/>
  <c r="K44" i="86" s="1"/>
  <c r="K47" i="86" s="1"/>
  <c r="K21" i="86"/>
  <c r="AA21" i="86"/>
  <c r="M25" i="86"/>
  <c r="AA28" i="86"/>
  <c r="AA27" i="86" s="1"/>
  <c r="AA40" i="86" s="1"/>
  <c r="AA44" i="86" s="1"/>
  <c r="AA47" i="86" s="1"/>
  <c r="L21" i="86"/>
  <c r="L28" i="86"/>
  <c r="L27" i="86" s="1"/>
  <c r="L40" i="86" s="1"/>
  <c r="L44" i="86" s="1"/>
  <c r="L47" i="86" s="1"/>
  <c r="E21" i="86"/>
  <c r="E28" i="86"/>
  <c r="E27" i="86" s="1"/>
  <c r="E40" i="86" s="1"/>
  <c r="E44" i="86" s="1"/>
  <c r="E47" i="86" s="1"/>
  <c r="AS30" i="83"/>
  <c r="AS17" i="83"/>
  <c r="CU7" i="83"/>
  <c r="CI5" i="83"/>
  <c r="AE7" i="83"/>
  <c r="BA9" i="83"/>
  <c r="BA18" i="83"/>
  <c r="AM10" i="83"/>
  <c r="CU11" i="83"/>
  <c r="F11" i="88" s="1"/>
  <c r="CI19" i="83"/>
  <c r="CI29" i="83" s="1"/>
  <c r="CI9" i="83"/>
  <c r="DI11" i="83"/>
  <c r="DI9" i="83" s="1"/>
  <c r="DA19" i="83"/>
  <c r="DA29" i="83" s="1"/>
  <c r="BK11" i="83"/>
  <c r="BK19" i="83" s="1"/>
  <c r="AM22" i="83"/>
  <c r="BA21" i="83"/>
  <c r="CU23" i="83"/>
  <c r="F23" i="88" s="1"/>
  <c r="CI21" i="83"/>
  <c r="CU35" i="83"/>
  <c r="F36" i="88" s="1"/>
  <c r="BG35" i="83"/>
  <c r="BE37" i="83"/>
  <c r="AE37" i="83"/>
  <c r="AM38" i="83"/>
  <c r="K38" i="83" s="1"/>
  <c r="AJ37" i="95" s="1"/>
  <c r="BE38" i="83"/>
  <c r="BG39" i="83"/>
  <c r="CG39" i="83"/>
  <c r="E40" i="88" s="1"/>
  <c r="M40" i="88" s="1"/>
  <c r="Q40" i="88" s="1"/>
  <c r="AE41" i="83"/>
  <c r="AS43" i="83"/>
  <c r="BE41" i="83"/>
  <c r="DO43" i="83"/>
  <c r="AI41" i="83"/>
  <c r="BA43" i="83"/>
  <c r="AM42" i="83"/>
  <c r="K42" i="83" s="1"/>
  <c r="AE45" i="83"/>
  <c r="BE45" i="83"/>
  <c r="AM46" i="83"/>
  <c r="K46" i="83" s="1"/>
  <c r="BE46" i="83"/>
  <c r="EE27" i="83"/>
  <c r="EE40" i="83" s="1"/>
  <c r="EE44" i="83" s="1"/>
  <c r="EE47" i="83" s="1"/>
  <c r="CP27" i="83"/>
  <c r="CP40" i="83" s="1"/>
  <c r="CP44" i="83" s="1"/>
  <c r="CP47" i="83" s="1"/>
  <c r="T5" i="83"/>
  <c r="BO5" i="83"/>
  <c r="DA9" i="83"/>
  <c r="M24" i="83"/>
  <c r="O24" i="83" s="1"/>
  <c r="U24" i="88" s="1"/>
  <c r="W24" i="88" s="1"/>
  <c r="X24" i="88" s="1"/>
  <c r="AQ24" i="83"/>
  <c r="R11" i="83"/>
  <c r="AF19" i="83"/>
  <c r="CN29" i="83"/>
  <c r="CN27" i="83" s="1"/>
  <c r="CN40" i="83" s="1"/>
  <c r="CN44" i="83" s="1"/>
  <c r="CN47" i="83" s="1"/>
  <c r="CN17" i="83"/>
  <c r="F5" i="83"/>
  <c r="AE4" i="95" s="1"/>
  <c r="O8" i="83"/>
  <c r="U8" i="88" s="1"/>
  <c r="W8" i="88" s="1"/>
  <c r="X8" i="88" s="1"/>
  <c r="BK18" i="83"/>
  <c r="C35" i="83"/>
  <c r="AB34" i="95" s="1"/>
  <c r="N18" i="83"/>
  <c r="AF43" i="83"/>
  <c r="D41" i="83"/>
  <c r="D43" i="83" s="1"/>
  <c r="BH19" i="83"/>
  <c r="BH9" i="83"/>
  <c r="DA21" i="83"/>
  <c r="BN18" i="83"/>
  <c r="BN9" i="83"/>
  <c r="BI19" i="83"/>
  <c r="BI9" i="83"/>
  <c r="CD17" i="83"/>
  <c r="CD29" i="83"/>
  <c r="CD27" i="83" s="1"/>
  <c r="CD40" i="83" s="1"/>
  <c r="CD44" i="83" s="1"/>
  <c r="CD47" i="83" s="1"/>
  <c r="AG18" i="83"/>
  <c r="BJ9" i="83"/>
  <c r="BJ19" i="83"/>
  <c r="CO28" i="83"/>
  <c r="DG28" i="83"/>
  <c r="DY28" i="83"/>
  <c r="DY27" i="83" s="1"/>
  <c r="DY40" i="83" s="1"/>
  <c r="DY44" i="83" s="1"/>
  <c r="DY47" i="83" s="1"/>
  <c r="AQ14" i="83"/>
  <c r="AE13" i="83"/>
  <c r="C14" i="83"/>
  <c r="BY28" i="83"/>
  <c r="BY27" i="83" s="1"/>
  <c r="BY40" i="83" s="1"/>
  <c r="BY44" i="83" s="1"/>
  <c r="BY47" i="83" s="1"/>
  <c r="BY17" i="83"/>
  <c r="DI28" i="83"/>
  <c r="BW28" i="83"/>
  <c r="EC27" i="83"/>
  <c r="EC40" i="83" s="1"/>
  <c r="EC44" i="83" s="1"/>
  <c r="EC47" i="83" s="1"/>
  <c r="S7" i="83"/>
  <c r="AG5" i="83"/>
  <c r="AG13" i="83"/>
  <c r="E14" i="83"/>
  <c r="E18" i="83" s="1"/>
  <c r="L16" i="83"/>
  <c r="L20" i="83" s="1"/>
  <c r="L30" i="83" s="1"/>
  <c r="AN20" i="83"/>
  <c r="AN30" i="83" s="1"/>
  <c r="ED27" i="83"/>
  <c r="ED40" i="83" s="1"/>
  <c r="ED44" i="83" s="1"/>
  <c r="ED47" i="83" s="1"/>
  <c r="AF35" i="83"/>
  <c r="D35" i="83" s="1"/>
  <c r="AC34" i="95" s="1"/>
  <c r="F41" i="83"/>
  <c r="BC18" i="83"/>
  <c r="AO10" i="83"/>
  <c r="BC9" i="83"/>
  <c r="CK9" i="83"/>
  <c r="CK19" i="83"/>
  <c r="DC9" i="83"/>
  <c r="DC19" i="83"/>
  <c r="BC21" i="83"/>
  <c r="AO22" i="83"/>
  <c r="AG41" i="83"/>
  <c r="AU43" i="83"/>
  <c r="AU44" i="83" s="1"/>
  <c r="AU47" i="83" s="1"/>
  <c r="AO42" i="83"/>
  <c r="M42" i="83" s="1"/>
  <c r="BC43" i="83"/>
  <c r="AE18" i="83"/>
  <c r="BM28" i="83"/>
  <c r="BM17" i="83"/>
  <c r="BL11" i="83"/>
  <c r="AY27" i="83"/>
  <c r="AY40" i="83" s="1"/>
  <c r="AY44" i="83" s="1"/>
  <c r="AY47" i="83" s="1"/>
  <c r="DG21" i="83"/>
  <c r="EJ44" i="83"/>
  <c r="EJ47" i="83" s="1"/>
  <c r="AJ41" i="83"/>
  <c r="BG7" i="83"/>
  <c r="AI7" i="83"/>
  <c r="U7" i="83" s="1"/>
  <c r="CG11" i="83"/>
  <c r="CG9" i="83" s="1"/>
  <c r="BU19" i="83"/>
  <c r="AE11" i="83"/>
  <c r="CM19" i="83"/>
  <c r="AI11" i="83"/>
  <c r="AM11" i="83"/>
  <c r="DE19" i="83"/>
  <c r="DE9" i="83"/>
  <c r="BU21" i="83"/>
  <c r="BG23" i="83"/>
  <c r="AE23" i="83"/>
  <c r="CG23" i="83"/>
  <c r="BK23" i="83"/>
  <c r="BK21" i="83" s="1"/>
  <c r="CM21" i="83"/>
  <c r="AI23" i="83"/>
  <c r="AI21" i="83" s="1"/>
  <c r="CG35" i="83"/>
  <c r="E36" i="88" s="1"/>
  <c r="M36" i="88" s="1"/>
  <c r="Q36" i="88" s="1"/>
  <c r="AI35" i="83"/>
  <c r="G35" i="83" s="1"/>
  <c r="AF34" i="95" s="1"/>
  <c r="BK35" i="83"/>
  <c r="AE36" i="83"/>
  <c r="DW36" i="83"/>
  <c r="BG38" i="83"/>
  <c r="BK38" i="83"/>
  <c r="AI38" i="83"/>
  <c r="G38" i="83" s="1"/>
  <c r="AF37" i="95" s="1"/>
  <c r="AE39" i="83"/>
  <c r="BE39" i="83"/>
  <c r="BK39" i="83"/>
  <c r="AI39" i="83"/>
  <c r="G39" i="83" s="1"/>
  <c r="AF38" i="95" s="1"/>
  <c r="AM39" i="83"/>
  <c r="K39" i="83" s="1"/>
  <c r="AJ38" i="95" s="1"/>
  <c r="DW39" i="83"/>
  <c r="DS43" i="83"/>
  <c r="AM41" i="83"/>
  <c r="AI45" i="83"/>
  <c r="G45" i="83" s="1"/>
  <c r="AF44" i="95" s="1"/>
  <c r="M16" i="83"/>
  <c r="M13" i="83" s="1"/>
  <c r="AO13" i="83"/>
  <c r="BW21" i="83"/>
  <c r="AG23" i="83"/>
  <c r="AG21" i="83" s="1"/>
  <c r="BN23" i="83"/>
  <c r="AL23" i="83"/>
  <c r="AL21" i="83" s="1"/>
  <c r="CP21" i="83"/>
  <c r="AQ15" i="83"/>
  <c r="AH13" i="83"/>
  <c r="AN7" i="83"/>
  <c r="BP7" i="83"/>
  <c r="BP5" i="83" s="1"/>
  <c r="CR5" i="83"/>
  <c r="AF10" i="83"/>
  <c r="AT18" i="83"/>
  <c r="CR19" i="83"/>
  <c r="AN11" i="83"/>
  <c r="CR9" i="83"/>
  <c r="BP11" i="83"/>
  <c r="BP19" i="83" s="1"/>
  <c r="AF22" i="83"/>
  <c r="AT21" i="83"/>
  <c r="BL23" i="83"/>
  <c r="BL21" i="83" s="1"/>
  <c r="BZ21" i="83"/>
  <c r="AJ23" i="83"/>
  <c r="AJ21" i="83" s="1"/>
  <c r="BE35" i="83"/>
  <c r="AF36" i="83"/>
  <c r="D36" i="83" s="1"/>
  <c r="BE36" i="83"/>
  <c r="AF38" i="83"/>
  <c r="D38" i="83" s="1"/>
  <c r="AC37" i="95" s="1"/>
  <c r="BL38" i="83"/>
  <c r="BP39" i="83"/>
  <c r="DN27" i="83"/>
  <c r="DN40" i="83" s="1"/>
  <c r="DN44" i="83" s="1"/>
  <c r="DN47" i="83" s="1"/>
  <c r="DU43" i="83"/>
  <c r="AO41" i="83"/>
  <c r="EF28" i="83"/>
  <c r="EF27" i="83" s="1"/>
  <c r="EF40" i="83" s="1"/>
  <c r="EF44" i="83" s="1"/>
  <c r="EF47" i="83" s="1"/>
  <c r="EF17" i="83"/>
  <c r="AL11" i="83"/>
  <c r="AL9" i="83" s="1"/>
  <c r="CP9" i="83"/>
  <c r="AL41" i="83"/>
  <c r="AZ43" i="83"/>
  <c r="AP23" i="83"/>
  <c r="AP21" i="83" s="1"/>
  <c r="DF29" i="83"/>
  <c r="DF27" i="83" s="1"/>
  <c r="DF40" i="83" s="1"/>
  <c r="DF44" i="83" s="1"/>
  <c r="DF47" i="83" s="1"/>
  <c r="DF17" i="83"/>
  <c r="AK23" i="83"/>
  <c r="AK21" i="83" s="1"/>
  <c r="CO21" i="83"/>
  <c r="BP18" i="83"/>
  <c r="DH19" i="83"/>
  <c r="BR11" i="83"/>
  <c r="BR19" i="83" s="1"/>
  <c r="DH9" i="83"/>
  <c r="DV43" i="83"/>
  <c r="AP41" i="83"/>
  <c r="N16" i="83"/>
  <c r="N20" i="83" s="1"/>
  <c r="N30" i="83" s="1"/>
  <c r="AJ39" i="83"/>
  <c r="H39" i="83" s="1"/>
  <c r="AG38" i="95" s="1"/>
  <c r="BM5" i="83"/>
  <c r="BH7" i="83"/>
  <c r="BH5" i="83" s="1"/>
  <c r="F12" i="83"/>
  <c r="F20" i="83" s="1"/>
  <c r="F30" i="83" s="1"/>
  <c r="BE13" i="83"/>
  <c r="AQ16" i="83"/>
  <c r="C16" i="83"/>
  <c r="BM23" i="83"/>
  <c r="BM29" i="83" s="1"/>
  <c r="CG38" i="83"/>
  <c r="E39" i="88" s="1"/>
  <c r="M39" i="88" s="1"/>
  <c r="Q39" i="88" s="1"/>
  <c r="DW46" i="83"/>
  <c r="I41" i="83"/>
  <c r="I43" i="83" s="1"/>
  <c r="AK43" i="83"/>
  <c r="I14" i="83"/>
  <c r="I13" i="83" s="1"/>
  <c r="AK13" i="83"/>
  <c r="AG35" i="83"/>
  <c r="E35" i="83" s="1"/>
  <c r="AD34" i="95" s="1"/>
  <c r="DW19" i="83"/>
  <c r="DW29" i="83" s="1"/>
  <c r="DW9" i="83"/>
  <c r="BS8" i="83"/>
  <c r="CC17" i="83"/>
  <c r="DI13" i="83"/>
  <c r="C6" i="83"/>
  <c r="BE10" i="83"/>
  <c r="AP11" i="83"/>
  <c r="DU28" i="83"/>
  <c r="DU27" i="83" s="1"/>
  <c r="DU40" i="83" s="1"/>
  <c r="DU17" i="83"/>
  <c r="BG20" i="83"/>
  <c r="BG30" i="83" s="1"/>
  <c r="BE22" i="83"/>
  <c r="BE21" i="83" s="1"/>
  <c r="BO23" i="83"/>
  <c r="BO21" i="83" s="1"/>
  <c r="BM43" i="83"/>
  <c r="BS41" i="83"/>
  <c r="BS43" i="83" s="1"/>
  <c r="AH42" i="83"/>
  <c r="F42" i="83" s="1"/>
  <c r="BS46" i="83"/>
  <c r="F10" i="83"/>
  <c r="AK7" i="83"/>
  <c r="AO11" i="83"/>
  <c r="BQ11" i="83"/>
  <c r="DG19" i="83"/>
  <c r="DG29" i="83" s="1"/>
  <c r="DG9" i="83"/>
  <c r="AI18" i="83"/>
  <c r="G10" i="83"/>
  <c r="BX19" i="83"/>
  <c r="BX29" i="83" s="1"/>
  <c r="BX9" i="83"/>
  <c r="AH11" i="83"/>
  <c r="AH9" i="83" s="1"/>
  <c r="AH18" i="83"/>
  <c r="CN9" i="83"/>
  <c r="DI39" i="83"/>
  <c r="G40" i="88" s="1"/>
  <c r="O40" i="88" s="1"/>
  <c r="S40" i="88" s="1"/>
  <c r="BV9" i="83"/>
  <c r="BV19" i="83"/>
  <c r="AF23" i="83"/>
  <c r="BH23" i="83"/>
  <c r="BH21" i="83" s="1"/>
  <c r="BV21" i="83"/>
  <c r="BO18" i="83"/>
  <c r="BB17" i="83"/>
  <c r="CW17" i="83"/>
  <c r="CW28" i="83"/>
  <c r="CW27" i="83" s="1"/>
  <c r="CW40" i="83" s="1"/>
  <c r="CW44" i="83" s="1"/>
  <c r="CW47" i="83" s="1"/>
  <c r="AN41" i="83"/>
  <c r="BW9" i="83"/>
  <c r="BW19" i="83"/>
  <c r="BW29" i="83" s="1"/>
  <c r="AG11" i="83"/>
  <c r="CO19" i="83"/>
  <c r="CO29" i="83" s="1"/>
  <c r="CO9" i="83"/>
  <c r="AK35" i="83"/>
  <c r="I35" i="83" s="1"/>
  <c r="AH34" i="95" s="1"/>
  <c r="BM35" i="83"/>
  <c r="BI38" i="83"/>
  <c r="AK38" i="83"/>
  <c r="I38" i="83" s="1"/>
  <c r="AH37" i="95" s="1"/>
  <c r="AG39" i="83"/>
  <c r="E39" i="83" s="1"/>
  <c r="AD38" i="95" s="1"/>
  <c r="AK39" i="83"/>
  <c r="I39" i="83" s="1"/>
  <c r="AH38" i="95" s="1"/>
  <c r="BM39" i="83"/>
  <c r="AF5" i="83"/>
  <c r="BD28" i="83"/>
  <c r="BD27" i="83" s="1"/>
  <c r="BD40" i="83" s="1"/>
  <c r="BD44" i="83" s="1"/>
  <c r="BD47" i="83" s="1"/>
  <c r="BD17" i="83"/>
  <c r="DO17" i="83"/>
  <c r="DO28" i="83"/>
  <c r="DO27" i="83" s="1"/>
  <c r="DO40" i="83" s="1"/>
  <c r="AO23" i="83"/>
  <c r="BJ23" i="83"/>
  <c r="BJ21" i="83" s="1"/>
  <c r="AH23" i="83"/>
  <c r="AH21" i="83" s="1"/>
  <c r="BX21" i="83"/>
  <c r="AL35" i="83"/>
  <c r="J35" i="83" s="1"/>
  <c r="AI34" i="95" s="1"/>
  <c r="BN35" i="83"/>
  <c r="AO7" i="83"/>
  <c r="AJ18" i="83"/>
  <c r="H10" i="83"/>
  <c r="AL13" i="83"/>
  <c r="CE28" i="83"/>
  <c r="CE27" i="83" s="1"/>
  <c r="CE40" i="83" s="1"/>
  <c r="CE44" i="83" s="1"/>
  <c r="CE47" i="83" s="1"/>
  <c r="CE17" i="83"/>
  <c r="AE38" i="83"/>
  <c r="DW38" i="83"/>
  <c r="AH5" i="83"/>
  <c r="AP7" i="83"/>
  <c r="AB7" i="83" s="1"/>
  <c r="I10" i="83"/>
  <c r="I20" i="83"/>
  <c r="I30" i="83" s="1"/>
  <c r="D13" i="83"/>
  <c r="BG28" i="83"/>
  <c r="AI20" i="83"/>
  <c r="AI30" i="83" s="1"/>
  <c r="CX28" i="83"/>
  <c r="CX27" i="83" s="1"/>
  <c r="CX40" i="83" s="1"/>
  <c r="CX44" i="83" s="1"/>
  <c r="CX47" i="83" s="1"/>
  <c r="AJ7" i="83"/>
  <c r="V7" i="83" s="1"/>
  <c r="BL7" i="83"/>
  <c r="BL5" i="83" s="1"/>
  <c r="BZ19" i="83"/>
  <c r="BZ29" i="83" s="1"/>
  <c r="BZ9" i="83"/>
  <c r="AJ11" i="83"/>
  <c r="AJ9" i="83" s="1"/>
  <c r="BM9" i="83"/>
  <c r="AL18" i="83"/>
  <c r="J10" i="83"/>
  <c r="DN17" i="83"/>
  <c r="BR38" i="83"/>
  <c r="CJ27" i="83"/>
  <c r="CJ40" i="83" s="1"/>
  <c r="CJ44" i="83" s="1"/>
  <c r="CJ47" i="83" s="1"/>
  <c r="AK20" i="83"/>
  <c r="AK30" i="83" s="1"/>
  <c r="N22" i="83"/>
  <c r="BI23" i="83"/>
  <c r="BI21" i="83" s="1"/>
  <c r="AE42" i="83"/>
  <c r="DE5" i="83"/>
  <c r="D5" i="83"/>
  <c r="AC4" i="95" s="1"/>
  <c r="BJ7" i="83"/>
  <c r="BJ5" i="83" s="1"/>
  <c r="AQ8" i="83"/>
  <c r="AT9" i="83"/>
  <c r="BU9" i="83"/>
  <c r="EK9" i="83"/>
  <c r="EK18" i="83"/>
  <c r="CG20" i="83"/>
  <c r="CG30" i="83" s="1"/>
  <c r="BH13" i="83"/>
  <c r="BS14" i="83"/>
  <c r="K15" i="83"/>
  <c r="AM13" i="83"/>
  <c r="E16" i="83"/>
  <c r="E20" i="83" s="1"/>
  <c r="E30" i="83" s="1"/>
  <c r="AG20" i="83"/>
  <c r="AG30" i="83" s="1"/>
  <c r="AY17" i="83"/>
  <c r="AO20" i="83"/>
  <c r="AO30" i="83" s="1"/>
  <c r="BS22" i="83"/>
  <c r="BP23" i="83"/>
  <c r="BP21" i="83" s="1"/>
  <c r="DS40" i="83"/>
  <c r="BS32" i="83"/>
  <c r="BS33" i="83"/>
  <c r="BS34" i="83"/>
  <c r="R5" i="83"/>
  <c r="BU5" i="83"/>
  <c r="J6" i="83"/>
  <c r="BK7" i="83"/>
  <c r="BK5" i="83" s="1"/>
  <c r="BG11" i="83"/>
  <c r="AQ12" i="83"/>
  <c r="BI13" i="83"/>
  <c r="EB17" i="83"/>
  <c r="DW28" i="83"/>
  <c r="DB17" i="83"/>
  <c r="DB29" i="83"/>
  <c r="DB27" i="83" s="1"/>
  <c r="DB40" i="83" s="1"/>
  <c r="DB44" i="83" s="1"/>
  <c r="DB47" i="83" s="1"/>
  <c r="BJ20" i="83"/>
  <c r="BJ30" i="83" s="1"/>
  <c r="DW42" i="83"/>
  <c r="BE42" i="83"/>
  <c r="AT43" i="83"/>
  <c r="AN45" i="83"/>
  <c r="L45" i="83" s="1"/>
  <c r="AK44" i="95" s="1"/>
  <c r="AF46" i="83"/>
  <c r="D46" i="83" s="1"/>
  <c r="BS6" i="83"/>
  <c r="BS10" i="83"/>
  <c r="BK13" i="83"/>
  <c r="AN13" i="83"/>
  <c r="BX28" i="83"/>
  <c r="DZ27" i="83"/>
  <c r="DZ40" i="83" s="1"/>
  <c r="DZ44" i="83" s="1"/>
  <c r="DZ47" i="83" s="1"/>
  <c r="BI5" i="83"/>
  <c r="AP13" i="83"/>
  <c r="N15" i="83"/>
  <c r="AX17" i="83"/>
  <c r="AX28" i="83"/>
  <c r="AX27" i="83" s="1"/>
  <c r="AX40" i="83" s="1"/>
  <c r="AX44" i="83" s="1"/>
  <c r="AX47" i="83" s="1"/>
  <c r="BZ28" i="83"/>
  <c r="DK27" i="83"/>
  <c r="DK40" i="83" s="1"/>
  <c r="DK44" i="83" s="1"/>
  <c r="DK47" i="83" s="1"/>
  <c r="EB27" i="83"/>
  <c r="EB40" i="83" s="1"/>
  <c r="EB44" i="83" s="1"/>
  <c r="EB47" i="83" s="1"/>
  <c r="BQ21" i="83"/>
  <c r="CA17" i="83"/>
  <c r="CA28" i="83"/>
  <c r="CA27" i="83" s="1"/>
  <c r="CA40" i="83" s="1"/>
  <c r="CA44" i="83" s="1"/>
  <c r="CA47" i="83" s="1"/>
  <c r="CS28" i="83"/>
  <c r="CS27" i="83" s="1"/>
  <c r="CS40" i="83" s="1"/>
  <c r="CS44" i="83" s="1"/>
  <c r="CS47" i="83" s="1"/>
  <c r="CS17" i="83"/>
  <c r="DL27" i="83"/>
  <c r="DL40" i="83" s="1"/>
  <c r="CZ27" i="83"/>
  <c r="CZ40" i="83" s="1"/>
  <c r="CZ44" i="83" s="1"/>
  <c r="CZ47" i="83" s="1"/>
  <c r="BL18" i="83"/>
  <c r="AJ13" i="83"/>
  <c r="H14" i="83"/>
  <c r="H13" i="83" s="1"/>
  <c r="L15" i="83"/>
  <c r="DL17" i="83"/>
  <c r="CB17" i="83"/>
  <c r="CB28" i="83"/>
  <c r="CB27" i="83" s="1"/>
  <c r="CB40" i="83" s="1"/>
  <c r="CB44" i="83" s="1"/>
  <c r="CB47" i="83" s="1"/>
  <c r="DT29" i="83"/>
  <c r="DT27" i="83" s="1"/>
  <c r="DT40" i="83" s="1"/>
  <c r="DT44" i="83" s="1"/>
  <c r="DT47" i="83" s="1"/>
  <c r="DT17" i="83"/>
  <c r="C20" i="83"/>
  <c r="C30" i="83" s="1"/>
  <c r="AK11" i="83"/>
  <c r="AK9" i="83" s="1"/>
  <c r="AO39" i="83"/>
  <c r="M39" i="83" s="1"/>
  <c r="AL38" i="95" s="1"/>
  <c r="AO45" i="83"/>
  <c r="M45" i="83" s="1"/>
  <c r="AL44" i="95" s="1"/>
  <c r="CY17" i="83"/>
  <c r="O33" i="83"/>
  <c r="U34" i="88" s="1"/>
  <c r="W34" i="88" s="1"/>
  <c r="X34" i="88" s="1"/>
  <c r="BR5" i="83"/>
  <c r="BR18" i="83"/>
  <c r="DQ17" i="83"/>
  <c r="EH28" i="83"/>
  <c r="EH27" i="83" s="1"/>
  <c r="EH40" i="83" s="1"/>
  <c r="EH44" i="83" s="1"/>
  <c r="EH47" i="83" s="1"/>
  <c r="EH17" i="83"/>
  <c r="DP17" i="83"/>
  <c r="C31" i="83"/>
  <c r="O32" i="83"/>
  <c r="U33" i="88" s="1"/>
  <c r="O34" i="83"/>
  <c r="U35" i="88" s="1"/>
  <c r="W35" i="88" s="1"/>
  <c r="X35" i="88" s="1"/>
  <c r="AE20" i="83"/>
  <c r="AE30" i="83" s="1"/>
  <c r="BI20" i="83"/>
  <c r="BI30" i="83" s="1"/>
  <c r="BS15" i="83"/>
  <c r="AU17" i="83"/>
  <c r="CI28" i="83"/>
  <c r="DA28" i="83"/>
  <c r="DA27" i="83" s="1"/>
  <c r="DA40" i="83" s="1"/>
  <c r="DA44" i="83" s="1"/>
  <c r="DA47" i="83" s="1"/>
  <c r="DA17" i="83"/>
  <c r="EI28" i="83"/>
  <c r="EI27" i="83" s="1"/>
  <c r="EI40" i="83" s="1"/>
  <c r="EI44" i="83" s="1"/>
  <c r="EI47" i="83" s="1"/>
  <c r="EI17" i="83"/>
  <c r="DI21" i="83"/>
  <c r="AS27" i="83"/>
  <c r="AS40" i="83" s="1"/>
  <c r="CF17" i="83"/>
  <c r="CF28" i="83"/>
  <c r="CF27" i="83" s="1"/>
  <c r="CF40" i="83" s="1"/>
  <c r="CF44" i="83" s="1"/>
  <c r="CF47" i="83" s="1"/>
  <c r="AF20" i="83"/>
  <c r="AF30" i="83" s="1"/>
  <c r="CG13" i="83"/>
  <c r="AV27" i="83"/>
  <c r="AV40" i="83" s="1"/>
  <c r="AV44" i="83" s="1"/>
  <c r="AV47" i="83" s="1"/>
  <c r="DS17" i="83"/>
  <c r="DP28" i="83"/>
  <c r="DP27" i="83" s="1"/>
  <c r="DP40" i="83" s="1"/>
  <c r="DP44" i="83" s="1"/>
  <c r="DP47" i="83" s="1"/>
  <c r="AW17" i="83"/>
  <c r="DQ28" i="83"/>
  <c r="DQ27" i="83" s="1"/>
  <c r="DQ40" i="83" s="1"/>
  <c r="DQ44" i="83" s="1"/>
  <c r="DQ47" i="83" s="1"/>
  <c r="BO11" i="83"/>
  <c r="BO19" i="83" s="1"/>
  <c r="DW45" i="83"/>
  <c r="BS36" i="83"/>
  <c r="AN23" i="83"/>
  <c r="AN21" i="83" s="1"/>
  <c r="AJ35" i="83"/>
  <c r="H35" i="83" s="1"/>
  <c r="AG34" i="95" s="1"/>
  <c r="AN35" i="83"/>
  <c r="L35" i="83" s="1"/>
  <c r="AK34" i="95" s="1"/>
  <c r="AJ36" i="83"/>
  <c r="H36" i="83" s="1"/>
  <c r="AJ38" i="83"/>
  <c r="H38" i="83" s="1"/>
  <c r="AG37" i="95" s="1"/>
  <c r="BP38" i="83"/>
  <c r="AN39" i="83"/>
  <c r="L39" i="83" s="1"/>
  <c r="AK38" i="95" s="1"/>
  <c r="BH39" i="83"/>
  <c r="DL43" i="83"/>
  <c r="AJ42" i="83"/>
  <c r="H42" i="83" s="1"/>
  <c r="AJ46" i="83"/>
  <c r="H46" i="83" s="1"/>
  <c r="DI31" i="83"/>
  <c r="AM30" i="83"/>
  <c r="DW21" i="83"/>
  <c r="BE31" i="83"/>
  <c r="DW31" i="83"/>
  <c r="BL43" i="83"/>
  <c r="AO37" i="83"/>
  <c r="M37" i="83" s="1"/>
  <c r="BM38" i="83"/>
  <c r="AG42" i="83"/>
  <c r="E42" i="83" s="1"/>
  <c r="AG46" i="83"/>
  <c r="E46" i="83" s="1"/>
  <c r="BR23" i="83"/>
  <c r="BR21" i="83" s="1"/>
  <c r="AH36" i="83"/>
  <c r="F36" i="83" s="1"/>
  <c r="AH38" i="83"/>
  <c r="F38" i="83" s="1"/>
  <c r="AE37" i="95" s="1"/>
  <c r="BN38" i="83"/>
  <c r="AL39" i="83"/>
  <c r="J39" i="83" s="1"/>
  <c r="AI38" i="95" s="1"/>
  <c r="DW35" i="83"/>
  <c r="DW37" i="83"/>
  <c r="DW41" i="83"/>
  <c r="AL42" i="83"/>
  <c r="J42" i="83" s="1"/>
  <c r="BQ35" i="83"/>
  <c r="BG43" i="83"/>
  <c r="CT17" i="83" l="1"/>
  <c r="CP17" i="83"/>
  <c r="AQ20" i="83"/>
  <c r="K7" i="83"/>
  <c r="AS44" i="83"/>
  <c r="AS47" i="83" s="1"/>
  <c r="AJ5" i="83"/>
  <c r="BS20" i="83"/>
  <c r="BS30" i="83" s="1"/>
  <c r="AQ30" i="83"/>
  <c r="DV44" i="83"/>
  <c r="DV47" i="83" s="1"/>
  <c r="O46" i="83"/>
  <c r="U47" i="88" s="1"/>
  <c r="W47" i="88" s="1"/>
  <c r="X47" i="88" s="1"/>
  <c r="F32" i="88"/>
  <c r="N32" i="88" s="1"/>
  <c r="R32" i="88" s="1"/>
  <c r="DS44" i="83"/>
  <c r="DS47" i="83" s="1"/>
  <c r="D34" i="88"/>
  <c r="L34" i="88" s="1"/>
  <c r="P34" i="88" s="1"/>
  <c r="BR9" i="83"/>
  <c r="BS13" i="83"/>
  <c r="E5" i="88"/>
  <c r="M5" i="88" s="1"/>
  <c r="Q5" i="88" s="1"/>
  <c r="O15" i="83"/>
  <c r="U15" i="88" s="1"/>
  <c r="W15" i="88" s="1"/>
  <c r="X15" i="88" s="1"/>
  <c r="AI5" i="83"/>
  <c r="X5" i="83"/>
  <c r="DG27" i="83"/>
  <c r="DG40" i="83" s="1"/>
  <c r="DG44" i="83" s="1"/>
  <c r="DG47" i="83" s="1"/>
  <c r="BZ17" i="83"/>
  <c r="DO44" i="83"/>
  <c r="DO47" i="83" s="1"/>
  <c r="AZ44" i="83"/>
  <c r="AZ47" i="83" s="1"/>
  <c r="AL5" i="83"/>
  <c r="BK9" i="83"/>
  <c r="M20" i="83"/>
  <c r="M30" i="83" s="1"/>
  <c r="BM21" i="83"/>
  <c r="CI27" i="83"/>
  <c r="CI40" i="83" s="1"/>
  <c r="CI44" i="83" s="1"/>
  <c r="CI47" i="83" s="1"/>
  <c r="CI17" i="83"/>
  <c r="DW17" i="83"/>
  <c r="G5" i="88"/>
  <c r="O5" i="88" s="1"/>
  <c r="S5" i="88" s="1"/>
  <c r="DW27" i="83"/>
  <c r="DW40" i="83" s="1"/>
  <c r="BX17" i="83"/>
  <c r="BX27" i="83"/>
  <c r="BX40" i="83" s="1"/>
  <c r="BX44" i="83" s="1"/>
  <c r="BX47" i="83" s="1"/>
  <c r="D10" i="88"/>
  <c r="E18" i="88"/>
  <c r="M10" i="88"/>
  <c r="Q10" i="88" s="1"/>
  <c r="U32" i="88"/>
  <c r="W32" i="88" s="1"/>
  <c r="X32" i="88" s="1"/>
  <c r="W33" i="88"/>
  <c r="X33" i="88" s="1"/>
  <c r="CG21" i="83"/>
  <c r="E23" i="88"/>
  <c r="D23" i="88" s="1"/>
  <c r="BZ27" i="83"/>
  <c r="BZ40" i="83" s="1"/>
  <c r="BZ44" i="83" s="1"/>
  <c r="BZ47" i="83" s="1"/>
  <c r="F43" i="83"/>
  <c r="D33" i="88"/>
  <c r="M33" i="88"/>
  <c r="Q33" i="88" s="1"/>
  <c r="E32" i="88"/>
  <c r="M32" i="88" s="1"/>
  <c r="Q32" i="88" s="1"/>
  <c r="BO29" i="83"/>
  <c r="L13" i="83"/>
  <c r="BE43" i="83"/>
  <c r="DI19" i="83"/>
  <c r="G11" i="88"/>
  <c r="D42" i="88"/>
  <c r="L42" i="88" s="1"/>
  <c r="P42" i="88" s="1"/>
  <c r="M42" i="88"/>
  <c r="Q42" i="88" s="1"/>
  <c r="E44" i="88"/>
  <c r="G20" i="88"/>
  <c r="O12" i="88"/>
  <c r="S12" i="88" s="1"/>
  <c r="D12" i="88"/>
  <c r="DL44" i="83"/>
  <c r="DL47" i="83" s="1"/>
  <c r="CG19" i="83"/>
  <c r="CG29" i="83" s="1"/>
  <c r="CG27" i="83" s="1"/>
  <c r="CG40" i="83" s="1"/>
  <c r="CG44" i="83" s="1"/>
  <c r="CG47" i="83" s="1"/>
  <c r="CG48" i="83" s="1"/>
  <c r="E11" i="88"/>
  <c r="DU44" i="83"/>
  <c r="DU47" i="83" s="1"/>
  <c r="N10" i="88"/>
  <c r="R10" i="88" s="1"/>
  <c r="F18" i="88"/>
  <c r="K13" i="83"/>
  <c r="BW27" i="83"/>
  <c r="BW40" i="83" s="1"/>
  <c r="BW44" i="83" s="1"/>
  <c r="BW47" i="83" s="1"/>
  <c r="N15" i="88"/>
  <c r="R15" i="88" s="1"/>
  <c r="D15" i="88"/>
  <c r="F13" i="88"/>
  <c r="N13" i="88" s="1"/>
  <c r="R13" i="88" s="1"/>
  <c r="N42" i="88"/>
  <c r="R42" i="88" s="1"/>
  <c r="F44" i="88"/>
  <c r="N44" i="88" s="1"/>
  <c r="R44" i="88" s="1"/>
  <c r="N36" i="88"/>
  <c r="R36" i="88" s="1"/>
  <c r="D36" i="88"/>
  <c r="L36" i="88" s="1"/>
  <c r="P36" i="88" s="1"/>
  <c r="CU5" i="83"/>
  <c r="F7" i="88"/>
  <c r="J5" i="83"/>
  <c r="AI4" i="95" s="1"/>
  <c r="BP29" i="83"/>
  <c r="CO17" i="83"/>
  <c r="N23" i="88"/>
  <c r="R23" i="88" s="1"/>
  <c r="F21" i="88"/>
  <c r="N21" i="88" s="1"/>
  <c r="R21" i="88" s="1"/>
  <c r="F9" i="88"/>
  <c r="N9" i="88" s="1"/>
  <c r="R9" i="88" s="1"/>
  <c r="N11" i="88"/>
  <c r="R11" i="88" s="1"/>
  <c r="F19" i="88"/>
  <c r="N40" i="88"/>
  <c r="R40" i="88" s="1"/>
  <c r="D40" i="88"/>
  <c r="L40" i="88" s="1"/>
  <c r="P40" i="88" s="1"/>
  <c r="CU21" i="83"/>
  <c r="BO9" i="83"/>
  <c r="N39" i="88"/>
  <c r="R39" i="88" s="1"/>
  <c r="D39" i="88"/>
  <c r="L39" i="88" s="1"/>
  <c r="P39" i="88" s="1"/>
  <c r="J41" i="88"/>
  <c r="J45" i="88" s="1"/>
  <c r="J48" i="88" s="1"/>
  <c r="J31" i="88"/>
  <c r="V21" i="88"/>
  <c r="V28" i="88"/>
  <c r="V27" i="88" s="1"/>
  <c r="O28" i="88"/>
  <c r="S28" i="88" s="1"/>
  <c r="I52" i="88"/>
  <c r="I49" i="88"/>
  <c r="K41" i="88"/>
  <c r="K45" i="88" s="1"/>
  <c r="K48" i="88" s="1"/>
  <c r="K31" i="88"/>
  <c r="H28" i="88"/>
  <c r="H27" i="88" s="1"/>
  <c r="H17" i="88"/>
  <c r="F21" i="86"/>
  <c r="I21" i="86"/>
  <c r="G28" i="86"/>
  <c r="G27" i="86" s="1"/>
  <c r="G40" i="86" s="1"/>
  <c r="G44" i="86" s="1"/>
  <c r="G47" i="86" s="1"/>
  <c r="J28" i="86"/>
  <c r="J27" i="86" s="1"/>
  <c r="J40" i="86" s="1"/>
  <c r="J44" i="86" s="1"/>
  <c r="J47" i="86" s="1"/>
  <c r="D21" i="86"/>
  <c r="H28" i="86"/>
  <c r="H27" i="86" s="1"/>
  <c r="H40" i="86" s="1"/>
  <c r="H44" i="86" s="1"/>
  <c r="H47" i="86" s="1"/>
  <c r="H21" i="86"/>
  <c r="M21" i="86"/>
  <c r="M28" i="86"/>
  <c r="M27" i="86" s="1"/>
  <c r="M40" i="86" s="1"/>
  <c r="M44" i="86" s="1"/>
  <c r="M47" i="86" s="1"/>
  <c r="BS23" i="83"/>
  <c r="BS21" i="83" s="1"/>
  <c r="CK17" i="83"/>
  <c r="CK29" i="83"/>
  <c r="CK27" i="83" s="1"/>
  <c r="CK40" i="83" s="1"/>
  <c r="CK44" i="83" s="1"/>
  <c r="CK47" i="83" s="1"/>
  <c r="AK5" i="83"/>
  <c r="W7" i="83"/>
  <c r="CO27" i="83"/>
  <c r="CO40" i="83" s="1"/>
  <c r="CO44" i="83" s="1"/>
  <c r="CO47" i="83" s="1"/>
  <c r="BS39" i="83"/>
  <c r="CU19" i="83"/>
  <c r="CU9" i="83"/>
  <c r="BL28" i="83"/>
  <c r="BV29" i="83"/>
  <c r="BV27" i="83" s="1"/>
  <c r="BV40" i="83" s="1"/>
  <c r="BV44" i="83" s="1"/>
  <c r="BV47" i="83" s="1"/>
  <c r="BV17" i="83"/>
  <c r="F18" i="83"/>
  <c r="AP19" i="83"/>
  <c r="AP9" i="83"/>
  <c r="AB11" i="83"/>
  <c r="J41" i="83"/>
  <c r="J43" i="83" s="1"/>
  <c r="AL43" i="83"/>
  <c r="C39" i="83"/>
  <c r="AQ39" i="83"/>
  <c r="BL19" i="83"/>
  <c r="BL29" i="83" s="1"/>
  <c r="BL9" i="83"/>
  <c r="BW17" i="83"/>
  <c r="K10" i="83"/>
  <c r="AM9" i="83"/>
  <c r="AM18" i="83"/>
  <c r="DE29" i="83"/>
  <c r="DE27" i="83" s="1"/>
  <c r="DE40" i="83" s="1"/>
  <c r="DE44" i="83" s="1"/>
  <c r="DE47" i="83" s="1"/>
  <c r="DE17" i="83"/>
  <c r="BA17" i="83"/>
  <c r="BA28" i="83"/>
  <c r="BA27" i="83" s="1"/>
  <c r="BA40" i="83" s="1"/>
  <c r="BA44" i="83" s="1"/>
  <c r="BA47" i="83" s="1"/>
  <c r="BG19" i="83"/>
  <c r="BS11" i="83"/>
  <c r="BS19" i="83" s="1"/>
  <c r="BG9" i="83"/>
  <c r="AO5" i="83"/>
  <c r="AA7" i="83"/>
  <c r="AL19" i="83"/>
  <c r="AL29" i="83" s="1"/>
  <c r="X11" i="83"/>
  <c r="AB5" i="83"/>
  <c r="N7" i="83"/>
  <c r="S11" i="83"/>
  <c r="AG19" i="83"/>
  <c r="AG29" i="83" s="1"/>
  <c r="O6" i="83"/>
  <c r="U6" i="88" s="1"/>
  <c r="W6" i="88" s="1"/>
  <c r="X6" i="88" s="1"/>
  <c r="N41" i="83"/>
  <c r="N43" i="83" s="1"/>
  <c r="AP43" i="83"/>
  <c r="AI19" i="83"/>
  <c r="AI29" i="83" s="1"/>
  <c r="U11" i="83"/>
  <c r="AE28" i="83"/>
  <c r="AG28" i="83"/>
  <c r="Q7" i="83"/>
  <c r="AQ7" i="83"/>
  <c r="AQ5" i="83" s="1"/>
  <c r="AE5" i="83"/>
  <c r="W11" i="83"/>
  <c r="AK19" i="83"/>
  <c r="AH28" i="83"/>
  <c r="CM29" i="83"/>
  <c r="CM27" i="83" s="1"/>
  <c r="CM40" i="83" s="1"/>
  <c r="CM44" i="83" s="1"/>
  <c r="CM47" i="83" s="1"/>
  <c r="CM17" i="83"/>
  <c r="AH43" i="83"/>
  <c r="AG9" i="83"/>
  <c r="AF29" i="83"/>
  <c r="BS35" i="83"/>
  <c r="C42" i="83"/>
  <c r="O42" i="83" s="1"/>
  <c r="U43" i="88" s="1"/>
  <c r="W43" i="88" s="1"/>
  <c r="X43" i="88" s="1"/>
  <c r="AQ42" i="83"/>
  <c r="T11" i="83"/>
  <c r="AH19" i="83"/>
  <c r="AH29" i="83" s="1"/>
  <c r="AO43" i="83"/>
  <c r="M41" i="83"/>
  <c r="M43" i="83" s="1"/>
  <c r="AQ36" i="83"/>
  <c r="C36" i="83"/>
  <c r="O36" i="83" s="1"/>
  <c r="U37" i="88" s="1"/>
  <c r="W37" i="88" s="1"/>
  <c r="X37" i="88" s="1"/>
  <c r="Q11" i="83"/>
  <c r="AQ11" i="83"/>
  <c r="AQ19" i="83" s="1"/>
  <c r="AE9" i="83"/>
  <c r="AE19" i="83"/>
  <c r="AE29" i="83" s="1"/>
  <c r="R9" i="83"/>
  <c r="R19" i="83"/>
  <c r="D11" i="83"/>
  <c r="R23" i="83"/>
  <c r="D23" i="83" s="1"/>
  <c r="AC22" i="95" s="1"/>
  <c r="AE21" i="83"/>
  <c r="AQ23" i="83"/>
  <c r="AO19" i="83"/>
  <c r="AO29" i="83" s="1"/>
  <c r="AA11" i="83"/>
  <c r="BE9" i="83"/>
  <c r="BE18" i="83"/>
  <c r="BH29" i="83"/>
  <c r="BH27" i="83" s="1"/>
  <c r="BH40" i="83" s="1"/>
  <c r="BH44" i="83" s="1"/>
  <c r="BH47" i="83" s="1"/>
  <c r="BH17" i="83"/>
  <c r="D22" i="83"/>
  <c r="AF21" i="83"/>
  <c r="AQ22" i="83"/>
  <c r="O14" i="83"/>
  <c r="U14" i="88" s="1"/>
  <c r="C13" i="83"/>
  <c r="C18" i="83"/>
  <c r="AQ38" i="83"/>
  <c r="C38" i="83"/>
  <c r="CR29" i="83"/>
  <c r="CR27" i="83" s="1"/>
  <c r="CR40" i="83" s="1"/>
  <c r="CR44" i="83" s="1"/>
  <c r="CR47" i="83" s="1"/>
  <c r="CR17" i="83"/>
  <c r="C45" i="83"/>
  <c r="AQ45" i="83"/>
  <c r="DH29" i="83"/>
  <c r="DH27" i="83" s="1"/>
  <c r="DH40" i="83" s="1"/>
  <c r="DH44" i="83" s="1"/>
  <c r="DH47" i="83" s="1"/>
  <c r="DH17" i="83"/>
  <c r="AQ13" i="83"/>
  <c r="C41" i="83"/>
  <c r="AE43" i="83"/>
  <c r="AQ41" i="83"/>
  <c r="J18" i="83"/>
  <c r="AL28" i="83"/>
  <c r="AQ37" i="83"/>
  <c r="C37" i="83"/>
  <c r="O37" i="83" s="1"/>
  <c r="U38" i="88" s="1"/>
  <c r="W38" i="88" s="1"/>
  <c r="X38" i="88" s="1"/>
  <c r="BS38" i="83"/>
  <c r="AP5" i="83"/>
  <c r="L41" i="83"/>
  <c r="L43" i="83" s="1"/>
  <c r="AN43" i="83"/>
  <c r="O16" i="83"/>
  <c r="U16" i="88" s="1"/>
  <c r="W16" i="88" s="1"/>
  <c r="X16" i="88" s="1"/>
  <c r="EK17" i="83"/>
  <c r="EK28" i="83"/>
  <c r="EK27" i="83" s="1"/>
  <c r="EK40" i="83" s="1"/>
  <c r="EK44" i="83" s="1"/>
  <c r="EK47" i="83" s="1"/>
  <c r="G18" i="83"/>
  <c r="BP28" i="83"/>
  <c r="BP17" i="83"/>
  <c r="AQ10" i="83"/>
  <c r="D10" i="83"/>
  <c r="AF9" i="83"/>
  <c r="AF18" i="83"/>
  <c r="G7" i="83"/>
  <c r="U5" i="83"/>
  <c r="AQ35" i="83"/>
  <c r="AQ46" i="83"/>
  <c r="BM27" i="83"/>
  <c r="BM40" i="83" s="1"/>
  <c r="BM44" i="83" s="1"/>
  <c r="BM47" i="83" s="1"/>
  <c r="O31" i="83"/>
  <c r="AN9" i="83"/>
  <c r="AN19" i="83"/>
  <c r="Z11" i="83"/>
  <c r="O35" i="83"/>
  <c r="U36" i="88" s="1"/>
  <c r="W36" i="88" s="1"/>
  <c r="X36" i="88" s="1"/>
  <c r="BG21" i="83"/>
  <c r="H7" i="83"/>
  <c r="V5" i="83"/>
  <c r="AI28" i="83"/>
  <c r="AM43" i="83"/>
  <c r="K41" i="83"/>
  <c r="K43" i="83" s="1"/>
  <c r="BS7" i="83"/>
  <c r="BS5" i="83" s="1"/>
  <c r="BG5" i="83"/>
  <c r="AG43" i="83"/>
  <c r="E41" i="83"/>
  <c r="E43" i="83" s="1"/>
  <c r="E13" i="83"/>
  <c r="BI29" i="83"/>
  <c r="BI27" i="83" s="1"/>
  <c r="BI40" i="83" s="1"/>
  <c r="BI44" i="83" s="1"/>
  <c r="BI47" i="83" s="1"/>
  <c r="BI17" i="83"/>
  <c r="BK28" i="83"/>
  <c r="BK17" i="83"/>
  <c r="G41" i="83"/>
  <c r="G43" i="83" s="1"/>
  <c r="AI43" i="83"/>
  <c r="AM21" i="83"/>
  <c r="K22" i="83"/>
  <c r="BQ19" i="83"/>
  <c r="BQ9" i="83"/>
  <c r="I18" i="83"/>
  <c r="BJ29" i="83"/>
  <c r="BJ27" i="83" s="1"/>
  <c r="BJ40" i="83" s="1"/>
  <c r="BJ44" i="83" s="1"/>
  <c r="BJ47" i="83" s="1"/>
  <c r="BJ17" i="83"/>
  <c r="AM19" i="83"/>
  <c r="AM29" i="83" s="1"/>
  <c r="Y11" i="83"/>
  <c r="DW43" i="83"/>
  <c r="BS31" i="83"/>
  <c r="N13" i="83"/>
  <c r="AJ19" i="83"/>
  <c r="AJ29" i="83" s="1"/>
  <c r="V11" i="83"/>
  <c r="BR29" i="83"/>
  <c r="BU29" i="83"/>
  <c r="BU27" i="83" s="1"/>
  <c r="BU40" i="83" s="1"/>
  <c r="BU44" i="83" s="1"/>
  <c r="BU47" i="83" s="1"/>
  <c r="BU17" i="83"/>
  <c r="AT17" i="83"/>
  <c r="AT28" i="83"/>
  <c r="AT27" i="83" s="1"/>
  <c r="AT40" i="83" s="1"/>
  <c r="AT44" i="83" s="1"/>
  <c r="AT47" i="83" s="1"/>
  <c r="O12" i="83"/>
  <c r="U12" i="88" s="1"/>
  <c r="H18" i="83"/>
  <c r="AI9" i="83"/>
  <c r="H41" i="83"/>
  <c r="H43" i="83" s="1"/>
  <c r="AJ43" i="83"/>
  <c r="AO21" i="83"/>
  <c r="M22" i="83"/>
  <c r="BK29" i="83"/>
  <c r="M10" i="83"/>
  <c r="AO9" i="83"/>
  <c r="AO18" i="83"/>
  <c r="BC28" i="83"/>
  <c r="BC27" i="83" s="1"/>
  <c r="BC40" i="83" s="1"/>
  <c r="BC44" i="83" s="1"/>
  <c r="BC47" i="83" s="1"/>
  <c r="BC17" i="83"/>
  <c r="BS18" i="83"/>
  <c r="BO17" i="83"/>
  <c r="BO28" i="83"/>
  <c r="BP9" i="83"/>
  <c r="AN5" i="83"/>
  <c r="Z7" i="83"/>
  <c r="BN28" i="83"/>
  <c r="BN17" i="83"/>
  <c r="BN21" i="83"/>
  <c r="BN29" i="83"/>
  <c r="BR28" i="83"/>
  <c r="BR17" i="83"/>
  <c r="AJ28" i="83"/>
  <c r="DC29" i="83"/>
  <c r="DC27" i="83" s="1"/>
  <c r="DC40" i="83" s="1"/>
  <c r="DC44" i="83" s="1"/>
  <c r="DC47" i="83" s="1"/>
  <c r="DC17" i="83"/>
  <c r="E7" i="83"/>
  <c r="S5" i="83"/>
  <c r="DG17" i="83"/>
  <c r="O45" i="83" l="1"/>
  <c r="U46" i="88" s="1"/>
  <c r="W46" i="88" s="1"/>
  <c r="X46" i="88" s="1"/>
  <c r="AB44" i="95"/>
  <c r="BO27" i="83"/>
  <c r="BO40" i="83" s="1"/>
  <c r="BO44" i="83" s="1"/>
  <c r="BO47" i="83" s="1"/>
  <c r="H5" i="83"/>
  <c r="AG4" i="95" s="1"/>
  <c r="AG6" i="95"/>
  <c r="O38" i="83"/>
  <c r="U39" i="88" s="1"/>
  <c r="W39" i="88" s="1"/>
  <c r="X39" i="88" s="1"/>
  <c r="AB37" i="95"/>
  <c r="E5" i="83"/>
  <c r="AD4" i="95" s="1"/>
  <c r="AD6" i="95"/>
  <c r="O39" i="83"/>
  <c r="U40" i="88" s="1"/>
  <c r="W40" i="88" s="1"/>
  <c r="X40" i="88" s="1"/>
  <c r="AB38" i="95"/>
  <c r="G5" i="83"/>
  <c r="AF4" i="95" s="1"/>
  <c r="AF6" i="95"/>
  <c r="K5" i="83"/>
  <c r="AJ4" i="95" s="1"/>
  <c r="AJ6" i="95"/>
  <c r="D19" i="83"/>
  <c r="AC18" i="95" s="1"/>
  <c r="AC10" i="95"/>
  <c r="N5" i="83"/>
  <c r="AM4" i="95" s="1"/>
  <c r="AM6" i="95"/>
  <c r="BS29" i="83"/>
  <c r="BL27" i="83"/>
  <c r="BL40" i="83" s="1"/>
  <c r="BL44" i="83" s="1"/>
  <c r="BL47" i="83" s="1"/>
  <c r="BK27" i="83"/>
  <c r="BK40" i="83" s="1"/>
  <c r="BK44" i="83" s="1"/>
  <c r="BK47" i="83" s="1"/>
  <c r="AI17" i="83"/>
  <c r="AI27" i="83"/>
  <c r="AI40" i="83" s="1"/>
  <c r="AI44" i="83" s="1"/>
  <c r="AI47" i="83" s="1"/>
  <c r="BS9" i="83"/>
  <c r="AJ27" i="83"/>
  <c r="AJ40" i="83" s="1"/>
  <c r="AJ44" i="83" s="1"/>
  <c r="AJ47" i="83" s="1"/>
  <c r="BP27" i="83"/>
  <c r="BP40" i="83" s="1"/>
  <c r="BP44" i="83" s="1"/>
  <c r="BP47" i="83" s="1"/>
  <c r="AJ17" i="83"/>
  <c r="M11" i="88"/>
  <c r="Q11" i="88" s="1"/>
  <c r="E19" i="88"/>
  <c r="E17" i="88" s="1"/>
  <c r="M17" i="88" s="1"/>
  <c r="Q17" i="88" s="1"/>
  <c r="D32" i="88"/>
  <c r="L32" i="88" s="1"/>
  <c r="P32" i="88" s="1"/>
  <c r="L33" i="88"/>
  <c r="P33" i="88" s="1"/>
  <c r="D20" i="88"/>
  <c r="L12" i="88"/>
  <c r="P12" i="88" s="1"/>
  <c r="O20" i="88"/>
  <c r="S20" i="88" s="1"/>
  <c r="G30" i="88"/>
  <c r="O30" i="88" s="1"/>
  <c r="S30" i="88" s="1"/>
  <c r="DW44" i="83"/>
  <c r="DW47" i="83" s="1"/>
  <c r="DW48" i="83" s="1"/>
  <c r="D44" i="88"/>
  <c r="L44" i="88" s="1"/>
  <c r="P44" i="88" s="1"/>
  <c r="M44" i="88"/>
  <c r="Q44" i="88" s="1"/>
  <c r="M23" i="88"/>
  <c r="Q23" i="88" s="1"/>
  <c r="E21" i="88"/>
  <c r="M21" i="88" s="1"/>
  <c r="Q21" i="88" s="1"/>
  <c r="D11" i="88"/>
  <c r="D9" i="88" s="1"/>
  <c r="L9" i="88" s="1"/>
  <c r="P9" i="88" s="1"/>
  <c r="L15" i="88"/>
  <c r="P15" i="88" s="1"/>
  <c r="D13" i="88"/>
  <c r="L13" i="88" s="1"/>
  <c r="P13" i="88" s="1"/>
  <c r="O11" i="88"/>
  <c r="S11" i="88" s="1"/>
  <c r="G19" i="88"/>
  <c r="G9" i="88"/>
  <c r="O9" i="88" s="1"/>
  <c r="S9" i="88" s="1"/>
  <c r="W14" i="88"/>
  <c r="X14" i="88" s="1"/>
  <c r="U13" i="88"/>
  <c r="W13" i="88" s="1"/>
  <c r="X13" i="88" s="1"/>
  <c r="DI29" i="83"/>
  <c r="DI27" i="83" s="1"/>
  <c r="DI40" i="83" s="1"/>
  <c r="DI44" i="83" s="1"/>
  <c r="DI47" i="83" s="1"/>
  <c r="DI48" i="83" s="1"/>
  <c r="DI17" i="83"/>
  <c r="E28" i="88"/>
  <c r="M18" i="88"/>
  <c r="Q18" i="88" s="1"/>
  <c r="CG17" i="83"/>
  <c r="D18" i="88"/>
  <c r="L10" i="88"/>
  <c r="P10" i="88" s="1"/>
  <c r="W12" i="88"/>
  <c r="X12" i="88" s="1"/>
  <c r="U20" i="88"/>
  <c r="BL17" i="83"/>
  <c r="F28" i="88"/>
  <c r="N28" i="88" s="1"/>
  <c r="R28" i="88" s="1"/>
  <c r="N18" i="88"/>
  <c r="R18" i="88" s="1"/>
  <c r="E9" i="88"/>
  <c r="M9" i="88" s="1"/>
  <c r="Q9" i="88" s="1"/>
  <c r="F17" i="88"/>
  <c r="N17" i="88" s="1"/>
  <c r="R17" i="88" s="1"/>
  <c r="F29" i="88"/>
  <c r="N19" i="88"/>
  <c r="R19" i="88" s="1"/>
  <c r="D21" i="88"/>
  <c r="L21" i="88" s="1"/>
  <c r="P21" i="88" s="1"/>
  <c r="L23" i="88"/>
  <c r="P23" i="88" s="1"/>
  <c r="AG27" i="83"/>
  <c r="AG40" i="83" s="1"/>
  <c r="AG44" i="83" s="1"/>
  <c r="AG47" i="83" s="1"/>
  <c r="AG17" i="83"/>
  <c r="BR27" i="83"/>
  <c r="BR40" i="83" s="1"/>
  <c r="BR44" i="83" s="1"/>
  <c r="BR47" i="83" s="1"/>
  <c r="AE27" i="83"/>
  <c r="AE40" i="83" s="1"/>
  <c r="AE44" i="83" s="1"/>
  <c r="AE47" i="83" s="1"/>
  <c r="AE17" i="83"/>
  <c r="N7" i="88"/>
  <c r="R7" i="88" s="1"/>
  <c r="D7" i="88"/>
  <c r="F5" i="88"/>
  <c r="N5" i="88" s="1"/>
  <c r="R5" i="88" s="1"/>
  <c r="K52" i="88"/>
  <c r="K49" i="88"/>
  <c r="J52" i="88"/>
  <c r="J49" i="88"/>
  <c r="H41" i="88"/>
  <c r="H45" i="88" s="1"/>
  <c r="H48" i="88" s="1"/>
  <c r="H31" i="88"/>
  <c r="V41" i="88"/>
  <c r="V45" i="88" s="1"/>
  <c r="V48" i="88" s="1"/>
  <c r="V31" i="88"/>
  <c r="Y23" i="83"/>
  <c r="K23" i="83" s="1"/>
  <c r="AJ22" i="95" s="1"/>
  <c r="Y19" i="83"/>
  <c r="Y9" i="83"/>
  <c r="K11" i="83"/>
  <c r="O20" i="83"/>
  <c r="O30" i="83" s="1"/>
  <c r="AK29" i="83"/>
  <c r="X26" i="83" s="1"/>
  <c r="AK17" i="83"/>
  <c r="K18" i="83"/>
  <c r="AA23" i="83"/>
  <c r="M23" i="83" s="1"/>
  <c r="AL22" i="95" s="1"/>
  <c r="M11" i="83"/>
  <c r="AA9" i="83"/>
  <c r="AA19" i="83"/>
  <c r="BS28" i="83"/>
  <c r="BS27" i="83" s="1"/>
  <c r="BS40" i="83" s="1"/>
  <c r="BS44" i="83" s="1"/>
  <c r="BS47" i="83" s="1"/>
  <c r="BS17" i="83"/>
  <c r="AL27" i="83"/>
  <c r="AL40" i="83" s="1"/>
  <c r="AL44" i="83" s="1"/>
  <c r="AL47" i="83" s="1"/>
  <c r="AL17" i="83"/>
  <c r="BG29" i="83"/>
  <c r="BG27" i="83" s="1"/>
  <c r="BG40" i="83" s="1"/>
  <c r="BG44" i="83" s="1"/>
  <c r="BG47" i="83" s="1"/>
  <c r="BG17" i="83"/>
  <c r="O13" i="83"/>
  <c r="AQ21" i="83"/>
  <c r="W5" i="83"/>
  <c r="I7" i="83"/>
  <c r="AQ43" i="83"/>
  <c r="AQ29" i="83"/>
  <c r="Z5" i="83"/>
  <c r="L7" i="83"/>
  <c r="E11" i="83"/>
  <c r="AD10" i="95" s="1"/>
  <c r="S19" i="83"/>
  <c r="S9" i="83"/>
  <c r="S23" i="83"/>
  <c r="E23" i="83" s="1"/>
  <c r="AD22" i="95" s="1"/>
  <c r="T9" i="83"/>
  <c r="T19" i="83"/>
  <c r="F11" i="83"/>
  <c r="AE10" i="95" s="1"/>
  <c r="T23" i="83"/>
  <c r="F23" i="83" s="1"/>
  <c r="AE22" i="95" s="1"/>
  <c r="X19" i="83"/>
  <c r="X23" i="83"/>
  <c r="J23" i="83" s="1"/>
  <c r="AI22" i="95" s="1"/>
  <c r="X9" i="83"/>
  <c r="J11" i="83"/>
  <c r="AI10" i="95" s="1"/>
  <c r="Q5" i="83"/>
  <c r="AC7" i="83"/>
  <c r="AC5" i="83" s="1"/>
  <c r="C7" i="83"/>
  <c r="AB6" i="95" s="1"/>
  <c r="AF28" i="83"/>
  <c r="AF27" i="83" s="1"/>
  <c r="AF40" i="83" s="1"/>
  <c r="AF44" i="83" s="1"/>
  <c r="AF47" i="83" s="1"/>
  <c r="AF17" i="83"/>
  <c r="CU29" i="83"/>
  <c r="CU27" i="83" s="1"/>
  <c r="CU40" i="83" s="1"/>
  <c r="CU44" i="83" s="1"/>
  <c r="CU47" i="83" s="1"/>
  <c r="CU48" i="83" s="1"/>
  <c r="CU17" i="83"/>
  <c r="D18" i="83"/>
  <c r="D9" i="83"/>
  <c r="AC8" i="95" s="1"/>
  <c r="O10" i="83"/>
  <c r="U10" i="88" s="1"/>
  <c r="W10" i="88" s="1"/>
  <c r="X10" i="88" s="1"/>
  <c r="R17" i="83"/>
  <c r="R29" i="83"/>
  <c r="U19" i="83"/>
  <c r="G11" i="83"/>
  <c r="AF10" i="95" s="1"/>
  <c r="U23" i="83"/>
  <c r="G23" i="83" s="1"/>
  <c r="AF22" i="95" s="1"/>
  <c r="U9" i="83"/>
  <c r="R26" i="83"/>
  <c r="Q26" i="83"/>
  <c r="S26" i="83"/>
  <c r="T26" i="83"/>
  <c r="M18" i="83"/>
  <c r="Z23" i="83"/>
  <c r="L23" i="83" s="1"/>
  <c r="AK22" i="95" s="1"/>
  <c r="Z19" i="83"/>
  <c r="Z9" i="83"/>
  <c r="L11" i="83"/>
  <c r="AK10" i="95" s="1"/>
  <c r="C11" i="83"/>
  <c r="AB10" i="95" s="1"/>
  <c r="Q9" i="83"/>
  <c r="AC11" i="83"/>
  <c r="Q19" i="83"/>
  <c r="Q23" i="83"/>
  <c r="BE28" i="83"/>
  <c r="BE27" i="83" s="1"/>
  <c r="BE40" i="83" s="1"/>
  <c r="BE44" i="83" s="1"/>
  <c r="BE47" i="83" s="1"/>
  <c r="BE17" i="83"/>
  <c r="W23" i="83"/>
  <c r="I23" i="83" s="1"/>
  <c r="AH22" i="95" s="1"/>
  <c r="W19" i="83"/>
  <c r="I11" i="83"/>
  <c r="AH10" i="95" s="1"/>
  <c r="W9" i="83"/>
  <c r="M7" i="83"/>
  <c r="AA5" i="83"/>
  <c r="BQ29" i="83"/>
  <c r="BQ27" i="83" s="1"/>
  <c r="BQ40" i="83" s="1"/>
  <c r="BQ44" i="83" s="1"/>
  <c r="BQ47" i="83" s="1"/>
  <c r="BQ17" i="83"/>
  <c r="D29" i="83"/>
  <c r="AC28" i="95" s="1"/>
  <c r="U26" i="83"/>
  <c r="AO28" i="83"/>
  <c r="AO27" i="83" s="1"/>
  <c r="AO40" i="83" s="1"/>
  <c r="AO44" i="83" s="1"/>
  <c r="AO47" i="83" s="1"/>
  <c r="AO17" i="83"/>
  <c r="AQ18" i="83"/>
  <c r="AQ9" i="83"/>
  <c r="V19" i="83"/>
  <c r="V9" i="83"/>
  <c r="V23" i="83"/>
  <c r="H23" i="83" s="1"/>
  <c r="AG22" i="95" s="1"/>
  <c r="H11" i="83"/>
  <c r="AG10" i="95" s="1"/>
  <c r="O22" i="83"/>
  <c r="U22" i="88" s="1"/>
  <c r="W22" i="88" s="1"/>
  <c r="X22" i="88" s="1"/>
  <c r="AB19" i="83"/>
  <c r="AB23" i="83"/>
  <c r="N23" i="83" s="1"/>
  <c r="AM22" i="95" s="1"/>
  <c r="N11" i="83"/>
  <c r="AM10" i="95" s="1"/>
  <c r="AB9" i="83"/>
  <c r="AN29" i="83"/>
  <c r="AN27" i="83" s="1"/>
  <c r="AN40" i="83" s="1"/>
  <c r="AN44" i="83" s="1"/>
  <c r="AN47" i="83" s="1"/>
  <c r="AN17" i="83"/>
  <c r="O41" i="83"/>
  <c r="C43" i="83"/>
  <c r="AH17" i="83"/>
  <c r="BN27" i="83"/>
  <c r="BN40" i="83" s="1"/>
  <c r="BN44" i="83" s="1"/>
  <c r="BN47" i="83" s="1"/>
  <c r="AH27" i="83"/>
  <c r="AH40" i="83" s="1"/>
  <c r="AH44" i="83" s="1"/>
  <c r="AH47" i="83" s="1"/>
  <c r="V26" i="83"/>
  <c r="AM17" i="83"/>
  <c r="AM28" i="83"/>
  <c r="AM27" i="83" s="1"/>
  <c r="AM40" i="83" s="1"/>
  <c r="AM44" i="83" s="1"/>
  <c r="AM47" i="83" s="1"/>
  <c r="AP29" i="83"/>
  <c r="AP27" i="83" s="1"/>
  <c r="AP40" i="83" s="1"/>
  <c r="AP44" i="83" s="1"/>
  <c r="AP47" i="83" s="1"/>
  <c r="AP17" i="83"/>
  <c r="D19" i="88" l="1"/>
  <c r="L5" i="83"/>
  <c r="AK4" i="95" s="1"/>
  <c r="AK6" i="95"/>
  <c r="M19" i="83"/>
  <c r="AL18" i="95" s="1"/>
  <c r="AL10" i="95"/>
  <c r="K19" i="83"/>
  <c r="AJ18" i="95" s="1"/>
  <c r="AJ10" i="95"/>
  <c r="M5" i="83"/>
  <c r="AL4" i="95" s="1"/>
  <c r="AL6" i="95"/>
  <c r="I5" i="83"/>
  <c r="AH4" i="95" s="1"/>
  <c r="AH6" i="95"/>
  <c r="Q24" i="97"/>
  <c r="D24" i="97" s="1"/>
  <c r="Q128" i="97"/>
  <c r="AA26" i="83"/>
  <c r="K9" i="83"/>
  <c r="AJ8" i="95" s="1"/>
  <c r="K29" i="83"/>
  <c r="AJ28" i="95" s="1"/>
  <c r="Y26" i="83"/>
  <c r="L11" i="88"/>
  <c r="P11" i="88" s="1"/>
  <c r="M28" i="88"/>
  <c r="Q28" i="88" s="1"/>
  <c r="U30" i="88"/>
  <c r="W30" i="88" s="1"/>
  <c r="X30" i="88" s="1"/>
  <c r="W20" i="88"/>
  <c r="X20" i="88" s="1"/>
  <c r="D30" i="88"/>
  <c r="L30" i="88" s="1"/>
  <c r="P30" i="88" s="1"/>
  <c r="L20" i="88"/>
  <c r="P20" i="88" s="1"/>
  <c r="D28" i="88"/>
  <c r="L28" i="88" s="1"/>
  <c r="P28" i="88" s="1"/>
  <c r="L18" i="88"/>
  <c r="P18" i="88" s="1"/>
  <c r="U18" i="88"/>
  <c r="W18" i="88" s="1"/>
  <c r="X18" i="88" s="1"/>
  <c r="O43" i="83"/>
  <c r="U42" i="88"/>
  <c r="W26" i="83"/>
  <c r="O19" i="88"/>
  <c r="S19" i="88" s="1"/>
  <c r="G17" i="88"/>
  <c r="O17" i="88" s="1"/>
  <c r="S17" i="88" s="1"/>
  <c r="G29" i="88"/>
  <c r="E29" i="88"/>
  <c r="M29" i="88" s="1"/>
  <c r="Q29" i="88" s="1"/>
  <c r="M19" i="88"/>
  <c r="Q19" i="88" s="1"/>
  <c r="D17" i="88"/>
  <c r="L17" i="88" s="1"/>
  <c r="P17" i="88" s="1"/>
  <c r="D29" i="88"/>
  <c r="L19" i="88"/>
  <c r="P19" i="88" s="1"/>
  <c r="L7" i="88"/>
  <c r="P7" i="88" s="1"/>
  <c r="D5" i="88"/>
  <c r="L5" i="88" s="1"/>
  <c r="P5" i="88" s="1"/>
  <c r="N29" i="88"/>
  <c r="R29" i="88" s="1"/>
  <c r="F27" i="88"/>
  <c r="V49" i="88"/>
  <c r="V52" i="88"/>
  <c r="H52" i="88"/>
  <c r="H49" i="88"/>
  <c r="Y25" i="83"/>
  <c r="J26" i="83"/>
  <c r="AI25" i="95" s="1"/>
  <c r="Q29" i="83"/>
  <c r="Q17" i="83"/>
  <c r="AC9" i="83"/>
  <c r="AC19" i="83"/>
  <c r="U29" i="83"/>
  <c r="U17" i="83"/>
  <c r="T29" i="83"/>
  <c r="T17" i="83"/>
  <c r="K17" i="83"/>
  <c r="AJ16" i="95" s="1"/>
  <c r="O4" i="99" s="1"/>
  <c r="AB26" i="83"/>
  <c r="M17" i="83"/>
  <c r="AL16" i="95" s="1"/>
  <c r="Q4" i="99" s="1"/>
  <c r="U25" i="83"/>
  <c r="U24" i="97" s="1"/>
  <c r="F26" i="83"/>
  <c r="AE25" i="95" s="1"/>
  <c r="W29" i="83"/>
  <c r="W17" i="83"/>
  <c r="C26" i="83"/>
  <c r="AB25" i="95" s="1"/>
  <c r="R25" i="83"/>
  <c r="R24" i="97" s="1"/>
  <c r="Q21" i="83"/>
  <c r="Q28" i="83"/>
  <c r="J19" i="83"/>
  <c r="AI18" i="95" s="1"/>
  <c r="J9" i="83"/>
  <c r="AI8" i="95" s="1"/>
  <c r="G26" i="83"/>
  <c r="AF25" i="95" s="1"/>
  <c r="V25" i="83"/>
  <c r="V24" i="97" s="1"/>
  <c r="G19" i="83"/>
  <c r="AF18" i="95" s="1"/>
  <c r="G9" i="83"/>
  <c r="AF8" i="95" s="1"/>
  <c r="AA29" i="83"/>
  <c r="AA17" i="83"/>
  <c r="C19" i="83"/>
  <c r="AB18" i="95" s="1"/>
  <c r="O11" i="83"/>
  <c r="C9" i="83"/>
  <c r="AB8" i="95" s="1"/>
  <c r="O18" i="83"/>
  <c r="F19" i="83"/>
  <c r="AE18" i="95" s="1"/>
  <c r="F9" i="83"/>
  <c r="AE8" i="95" s="1"/>
  <c r="W25" i="83"/>
  <c r="H26" i="83"/>
  <c r="AG25" i="95" s="1"/>
  <c r="Z26" i="83"/>
  <c r="AK27" i="83"/>
  <c r="AK40" i="83" s="1"/>
  <c r="AK44" i="83" s="1"/>
  <c r="AK47" i="83" s="1"/>
  <c r="S25" i="83"/>
  <c r="S24" i="97" s="1"/>
  <c r="D26" i="83"/>
  <c r="AC25" i="95" s="1"/>
  <c r="N19" i="83"/>
  <c r="AM18" i="95" s="1"/>
  <c r="N9" i="83"/>
  <c r="AM8" i="95" s="1"/>
  <c r="AB29" i="83"/>
  <c r="AB17" i="83"/>
  <c r="L19" i="83"/>
  <c r="AK18" i="95" s="1"/>
  <c r="L9" i="83"/>
  <c r="AK8" i="95" s="1"/>
  <c r="X29" i="83"/>
  <c r="X17" i="83"/>
  <c r="Z29" i="83"/>
  <c r="Z17" i="83"/>
  <c r="H19" i="83"/>
  <c r="AG18" i="95" s="1"/>
  <c r="H9" i="83"/>
  <c r="AG8" i="95" s="1"/>
  <c r="M9" i="83"/>
  <c r="AL8" i="95" s="1"/>
  <c r="D17" i="83"/>
  <c r="AC16" i="95" s="1"/>
  <c r="H4" i="99" s="1"/>
  <c r="V29" i="83"/>
  <c r="V17" i="83"/>
  <c r="I19" i="83"/>
  <c r="AH18" i="95" s="1"/>
  <c r="I9" i="83"/>
  <c r="AH8" i="95" s="1"/>
  <c r="T25" i="83"/>
  <c r="T24" i="97" s="1"/>
  <c r="E26" i="83"/>
  <c r="AD25" i="95" s="1"/>
  <c r="AQ28" i="83"/>
  <c r="AQ27" i="83" s="1"/>
  <c r="AQ40" i="83" s="1"/>
  <c r="AQ44" i="83" s="1"/>
  <c r="AQ47" i="83" s="1"/>
  <c r="AQ17" i="83"/>
  <c r="S29" i="83"/>
  <c r="S17" i="83"/>
  <c r="O7" i="83"/>
  <c r="C5" i="83"/>
  <c r="AB4" i="95" s="1"/>
  <c r="E19" i="83"/>
  <c r="AD18" i="95" s="1"/>
  <c r="E9" i="83"/>
  <c r="AD8" i="95" s="1"/>
  <c r="Y29" i="83"/>
  <c r="Y17" i="83"/>
  <c r="C23" i="83"/>
  <c r="AC23" i="83"/>
  <c r="BS48" i="83"/>
  <c r="O13" i="99" l="1"/>
  <c r="H13" i="99"/>
  <c r="Q13" i="99"/>
  <c r="O17" i="99"/>
  <c r="O19" i="99"/>
  <c r="H17" i="99"/>
  <c r="H19" i="99"/>
  <c r="Q17" i="99"/>
  <c r="Q19" i="99"/>
  <c r="D23" i="97"/>
  <c r="D4" i="97" s="1"/>
  <c r="D81" i="97" s="1"/>
  <c r="AB23" i="96"/>
  <c r="AB22" i="96" s="1"/>
  <c r="Y128" i="97"/>
  <c r="L128" i="97" s="1"/>
  <c r="O23" i="83"/>
  <c r="U23" i="88" s="1"/>
  <c r="W23" i="88" s="1"/>
  <c r="X23" i="88" s="1"/>
  <c r="AB22" i="95"/>
  <c r="M29" i="83"/>
  <c r="AL28" i="95" s="1"/>
  <c r="Q23" i="97"/>
  <c r="Q4" i="97" s="1"/>
  <c r="Q81" i="97" s="1"/>
  <c r="U128" i="97"/>
  <c r="V128" i="97"/>
  <c r="R128" i="97"/>
  <c r="W128" i="97"/>
  <c r="T128" i="97"/>
  <c r="S128" i="97"/>
  <c r="D128" i="97"/>
  <c r="Q126" i="97"/>
  <c r="Q114" i="97" s="1"/>
  <c r="Q129" i="97" s="1"/>
  <c r="I24" i="97"/>
  <c r="V23" i="97"/>
  <c r="V4" i="97" s="1"/>
  <c r="V81" i="97" s="1"/>
  <c r="F24" i="97"/>
  <c r="S23" i="97"/>
  <c r="S4" i="97" s="1"/>
  <c r="S81" i="97" s="1"/>
  <c r="G24" i="97"/>
  <c r="T23" i="97"/>
  <c r="T4" i="97" s="1"/>
  <c r="T81" i="97" s="1"/>
  <c r="E24" i="97"/>
  <c r="R23" i="97"/>
  <c r="R4" i="97" s="1"/>
  <c r="R81" i="97" s="1"/>
  <c r="H24" i="97"/>
  <c r="U23" i="97"/>
  <c r="U4" i="97" s="1"/>
  <c r="U81" i="97" s="1"/>
  <c r="AB25" i="83"/>
  <c r="AB21" i="83" s="1"/>
  <c r="I26" i="83"/>
  <c r="AH25" i="95" s="1"/>
  <c r="W24" i="97"/>
  <c r="Z25" i="83"/>
  <c r="Z21" i="83" s="1"/>
  <c r="Y24" i="97"/>
  <c r="E27" i="88"/>
  <c r="E41" i="88" s="1"/>
  <c r="M26" i="83"/>
  <c r="AL25" i="95" s="1"/>
  <c r="K26" i="83"/>
  <c r="AJ25" i="95" s="1"/>
  <c r="X25" i="83"/>
  <c r="Q27" i="83"/>
  <c r="Q40" i="83" s="1"/>
  <c r="Q44" i="83" s="1"/>
  <c r="Q47" i="83" s="1"/>
  <c r="U44" i="88"/>
  <c r="W44" i="88" s="1"/>
  <c r="X44" i="88" s="1"/>
  <c r="W42" i="88"/>
  <c r="X42" i="88" s="1"/>
  <c r="O29" i="88"/>
  <c r="S29" i="88" s="1"/>
  <c r="G27" i="88"/>
  <c r="O5" i="83"/>
  <c r="U7" i="88"/>
  <c r="F31" i="88"/>
  <c r="F41" i="88"/>
  <c r="N27" i="88"/>
  <c r="R27" i="88" s="1"/>
  <c r="O19" i="83"/>
  <c r="O29" i="83" s="1"/>
  <c r="U11" i="88"/>
  <c r="L29" i="88"/>
  <c r="P29" i="88" s="1"/>
  <c r="D27" i="88"/>
  <c r="J29" i="83"/>
  <c r="AI28" i="95" s="1"/>
  <c r="J17" i="83"/>
  <c r="AI16" i="95" s="1"/>
  <c r="N4" i="99" s="1"/>
  <c r="E29" i="83"/>
  <c r="AD28" i="95" s="1"/>
  <c r="E17" i="83"/>
  <c r="AD16" i="95" s="1"/>
  <c r="I4" i="99" s="1"/>
  <c r="H25" i="83"/>
  <c r="AG24" i="95" s="1"/>
  <c r="V21" i="83"/>
  <c r="V28" i="83"/>
  <c r="V27" i="83" s="1"/>
  <c r="V40" i="83" s="1"/>
  <c r="V44" i="83" s="1"/>
  <c r="V47" i="83" s="1"/>
  <c r="F25" i="83"/>
  <c r="AE24" i="95" s="1"/>
  <c r="T21" i="83"/>
  <c r="T28" i="83"/>
  <c r="T27" i="83" s="1"/>
  <c r="T40" i="83" s="1"/>
  <c r="T44" i="83" s="1"/>
  <c r="T47" i="83" s="1"/>
  <c r="AC29" i="83"/>
  <c r="AC17" i="83"/>
  <c r="O9" i="83"/>
  <c r="R21" i="83"/>
  <c r="D25" i="83"/>
  <c r="AC24" i="95" s="1"/>
  <c r="R28" i="83"/>
  <c r="R27" i="83" s="1"/>
  <c r="R40" i="83" s="1"/>
  <c r="R44" i="83" s="1"/>
  <c r="R47" i="83" s="1"/>
  <c r="U21" i="83"/>
  <c r="G25" i="83"/>
  <c r="AF24" i="95" s="1"/>
  <c r="U28" i="83"/>
  <c r="U27" i="83" s="1"/>
  <c r="U40" i="83" s="1"/>
  <c r="U44" i="83" s="1"/>
  <c r="U47" i="83" s="1"/>
  <c r="N26" i="83"/>
  <c r="AC26" i="83"/>
  <c r="E25" i="83"/>
  <c r="AD24" i="95" s="1"/>
  <c r="S21" i="83"/>
  <c r="S28" i="83"/>
  <c r="S27" i="83" s="1"/>
  <c r="S40" i="83" s="1"/>
  <c r="S44" i="83" s="1"/>
  <c r="S47" i="83" s="1"/>
  <c r="L26" i="83"/>
  <c r="AK25" i="95" s="1"/>
  <c r="AA25" i="83"/>
  <c r="AA24" i="97" s="1"/>
  <c r="H29" i="83"/>
  <c r="AG28" i="95" s="1"/>
  <c r="H17" i="83"/>
  <c r="AG16" i="95" s="1"/>
  <c r="L4" i="99" s="1"/>
  <c r="I25" i="83"/>
  <c r="AH24" i="95" s="1"/>
  <c r="W21" i="83"/>
  <c r="W28" i="83"/>
  <c r="W27" i="83" s="1"/>
  <c r="W40" i="83" s="1"/>
  <c r="W44" i="83" s="1"/>
  <c r="W47" i="83" s="1"/>
  <c r="F29" i="83"/>
  <c r="AE28" i="95" s="1"/>
  <c r="F17" i="83"/>
  <c r="AE16" i="95" s="1"/>
  <c r="J4" i="99" s="1"/>
  <c r="I29" i="83"/>
  <c r="AH28" i="95" s="1"/>
  <c r="I17" i="83"/>
  <c r="AH16" i="95" s="1"/>
  <c r="M4" i="99" s="1"/>
  <c r="C21" i="83"/>
  <c r="AB20" i="95" s="1"/>
  <c r="C28" i="83"/>
  <c r="AB27" i="95" s="1"/>
  <c r="C29" i="83"/>
  <c r="AB28" i="95" s="1"/>
  <c r="C17" i="83"/>
  <c r="AB16" i="95" s="1"/>
  <c r="G4" i="99" s="1"/>
  <c r="G29" i="83"/>
  <c r="AF28" i="95" s="1"/>
  <c r="G17" i="83"/>
  <c r="AF16" i="95" s="1"/>
  <c r="K4" i="99" s="1"/>
  <c r="L29" i="83"/>
  <c r="AK28" i="95" s="1"/>
  <c r="L17" i="83"/>
  <c r="AK16" i="95" s="1"/>
  <c r="P4" i="99" s="1"/>
  <c r="N29" i="83"/>
  <c r="AM28" i="95" s="1"/>
  <c r="N17" i="83"/>
  <c r="AM16" i="95" s="1"/>
  <c r="R4" i="99" s="1"/>
  <c r="K25" i="83"/>
  <c r="AJ24" i="95" s="1"/>
  <c r="Y21" i="83"/>
  <c r="Y28" i="83"/>
  <c r="Y27" i="83" s="1"/>
  <c r="Y40" i="83" s="1"/>
  <c r="Y44" i="83" s="1"/>
  <c r="Y47" i="83" s="1"/>
  <c r="R13" i="99" l="1"/>
  <c r="L13" i="99"/>
  <c r="P13" i="99"/>
  <c r="N13" i="99"/>
  <c r="M13" i="99"/>
  <c r="K13" i="99"/>
  <c r="I13" i="99"/>
  <c r="J13" i="99"/>
  <c r="G13" i="99"/>
  <c r="G19" i="99"/>
  <c r="K17" i="99"/>
  <c r="K19" i="99"/>
  <c r="I17" i="99"/>
  <c r="I19" i="99"/>
  <c r="M17" i="99"/>
  <c r="M19" i="99"/>
  <c r="N17" i="99"/>
  <c r="N19" i="99"/>
  <c r="J17" i="99"/>
  <c r="J19" i="99"/>
  <c r="P17" i="99"/>
  <c r="P19" i="99"/>
  <c r="R17" i="99"/>
  <c r="R19" i="99"/>
  <c r="L17" i="99"/>
  <c r="L19" i="99"/>
  <c r="G5" i="99"/>
  <c r="G6" i="99" s="1"/>
  <c r="G7" i="99" s="1"/>
  <c r="G25" i="99" a="1"/>
  <c r="G25" i="99" s="1"/>
  <c r="G24" i="99"/>
  <c r="AB3" i="96"/>
  <c r="AB80" i="96" s="1"/>
  <c r="D126" i="97"/>
  <c r="D114" i="97" s="1"/>
  <c r="D129" i="97" s="1"/>
  <c r="D132" i="97" s="1"/>
  <c r="AB127" i="96"/>
  <c r="AB125" i="96" s="1"/>
  <c r="AB113" i="96" s="1"/>
  <c r="I23" i="97"/>
  <c r="I4" i="97" s="1"/>
  <c r="I81" i="97" s="1"/>
  <c r="AG23" i="96"/>
  <c r="AG22" i="96" s="1"/>
  <c r="AG3" i="96" s="1"/>
  <c r="AG80" i="96" s="1"/>
  <c r="H23" i="97"/>
  <c r="H4" i="97" s="1"/>
  <c r="H81" i="97" s="1"/>
  <c r="AF23" i="96"/>
  <c r="AF22" i="96" s="1"/>
  <c r="AF3" i="96" s="1"/>
  <c r="AF80" i="96" s="1"/>
  <c r="E23" i="97"/>
  <c r="E4" i="97" s="1"/>
  <c r="E81" i="97" s="1"/>
  <c r="AC23" i="96"/>
  <c r="AC22" i="96" s="1"/>
  <c r="AC3" i="96" s="1"/>
  <c r="AC80" i="96" s="1"/>
  <c r="G23" i="97"/>
  <c r="G4" i="97" s="1"/>
  <c r="G81" i="97" s="1"/>
  <c r="AE23" i="96"/>
  <c r="AE22" i="96" s="1"/>
  <c r="AE3" i="96" s="1"/>
  <c r="AE80" i="96" s="1"/>
  <c r="L126" i="97"/>
  <c r="L114" i="97" s="1"/>
  <c r="L129" i="97" s="1"/>
  <c r="AJ127" i="96"/>
  <c r="AJ125" i="96" s="1"/>
  <c r="AJ113" i="96" s="1"/>
  <c r="AJ128" i="96" s="1"/>
  <c r="F23" i="97"/>
  <c r="F4" i="97" s="1"/>
  <c r="F81" i="97" s="1"/>
  <c r="AD23" i="96"/>
  <c r="AD22" i="96" s="1"/>
  <c r="AD3" i="96" s="1"/>
  <c r="AD80" i="96" s="1"/>
  <c r="Y126" i="97"/>
  <c r="Y114" i="97" s="1"/>
  <c r="Y129" i="97" s="1"/>
  <c r="G17" i="99"/>
  <c r="S4" i="99"/>
  <c r="Q132" i="97"/>
  <c r="Z128" i="97"/>
  <c r="M128" i="97" s="1"/>
  <c r="AA128" i="97"/>
  <c r="AA126" i="97" s="1"/>
  <c r="AA114" i="97" s="1"/>
  <c r="AA129" i="97" s="1"/>
  <c r="F128" i="97"/>
  <c r="S126" i="97"/>
  <c r="S114" i="97" s="1"/>
  <c r="S129" i="97" s="1"/>
  <c r="S132" i="97" s="1"/>
  <c r="G128" i="97"/>
  <c r="T126" i="97"/>
  <c r="T114" i="97" s="1"/>
  <c r="T129" i="97" s="1"/>
  <c r="T132" i="97" s="1"/>
  <c r="J128" i="97"/>
  <c r="W126" i="97"/>
  <c r="W114" i="97" s="1"/>
  <c r="W129" i="97" s="1"/>
  <c r="E128" i="97"/>
  <c r="R126" i="97"/>
  <c r="R114" i="97" s="1"/>
  <c r="R129" i="97" s="1"/>
  <c r="R132" i="97" s="1"/>
  <c r="AB128" i="97"/>
  <c r="I128" i="97"/>
  <c r="V126" i="97"/>
  <c r="V114" i="97" s="1"/>
  <c r="V129" i="97" s="1"/>
  <c r="V132" i="97" s="1"/>
  <c r="H128" i="97"/>
  <c r="U126" i="97"/>
  <c r="U114" i="97" s="1"/>
  <c r="U129" i="97" s="1"/>
  <c r="U132" i="97" s="1"/>
  <c r="X24" i="97"/>
  <c r="X23" i="97" s="1"/>
  <c r="X4" i="97" s="1"/>
  <c r="X81" i="97" s="1"/>
  <c r="X128" i="97"/>
  <c r="O26" i="83"/>
  <c r="O21" i="83" s="1"/>
  <c r="AM25" i="95"/>
  <c r="M27" i="88"/>
  <c r="Q27" i="88" s="1"/>
  <c r="E31" i="88"/>
  <c r="X28" i="83"/>
  <c r="X27" i="83" s="1"/>
  <c r="X40" i="83" s="1"/>
  <c r="X44" i="83" s="1"/>
  <c r="X47" i="83" s="1"/>
  <c r="J25" i="83"/>
  <c r="X21" i="83"/>
  <c r="AB24" i="97"/>
  <c r="AB23" i="97" s="1"/>
  <c r="AB4" i="97" s="1"/>
  <c r="AB81" i="97" s="1"/>
  <c r="Z24" i="97"/>
  <c r="Z23" i="97" s="1"/>
  <c r="Z4" i="97" s="1"/>
  <c r="Z81" i="97" s="1"/>
  <c r="Z28" i="83"/>
  <c r="Z27" i="83" s="1"/>
  <c r="Z40" i="83" s="1"/>
  <c r="Z44" i="83" s="1"/>
  <c r="Z47" i="83" s="1"/>
  <c r="L25" i="83"/>
  <c r="AB28" i="83"/>
  <c r="AB27" i="83" s="1"/>
  <c r="AB40" i="83" s="1"/>
  <c r="AB44" i="83" s="1"/>
  <c r="AB47" i="83" s="1"/>
  <c r="N25" i="83"/>
  <c r="N24" i="97"/>
  <c r="AA23" i="97"/>
  <c r="AA4" i="97" s="1"/>
  <c r="AA81" i="97" s="1"/>
  <c r="J24" i="97"/>
  <c r="W23" i="97"/>
  <c r="W4" i="97" s="1"/>
  <c r="W81" i="97" s="1"/>
  <c r="L24" i="97"/>
  <c r="Y23" i="97"/>
  <c r="Y4" i="97" s="1"/>
  <c r="Y81" i="97" s="1"/>
  <c r="E45" i="88"/>
  <c r="M41" i="88"/>
  <c r="Q41" i="88" s="1"/>
  <c r="G31" i="88"/>
  <c r="G41" i="88"/>
  <c r="O27" i="88"/>
  <c r="S27" i="88" s="1"/>
  <c r="C27" i="83"/>
  <c r="O17" i="83"/>
  <c r="W11" i="88"/>
  <c r="X11" i="88" s="1"/>
  <c r="U9" i="88"/>
  <c r="W9" i="88" s="1"/>
  <c r="X9" i="88" s="1"/>
  <c r="U19" i="88"/>
  <c r="F45" i="88"/>
  <c r="N41" i="88"/>
  <c r="R41" i="88" s="1"/>
  <c r="D31" i="88"/>
  <c r="L31" i="88" s="1"/>
  <c r="D41" i="88"/>
  <c r="L27" i="88"/>
  <c r="P27" i="88" s="1"/>
  <c r="W7" i="88"/>
  <c r="X7" i="88" s="1"/>
  <c r="U5" i="88"/>
  <c r="W5" i="88" s="1"/>
  <c r="X5" i="88" s="1"/>
  <c r="AA21" i="83"/>
  <c r="M25" i="83"/>
  <c r="AL24" i="95" s="1"/>
  <c r="AA28" i="83"/>
  <c r="AA27" i="83" s="1"/>
  <c r="AA40" i="83" s="1"/>
  <c r="AA44" i="83" s="1"/>
  <c r="AA47" i="83" s="1"/>
  <c r="K21" i="83"/>
  <c r="AJ20" i="95" s="1"/>
  <c r="O5" i="99" s="1"/>
  <c r="O6" i="99" s="1"/>
  <c r="O7" i="99" s="1"/>
  <c r="K28" i="83"/>
  <c r="E21" i="83"/>
  <c r="AD20" i="95" s="1"/>
  <c r="I5" i="99" s="1"/>
  <c r="I6" i="99" s="1"/>
  <c r="I7" i="99" s="1"/>
  <c r="E28" i="83"/>
  <c r="AC21" i="83"/>
  <c r="AC28" i="83"/>
  <c r="AC27" i="83" s="1"/>
  <c r="AC40" i="83" s="1"/>
  <c r="AC44" i="83" s="1"/>
  <c r="AC47" i="83" s="1"/>
  <c r="F21" i="83"/>
  <c r="AE20" i="95" s="1"/>
  <c r="J5" i="99" s="1"/>
  <c r="J6" i="99" s="1"/>
  <c r="J7" i="99" s="1"/>
  <c r="F28" i="83"/>
  <c r="G21" i="83"/>
  <c r="AF20" i="95" s="1"/>
  <c r="K5" i="99" s="1"/>
  <c r="K6" i="99" s="1"/>
  <c r="K7" i="99" s="1"/>
  <c r="G28" i="83"/>
  <c r="H21" i="83"/>
  <c r="AG20" i="95" s="1"/>
  <c r="L5" i="99" s="1"/>
  <c r="L6" i="99" s="1"/>
  <c r="L7" i="99" s="1"/>
  <c r="H28" i="83"/>
  <c r="D21" i="83"/>
  <c r="AC20" i="95" s="1"/>
  <c r="H5" i="99" s="1"/>
  <c r="H6" i="99" s="1"/>
  <c r="H7" i="99" s="1"/>
  <c r="D28" i="83"/>
  <c r="I21" i="83"/>
  <c r="AH20" i="95" s="1"/>
  <c r="M5" i="99" s="1"/>
  <c r="M6" i="99" s="1"/>
  <c r="M7" i="99" s="1"/>
  <c r="I28" i="83"/>
  <c r="AB128" i="96" l="1"/>
  <c r="S13" i="99"/>
  <c r="S17" i="99"/>
  <c r="K25" i="99" a="1"/>
  <c r="K25" i="99" s="1"/>
  <c r="M25" i="99" a="1"/>
  <c r="M25" i="99" s="1"/>
  <c r="I25" i="99" a="1"/>
  <c r="I25" i="99" s="1"/>
  <c r="L25" i="99" a="1"/>
  <c r="L25" i="99" s="1"/>
  <c r="H25" i="99" a="1"/>
  <c r="H25" i="99" s="1"/>
  <c r="J25" i="99" a="1"/>
  <c r="J25" i="99" s="1"/>
  <c r="G22" i="99"/>
  <c r="I24" i="99"/>
  <c r="J24" i="99"/>
  <c r="K24" i="99"/>
  <c r="L24" i="99"/>
  <c r="H24" i="99"/>
  <c r="H126" i="97"/>
  <c r="H114" i="97" s="1"/>
  <c r="H129" i="97" s="1"/>
  <c r="H132" i="97" s="1"/>
  <c r="AF127" i="96"/>
  <c r="AF125" i="96" s="1"/>
  <c r="AF113" i="96" s="1"/>
  <c r="AF128" i="96" s="1"/>
  <c r="E126" i="97"/>
  <c r="E114" i="97" s="1"/>
  <c r="E129" i="97" s="1"/>
  <c r="E132" i="97" s="1"/>
  <c r="AC127" i="96"/>
  <c r="AC125" i="96" s="1"/>
  <c r="AC113" i="96" s="1"/>
  <c r="AC128" i="96" s="1"/>
  <c r="J126" i="97"/>
  <c r="J114" i="97" s="1"/>
  <c r="J129" i="97" s="1"/>
  <c r="AH127" i="96"/>
  <c r="AH125" i="96" s="1"/>
  <c r="AH113" i="96" s="1"/>
  <c r="AH128" i="96" s="1"/>
  <c r="I126" i="97"/>
  <c r="I114" i="97" s="1"/>
  <c r="I129" i="97" s="1"/>
  <c r="I132" i="97" s="1"/>
  <c r="AG127" i="96"/>
  <c r="AG125" i="96" s="1"/>
  <c r="AG113" i="96" s="1"/>
  <c r="AG128" i="96" s="1"/>
  <c r="Y132" i="97"/>
  <c r="G126" i="97"/>
  <c r="G114" i="97" s="1"/>
  <c r="G129" i="97" s="1"/>
  <c r="G132" i="97" s="1"/>
  <c r="AE127" i="96"/>
  <c r="AE125" i="96" s="1"/>
  <c r="AE113" i="96" s="1"/>
  <c r="AE128" i="96" s="1"/>
  <c r="L23" i="97"/>
  <c r="L4" i="97" s="1"/>
  <c r="L81" i="97" s="1"/>
  <c r="L132" i="97" s="1"/>
  <c r="AJ23" i="96"/>
  <c r="AJ22" i="96" s="1"/>
  <c r="AJ3" i="96" s="1"/>
  <c r="AJ80" i="96" s="1"/>
  <c r="F126" i="97"/>
  <c r="F114" i="97" s="1"/>
  <c r="F129" i="97" s="1"/>
  <c r="F132" i="97" s="1"/>
  <c r="AD127" i="96"/>
  <c r="AD125" i="96" s="1"/>
  <c r="AD113" i="96" s="1"/>
  <c r="AD128" i="96" s="1"/>
  <c r="J23" i="97"/>
  <c r="J4" i="97" s="1"/>
  <c r="J81" i="97" s="1"/>
  <c r="AH23" i="96"/>
  <c r="AH22" i="96" s="1"/>
  <c r="M24" i="99" s="1"/>
  <c r="M126" i="97"/>
  <c r="M114" i="97" s="1"/>
  <c r="M129" i="97" s="1"/>
  <c r="AK127" i="96"/>
  <c r="AK125" i="96" s="1"/>
  <c r="AK113" i="96" s="1"/>
  <c r="AK128" i="96" s="1"/>
  <c r="N23" i="97"/>
  <c r="N4" i="97" s="1"/>
  <c r="N81" i="97" s="1"/>
  <c r="AL23" i="96"/>
  <c r="AL22" i="96" s="1"/>
  <c r="AL3" i="96" s="1"/>
  <c r="AL80" i="96" s="1"/>
  <c r="K24" i="97"/>
  <c r="Z126" i="97"/>
  <c r="Z114" i="97" s="1"/>
  <c r="Z129" i="97" s="1"/>
  <c r="Z132" i="97" s="1"/>
  <c r="N128" i="97"/>
  <c r="AA132" i="97"/>
  <c r="K128" i="97"/>
  <c r="X126" i="97"/>
  <c r="X114" i="97" s="1"/>
  <c r="X129" i="97" s="1"/>
  <c r="X132" i="97" s="1"/>
  <c r="O28" i="83"/>
  <c r="O27" i="83" s="1"/>
  <c r="O40" i="83" s="1"/>
  <c r="O44" i="83" s="1"/>
  <c r="O47" i="83" s="1"/>
  <c r="U26" i="88"/>
  <c r="U28" i="88" s="1"/>
  <c r="O128" i="97"/>
  <c r="AB126" i="97"/>
  <c r="AB114" i="97" s="1"/>
  <c r="AB129" i="97" s="1"/>
  <c r="AB132" i="97" s="1"/>
  <c r="W132" i="97"/>
  <c r="N28" i="83"/>
  <c r="AM24" i="95"/>
  <c r="I27" i="83"/>
  <c r="AH27" i="95"/>
  <c r="C40" i="83"/>
  <c r="AB26" i="95"/>
  <c r="L21" i="83"/>
  <c r="AK20" i="95" s="1"/>
  <c r="P5" i="99" s="1"/>
  <c r="P6" i="99" s="1"/>
  <c r="P7" i="99" s="1"/>
  <c r="AK24" i="95"/>
  <c r="D27" i="83"/>
  <c r="AC27" i="95"/>
  <c r="E27" i="83"/>
  <c r="AD27" i="95"/>
  <c r="G27" i="83"/>
  <c r="AF27" i="95"/>
  <c r="J21" i="83"/>
  <c r="AI20" i="95" s="1"/>
  <c r="N5" i="99" s="1"/>
  <c r="N6" i="99" s="1"/>
  <c r="N7" i="99" s="1"/>
  <c r="AI24" i="95"/>
  <c r="F27" i="83"/>
  <c r="AE27" i="95"/>
  <c r="K27" i="83"/>
  <c r="AJ27" i="95"/>
  <c r="H27" i="83"/>
  <c r="AG27" i="95"/>
  <c r="L28" i="83"/>
  <c r="J28" i="83"/>
  <c r="O24" i="97"/>
  <c r="M24" i="97"/>
  <c r="N21" i="83"/>
  <c r="AM20" i="95" s="1"/>
  <c r="R5" i="99" s="1"/>
  <c r="R6" i="99" s="1"/>
  <c r="R7" i="99" s="1"/>
  <c r="C1" i="83"/>
  <c r="G45" i="88"/>
  <c r="O41" i="88"/>
  <c r="S41" i="88" s="1"/>
  <c r="E48" i="88"/>
  <c r="M45" i="88"/>
  <c r="Q45" i="88" s="1"/>
  <c r="D45" i="88"/>
  <c r="L41" i="88"/>
  <c r="P41" i="88" s="1"/>
  <c r="U29" i="88"/>
  <c r="W29" i="88" s="1"/>
  <c r="X29" i="88" s="1"/>
  <c r="U17" i="88"/>
  <c r="W17" i="88" s="1"/>
  <c r="X17" i="88" s="1"/>
  <c r="W19" i="88"/>
  <c r="X19" i="88" s="1"/>
  <c r="F48" i="88"/>
  <c r="N45" i="88"/>
  <c r="R45" i="88" s="1"/>
  <c r="M21" i="83"/>
  <c r="AL20" i="95" s="1"/>
  <c r="Q5" i="99" s="1"/>
  <c r="Q6" i="99" s="1"/>
  <c r="Q7" i="99" s="1"/>
  <c r="M28" i="83"/>
  <c r="L22" i="99" l="1"/>
  <c r="K22" i="99"/>
  <c r="J22" i="99"/>
  <c r="I22" i="99"/>
  <c r="Q25" i="99" a="1"/>
  <c r="Q25" i="99" s="1"/>
  <c r="P25" i="99" a="1"/>
  <c r="P25" i="99" s="1"/>
  <c r="N25" i="99" a="1"/>
  <c r="N25" i="99" s="1"/>
  <c r="R25" i="99" a="1"/>
  <c r="R25" i="99" s="1"/>
  <c r="S25" i="99" s="1"/>
  <c r="O25" i="99" a="1"/>
  <c r="O25" i="99" s="1"/>
  <c r="H22" i="99"/>
  <c r="AH3" i="96"/>
  <c r="AH80" i="96" s="1"/>
  <c r="M22" i="99"/>
  <c r="J132" i="97"/>
  <c r="M23" i="97"/>
  <c r="M4" i="97" s="1"/>
  <c r="M81" i="97" s="1"/>
  <c r="M132" i="97" s="1"/>
  <c r="AK23" i="96"/>
  <c r="AK22" i="96" s="1"/>
  <c r="AK3" i="96" s="1"/>
  <c r="AK80" i="96" s="1"/>
  <c r="K126" i="97"/>
  <c r="K114" i="97" s="1"/>
  <c r="K129" i="97" s="1"/>
  <c r="AI127" i="96"/>
  <c r="AI125" i="96" s="1"/>
  <c r="AI113" i="96" s="1"/>
  <c r="AI128" i="96" s="1"/>
  <c r="N126" i="97"/>
  <c r="N114" i="97" s="1"/>
  <c r="N129" i="97" s="1"/>
  <c r="N132" i="97" s="1"/>
  <c r="AL127" i="96"/>
  <c r="AL125" i="96" s="1"/>
  <c r="AL113" i="96" s="1"/>
  <c r="AL128" i="96" s="1"/>
  <c r="O23" i="97"/>
  <c r="O4" i="97" s="1"/>
  <c r="O81" i="97" s="1"/>
  <c r="AM23" i="96"/>
  <c r="AM22" i="96" s="1"/>
  <c r="AM3" i="96" s="1"/>
  <c r="AM80" i="96" s="1"/>
  <c r="K23" i="97"/>
  <c r="K4" i="97" s="1"/>
  <c r="K81" i="97" s="1"/>
  <c r="AI23" i="96"/>
  <c r="AI22" i="96" s="1"/>
  <c r="O126" i="97"/>
  <c r="O114" i="97" s="1"/>
  <c r="O129" i="97" s="1"/>
  <c r="AM127" i="96"/>
  <c r="AM125" i="96" s="1"/>
  <c r="AM113" i="96" s="1"/>
  <c r="AM128" i="96" s="1"/>
  <c r="U21" i="88"/>
  <c r="W21" i="88" s="1"/>
  <c r="X21" i="88" s="1"/>
  <c r="W26" i="88"/>
  <c r="X26" i="88" s="1"/>
  <c r="S5" i="99"/>
  <c r="S6" i="99" s="1"/>
  <c r="S7" i="99" s="1"/>
  <c r="G40" i="83"/>
  <c r="AF26" i="95"/>
  <c r="E40" i="83"/>
  <c r="AD26" i="95"/>
  <c r="D40" i="83"/>
  <c r="AC26" i="95"/>
  <c r="J27" i="83"/>
  <c r="AI27" i="95"/>
  <c r="M27" i="83"/>
  <c r="AL27" i="95"/>
  <c r="C44" i="83"/>
  <c r="AB39" i="95"/>
  <c r="H40" i="83"/>
  <c r="AG26" i="95"/>
  <c r="L27" i="83"/>
  <c r="AK27" i="95"/>
  <c r="I40" i="83"/>
  <c r="AH26" i="95"/>
  <c r="K40" i="83"/>
  <c r="AJ26" i="95"/>
  <c r="F40" i="83"/>
  <c r="AE26" i="95"/>
  <c r="N27" i="83"/>
  <c r="AM27" i="95"/>
  <c r="E49" i="88"/>
  <c r="M48" i="88"/>
  <c r="Q48" i="88" s="1"/>
  <c r="E52" i="88"/>
  <c r="G48" i="88"/>
  <c r="O45" i="88"/>
  <c r="S45" i="88" s="1"/>
  <c r="F49" i="88"/>
  <c r="N48" i="88"/>
  <c r="R48" i="88" s="1"/>
  <c r="F52" i="88"/>
  <c r="L45" i="88"/>
  <c r="P45" i="88" s="1"/>
  <c r="D48" i="88"/>
  <c r="U27" i="88"/>
  <c r="W28" i="88"/>
  <c r="X28" i="88" s="1"/>
  <c r="BW20" i="30"/>
  <c r="BV20" i="30"/>
  <c r="BU20" i="30"/>
  <c r="BT20" i="30"/>
  <c r="BS20" i="30"/>
  <c r="BR20" i="30"/>
  <c r="BQ20" i="30"/>
  <c r="BP20" i="30"/>
  <c r="BO20" i="30"/>
  <c r="BN20" i="30"/>
  <c r="BM20" i="30"/>
  <c r="BL20" i="30"/>
  <c r="S34" i="99" l="1" a="1"/>
  <c r="S34" i="99" s="1"/>
  <c r="G15" i="99"/>
  <c r="AI3" i="96"/>
  <c r="AI80" i="96" s="1"/>
  <c r="S29" i="99" s="1"/>
  <c r="O24" i="99"/>
  <c r="O22" i="99" s="1"/>
  <c r="P24" i="99"/>
  <c r="P22" i="99" s="1"/>
  <c r="Q24" i="99"/>
  <c r="Q22" i="99" s="1"/>
  <c r="R24" i="99"/>
  <c r="S24" i="99"/>
  <c r="N24" i="99"/>
  <c r="N22" i="99" s="1"/>
  <c r="K132" i="97"/>
  <c r="O132" i="97"/>
  <c r="M40" i="83"/>
  <c r="AL26" i="95"/>
  <c r="H44" i="83"/>
  <c r="AG39" i="95"/>
  <c r="L15" i="99" s="1"/>
  <c r="J40" i="83"/>
  <c r="AI26" i="95"/>
  <c r="C47" i="83"/>
  <c r="AB43" i="95"/>
  <c r="G8" i="99" s="1"/>
  <c r="G20" i="99" s="1"/>
  <c r="G21" i="99" s="1"/>
  <c r="F44" i="83"/>
  <c r="AE39" i="95"/>
  <c r="J15" i="99" s="1"/>
  <c r="D44" i="83"/>
  <c r="AC39" i="95"/>
  <c r="H15" i="99" s="1"/>
  <c r="N40" i="83"/>
  <c r="AM26" i="95"/>
  <c r="E44" i="83"/>
  <c r="AD39" i="95"/>
  <c r="I15" i="99" s="1"/>
  <c r="L40" i="83"/>
  <c r="AK26" i="95"/>
  <c r="K44" i="83"/>
  <c r="AJ39" i="95"/>
  <c r="O15" i="99" s="1"/>
  <c r="I44" i="83"/>
  <c r="AH39" i="95"/>
  <c r="M15" i="99" s="1"/>
  <c r="G44" i="83"/>
  <c r="AF39" i="95"/>
  <c r="K15" i="99" s="1"/>
  <c r="G49" i="88"/>
  <c r="O48" i="88"/>
  <c r="S48" i="88" s="1"/>
  <c r="G52" i="88"/>
  <c r="D49" i="88"/>
  <c r="L48" i="88"/>
  <c r="P48" i="88" s="1"/>
  <c r="D52" i="88"/>
  <c r="U31" i="88"/>
  <c r="W31" i="88" s="1"/>
  <c r="U41" i="88"/>
  <c r="W27" i="88"/>
  <c r="X27" i="88" s="1"/>
  <c r="BW19" i="30"/>
  <c r="BV19" i="30"/>
  <c r="BU19" i="30"/>
  <c r="BT19" i="30"/>
  <c r="BS19" i="30"/>
  <c r="BR19" i="30"/>
  <c r="BQ19" i="30"/>
  <c r="BP19" i="30"/>
  <c r="BO19" i="30"/>
  <c r="BN19" i="30"/>
  <c r="BM19" i="30"/>
  <c r="BL19" i="30"/>
  <c r="BW16" i="30"/>
  <c r="BW23" i="30" s="1"/>
  <c r="BV16" i="30"/>
  <c r="BV23" i="30" s="1"/>
  <c r="BL16" i="30"/>
  <c r="BL23" i="30" s="1"/>
  <c r="BW9" i="30"/>
  <c r="BV9" i="30"/>
  <c r="BU9" i="30"/>
  <c r="BU16" i="30" s="1"/>
  <c r="BU23" i="30" s="1"/>
  <c r="BT9" i="30"/>
  <c r="BT16" i="30" s="1"/>
  <c r="BT23" i="30" s="1"/>
  <c r="BS9" i="30"/>
  <c r="BS16" i="30" s="1"/>
  <c r="BS23" i="30" s="1"/>
  <c r="BR9" i="30"/>
  <c r="BR16" i="30" s="1"/>
  <c r="BR23" i="30" s="1"/>
  <c r="BQ9" i="30"/>
  <c r="BQ16" i="30" s="1"/>
  <c r="BP9" i="30"/>
  <c r="BP16" i="30" s="1"/>
  <c r="BO9" i="30"/>
  <c r="BO16" i="30" s="1"/>
  <c r="BN9" i="30"/>
  <c r="BN16" i="30" s="1"/>
  <c r="BM9" i="30"/>
  <c r="BM16" i="30" s="1"/>
  <c r="BL9" i="30"/>
  <c r="S28" i="99" l="1"/>
  <c r="G9" i="99"/>
  <c r="S22" i="99"/>
  <c r="R22" i="99"/>
  <c r="N44" i="83"/>
  <c r="AM39" i="95"/>
  <c r="R15" i="99" s="1"/>
  <c r="I47" i="83"/>
  <c r="AH46" i="95" s="1"/>
  <c r="M10" i="99" s="1"/>
  <c r="M11" i="99" s="1"/>
  <c r="AH43" i="95"/>
  <c r="M8" i="99" s="1"/>
  <c r="D47" i="83"/>
  <c r="AC46" i="95" s="1"/>
  <c r="H10" i="99" s="1"/>
  <c r="H11" i="99" s="1"/>
  <c r="AC43" i="95"/>
  <c r="H8" i="99" s="1"/>
  <c r="F47" i="83"/>
  <c r="AE46" i="95" s="1"/>
  <c r="J10" i="99" s="1"/>
  <c r="J11" i="99" s="1"/>
  <c r="AE43" i="95"/>
  <c r="J8" i="99" s="1"/>
  <c r="G47" i="83"/>
  <c r="AF46" i="95" s="1"/>
  <c r="K10" i="99" s="1"/>
  <c r="K11" i="99" s="1"/>
  <c r="AF43" i="95"/>
  <c r="K8" i="99" s="1"/>
  <c r="H47" i="83"/>
  <c r="AG46" i="95" s="1"/>
  <c r="L10" i="99" s="1"/>
  <c r="L11" i="99" s="1"/>
  <c r="AG43" i="95"/>
  <c r="L8" i="99" s="1"/>
  <c r="AB46" i="95"/>
  <c r="G10" i="99" s="1"/>
  <c r="G11" i="99" s="1"/>
  <c r="K47" i="83"/>
  <c r="AJ46" i="95" s="1"/>
  <c r="O10" i="99" s="1"/>
  <c r="O11" i="99" s="1"/>
  <c r="AJ43" i="95"/>
  <c r="O8" i="99" s="1"/>
  <c r="E47" i="83"/>
  <c r="AD46" i="95" s="1"/>
  <c r="I10" i="99" s="1"/>
  <c r="I11" i="99" s="1"/>
  <c r="AD43" i="95"/>
  <c r="I8" i="99" s="1"/>
  <c r="J44" i="83"/>
  <c r="AI39" i="95"/>
  <c r="N15" i="99" s="1"/>
  <c r="L44" i="83"/>
  <c r="AK39" i="95"/>
  <c r="P15" i="99" s="1"/>
  <c r="M44" i="83"/>
  <c r="AL39" i="95"/>
  <c r="Q15" i="99" s="1"/>
  <c r="U45" i="88"/>
  <c r="W41" i="88"/>
  <c r="X41" i="88" s="1"/>
  <c r="BP23" i="30"/>
  <c r="BQ23" i="30"/>
  <c r="BM23" i="30"/>
  <c r="BO23" i="30"/>
  <c r="BN23" i="30"/>
  <c r="L9" i="99" l="1"/>
  <c r="L20" i="99"/>
  <c r="L21" i="99" s="1"/>
  <c r="H9" i="99"/>
  <c r="H20" i="99"/>
  <c r="H21" i="99" s="1"/>
  <c r="K9" i="99"/>
  <c r="K20" i="99"/>
  <c r="K21" i="99" s="1"/>
  <c r="M9" i="99"/>
  <c r="M20" i="99"/>
  <c r="M21" i="99" s="1"/>
  <c r="I9" i="99"/>
  <c r="I20" i="99"/>
  <c r="I21" i="99" s="1"/>
  <c r="O9" i="99"/>
  <c r="O20" i="99"/>
  <c r="O21" i="99" s="1"/>
  <c r="J9" i="99"/>
  <c r="J20" i="99"/>
  <c r="J21" i="99" s="1"/>
  <c r="S14" i="99"/>
  <c r="S15" i="99" s="1"/>
  <c r="M47" i="83"/>
  <c r="AL46" i="95" s="1"/>
  <c r="Q10" i="99" s="1"/>
  <c r="Q11" i="99" s="1"/>
  <c r="AL43" i="95"/>
  <c r="Q8" i="99" s="1"/>
  <c r="L47" i="83"/>
  <c r="AK46" i="95" s="1"/>
  <c r="P10" i="99" s="1"/>
  <c r="P11" i="99" s="1"/>
  <c r="AK43" i="95"/>
  <c r="P8" i="99" s="1"/>
  <c r="J47" i="83"/>
  <c r="AI43" i="95"/>
  <c r="N8" i="99" s="1"/>
  <c r="N47" i="83"/>
  <c r="AM46" i="95" s="1"/>
  <c r="R10" i="99" s="1"/>
  <c r="R11" i="99" s="1"/>
  <c r="AM43" i="95"/>
  <c r="R8" i="99" s="1"/>
  <c r="W45" i="88"/>
  <c r="X45" i="88" s="1"/>
  <c r="U48" i="88"/>
  <c r="R9" i="99" l="1"/>
  <c r="R20" i="99"/>
  <c r="R21" i="99" s="1"/>
  <c r="N9" i="99"/>
  <c r="N20" i="99"/>
  <c r="N21" i="99" s="1"/>
  <c r="P9" i="99"/>
  <c r="P20" i="99"/>
  <c r="P21" i="99" s="1"/>
  <c r="Q9" i="99"/>
  <c r="Q20" i="99"/>
  <c r="Q21" i="99" s="1"/>
  <c r="S8" i="99"/>
  <c r="AI46" i="95"/>
  <c r="N10" i="99" s="1"/>
  <c r="N11" i="99" s="1"/>
  <c r="O48" i="83"/>
  <c r="S19" i="99" s="1"/>
  <c r="U49" i="88"/>
  <c r="U52" i="88"/>
  <c r="W48" i="88"/>
  <c r="X48" i="88" s="1"/>
  <c r="S9" i="99" l="1"/>
  <c r="S20" i="99"/>
  <c r="S21" i="99" s="1"/>
  <c r="S10" i="99"/>
  <c r="S11" i="99" s="1"/>
  <c r="S27" i="99" s="1"/>
  <c r="S26" i="99" l="1"/>
  <c r="S30" i="99"/>
  <c r="AR126" i="97" l="1"/>
  <c r="AR114" i="97" s="1"/>
  <c r="AR129" i="97" s="1"/>
  <c r="AR132" i="97" s="1"/>
  <c r="AX126" i="97"/>
  <c r="AX114" i="97" s="1"/>
  <c r="AX129" i="97" s="1"/>
  <c r="AX132" i="97" s="1"/>
  <c r="BB126" i="97"/>
  <c r="BB114" i="97" s="1"/>
  <c r="BB129" i="97" s="1"/>
  <c r="BB132" i="97" s="1"/>
  <c r="AZ126" i="97"/>
  <c r="AZ114" i="97" s="1"/>
  <c r="AZ129" i="97" s="1"/>
  <c r="AZ132" i="97" s="1"/>
  <c r="AS126" i="97"/>
  <c r="AS114" i="97" s="1"/>
  <c r="AS129" i="97" s="1"/>
  <c r="AS132" i="97" s="1"/>
  <c r="BA126" i="97"/>
  <c r="BA114" i="97" s="1"/>
  <c r="BA129" i="97" s="1"/>
  <c r="BA132" i="97" s="1"/>
  <c r="AT126" i="97"/>
  <c r="AT114" i="97" s="1"/>
  <c r="AT129" i="97" s="1"/>
  <c r="AT132" i="97" s="1"/>
  <c r="AW126" i="97"/>
  <c r="AW114" i="97" s="1"/>
  <c r="AW129" i="97" s="1"/>
  <c r="AW132" i="97" s="1"/>
  <c r="AQ126" i="97"/>
  <c r="AQ114" i="97" s="1"/>
  <c r="AQ129" i="97" s="1"/>
  <c r="AQ132" i="97" s="1"/>
  <c r="AV126" i="97"/>
  <c r="AV114" i="97" s="1"/>
  <c r="AV129" i="97" s="1"/>
  <c r="AV132" i="97" s="1"/>
  <c r="AY126" i="97"/>
  <c r="AY114" i="97" s="1"/>
  <c r="AY129" i="97" s="1"/>
  <c r="AY132" i="97" s="1"/>
  <c r="AU126" i="97"/>
  <c r="AU114" i="97"/>
  <c r="AU129" i="97" s="1"/>
  <c r="AU132" i="9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<sst xmlns="http://schemas.openxmlformats.org/spreadsheetml/2006/main" count="1713" uniqueCount="566">
  <si>
    <t>DTR</t>
  </si>
  <si>
    <t>Bán ngoài</t>
  </si>
  <si>
    <t>Mẹ-Con</t>
  </si>
  <si>
    <t>Con-Con</t>
  </si>
  <si>
    <t>URP đầu kỳ</t>
  </si>
  <si>
    <t>URP cuối kỳ</t>
  </si>
  <si>
    <t>URP-DK</t>
  </si>
  <si>
    <t>URP-CK</t>
  </si>
  <si>
    <t>LG-BN</t>
  </si>
  <si>
    <t>LG-MC</t>
  </si>
  <si>
    <t>LG-CC</t>
  </si>
  <si>
    <t>VND</t>
  </si>
  <si>
    <t>1</t>
  </si>
  <si>
    <t>ĐỒNG LÂM</t>
  </si>
  <si>
    <t>KHÁNH NGA</t>
  </si>
  <si>
    <t>Vảy PET</t>
  </si>
  <si>
    <t>ĐẠI LỘC</t>
  </si>
  <si>
    <t>TỔNG</t>
  </si>
  <si>
    <t>Check</t>
  </si>
  <si>
    <t>PHẦN II-KẾT QUẢ HOẠT ĐỘNG KINH DOANH</t>
  </si>
  <si>
    <t>1.Doanh thu bán hàng và cung cấp dịch vụ</t>
  </si>
  <si>
    <t>2.Các khoản giảm trừ doanh thu</t>
  </si>
  <si>
    <t>3.Doanh thu thuần về bán hàng và cung cấp dịch vụ</t>
  </si>
  <si>
    <t>4.Giá vốn hàng bán</t>
  </si>
  <si>
    <t>5.Lợi nhuận gộp về bán hàng</t>
  </si>
  <si>
    <t>6.Lãi/lỗ của hoạt động bán, thanh lý bất động sản đầu tư</t>
  </si>
  <si>
    <t>7.Doanh thu hoạt động tài chính</t>
  </si>
  <si>
    <t>8.Chi phí tài chính</t>
  </si>
  <si>
    <t>Trong đó: Chi phí lãi vay</t>
  </si>
  <si>
    <t>9.Chi phí bán hàng</t>
  </si>
  <si>
    <t>10.Chi phí quản lý doanh nghiệp</t>
  </si>
  <si>
    <t>11.Lợi nhuận thuần từ hoạt động kinh doanh</t>
  </si>
  <si>
    <t>12.Thu nhập khác</t>
  </si>
  <si>
    <t>13.Chi phí khác</t>
  </si>
  <si>
    <t>14.Lợi nhuận khác</t>
  </si>
  <si>
    <t xml:space="preserve">15.Tổng lợi nhuận kế toán trước thuế </t>
  </si>
  <si>
    <t>16.Chi phí thuế TNDN hiện hành</t>
  </si>
  <si>
    <t>17.Chi phí thuế TNDN hoãn lại</t>
  </si>
  <si>
    <t>18.Lợi nhuận sau thuế thu nhập doanh nghiệp</t>
  </si>
  <si>
    <t>Index PL</t>
  </si>
  <si>
    <t>Sản lượng (tấn)</t>
  </si>
  <si>
    <t>CTY CP NHỰA TÁI CHẾ DUY TÂN</t>
  </si>
  <si>
    <t>TenCongTyID</t>
  </si>
  <si>
    <t>T01.2026</t>
  </si>
  <si>
    <t>T02.2026</t>
  </si>
  <si>
    <t>T03.2026</t>
  </si>
  <si>
    <t>T04.2026</t>
  </si>
  <si>
    <t>T05.2026</t>
  </si>
  <si>
    <t>T06.2026</t>
  </si>
  <si>
    <t>T07.2026</t>
  </si>
  <si>
    <t>T08.2026</t>
  </si>
  <si>
    <t>T09.2026</t>
  </si>
  <si>
    <t>T10.2026</t>
  </si>
  <si>
    <t>T11.2026</t>
  </si>
  <si>
    <t>T12.2026</t>
  </si>
  <si>
    <t>Sản lượng (kg)</t>
  </si>
  <si>
    <t>Sản lượng (Tấn)</t>
  </si>
  <si>
    <t>GROUP TÁI CHẾ</t>
  </si>
  <si>
    <t>DTT-BN</t>
  </si>
  <si>
    <t>DTT-MC</t>
  </si>
  <si>
    <t>DTT-CC</t>
  </si>
  <si>
    <t>TL-TSCĐ-BN</t>
  </si>
  <si>
    <t>511-BN</t>
  </si>
  <si>
    <t>521-BN</t>
  </si>
  <si>
    <t>632-BN</t>
  </si>
  <si>
    <t>511-MC</t>
  </si>
  <si>
    <t>521-MC</t>
  </si>
  <si>
    <t>632-MC</t>
  </si>
  <si>
    <t>632-CC</t>
  </si>
  <si>
    <t>TL-TSCĐ-MC</t>
  </si>
  <si>
    <t>TL-TSCĐ-CC</t>
  </si>
  <si>
    <t>511-CC</t>
  </si>
  <si>
    <t>521-CC</t>
  </si>
  <si>
    <t>SL-BN</t>
  </si>
  <si>
    <t>SL-MC</t>
  </si>
  <si>
    <t>SL-CC</t>
  </si>
  <si>
    <t>T1</t>
  </si>
  <si>
    <t>T2</t>
  </si>
  <si>
    <t>MỤC TIÊU KẾT QUẢ KINH DOANH NĂM 2026</t>
  </si>
  <si>
    <t>ĐVT: Triệu đồng</t>
  </si>
  <si>
    <t>STT</t>
  </si>
  <si>
    <t>Mục phí</t>
  </si>
  <si>
    <t>Thực tế năm 2024</t>
  </si>
  <si>
    <t>KQKD 2025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</si>
  <si>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</si>
  <si>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</si>
  <si>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</si>
  <si>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</si>
  <si>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</si>
  <si>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</si>
  <si>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</si>
  <si>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</si>
  <si>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</si>
  <si>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</si>
  <si>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KH 2026</t>
  </si>
  <si>
    <t>SẢN LƯỢNG BÁN (TẤN)</t>
  </si>
  <si>
    <t>1.1</t>
  </si>
  <si>
    <t>Chai PET</t>
  </si>
  <si>
    <t>1.2</t>
  </si>
  <si>
    <t>1.3</t>
  </si>
  <si>
    <t>Vảy HD</t>
  </si>
  <si>
    <t>Dây Đai PET</t>
  </si>
  <si>
    <t xml:space="preserve">DOANH THU </t>
  </si>
  <si>
    <t>2.1</t>
  </si>
  <si>
    <t>2.2</t>
  </si>
  <si>
    <t>2.3</t>
  </si>
  <si>
    <t>2.4</t>
  </si>
  <si>
    <t>Khác</t>
  </si>
  <si>
    <t>BIẾN PHÍ</t>
  </si>
  <si>
    <t>BIẾN PHÍ SẢN XUẤT</t>
  </si>
  <si>
    <t>3.1.1</t>
  </si>
  <si>
    <t>Nguyên vật liệu chính (nhựa, gồm hao hụt)</t>
  </si>
  <si>
    <t>3.1.2</t>
  </si>
  <si>
    <t>Trong đó: i/ Hao hụt CĐ phân loại chai</t>
  </si>
  <si>
    <t xml:space="preserve">               ii/ Hao hụt CĐ băm vảy</t>
  </si>
  <si>
    <t>3.1.3</t>
  </si>
  <si>
    <t>% chi phí nguyên liệu/doanh thu</t>
  </si>
  <si>
    <t>3.1.4</t>
  </si>
  <si>
    <t>Vật tư tiêu hao(dao băm, dao tách nhãn, bùn, nhãn, dao jumbo, dây đai)</t>
  </si>
  <si>
    <t>3.1.5</t>
  </si>
  <si>
    <t>Điện sản xuất</t>
  </si>
  <si>
    <t>3.1.6</t>
  </si>
  <si>
    <t>Nhân công trực tiếp</t>
  </si>
  <si>
    <t>BIẾN PHÍ BÁN HÀNG</t>
  </si>
  <si>
    <t>Chi phí vận chuyển</t>
  </si>
  <si>
    <t>LÃI SAU BIẾN PHÍ</t>
  </si>
  <si>
    <t>4.1</t>
  </si>
  <si>
    <t>% lãi biến phí/doanh thu</t>
  </si>
  <si>
    <t>CHI PHÍ SẢN XUẤT CHUNG</t>
  </si>
  <si>
    <t>Lương gián tiếp Sản xuất</t>
  </si>
  <si>
    <t>Chi phí thuê xưởng</t>
  </si>
  <si>
    <t>Chi phí sản xuất (Ngoài lương, BOM, thuê xưởng, khấu hao)</t>
  </si>
  <si>
    <t>CHI PHÍ KHẤU HAO, CCDC</t>
  </si>
  <si>
    <t>LỢI NHUẬN GỘP</t>
  </si>
  <si>
    <t>7.1</t>
  </si>
  <si>
    <t>% lãi gộp/doanh thu</t>
  </si>
  <si>
    <t>CHI PHÍ BÁN HÀNG &amp; MKT &amp; R&amp;D</t>
  </si>
  <si>
    <t>Lương</t>
  </si>
  <si>
    <t>Chi phí bán hàng (ngoài lương, khấu hao)</t>
  </si>
  <si>
    <t>Khấu hao tài sản</t>
  </si>
  <si>
    <t>CHI PHÍ QUẢN LÝ</t>
  </si>
  <si>
    <t>Chuyển CP lương Bp MH + An toàn: 627 -&gt; 642</t>
  </si>
  <si>
    <t>Chi phí quản lý (ngoài lương, khấu hao)</t>
  </si>
  <si>
    <t>PS: lương GĐ</t>
  </si>
  <si>
    <t>DOANH THU/CHI PHÍ KHÁC</t>
  </si>
  <si>
    <t>LỢI NHUẬN THUẦN TỪ HOẠT ĐỘNG KINH DOANH</t>
  </si>
  <si>
    <t>DOANH THU TÀI CHÍNH</t>
  </si>
  <si>
    <t>CHI PHÍ TÀI CHÍNH</t>
  </si>
  <si>
    <t xml:space="preserve">Trong đó: chi phí lãi vay </t>
  </si>
  <si>
    <t>LỢI NHUẬN TRƯỚC THUẾ</t>
  </si>
  <si>
    <t>THUẾ TNDN</t>
  </si>
  <si>
    <t>LỢI NHUẬN SAU THUẾ</t>
  </si>
  <si>
    <t>16.1</t>
  </si>
  <si>
    <t>% LNST/doanh thu</t>
  </si>
  <si>
    <t>LỢI NHUẬN KHÔNG BAO GỒM KHẤU HAO, LÃI VAY</t>
  </si>
  <si>
    <t>18.1</t>
  </si>
  <si>
    <t>% LN không gồm khấu hao/doanh thu</t>
  </si>
  <si>
    <t>1. Hòa vốn (Bao gồm khấu hao)</t>
  </si>
  <si>
    <t>Sản lượng NVL hòa vốn (tấn)</t>
  </si>
  <si>
    <t>Sản lượng thành phẩm hòa vốn (tấn)</t>
  </si>
  <si>
    <t>Doanh thu hòa vốn (triệu đồng)</t>
  </si>
  <si>
    <t>2. Hòa vốn (Không bao gồm khấu hao)</t>
  </si>
  <si>
    <t>KẾ HOẠCH KINH DOANH NĂM 2026</t>
  </si>
  <si>
    <t>Thực tế năm 2023</t>
  </si>
  <si>
    <t>Thực tế năm 2025</t>
  </si>
  <si>
    <t>10/03/2026 DTR</t>
  </si>
  <si>
    <t>SẢN LƯỢNG NVL MUA VÀO (Tấn)</t>
  </si>
  <si>
    <t>3.1</t>
  </si>
  <si>
    <t>Nguyên vật liệu phụ</t>
  </si>
  <si>
    <t>3.2</t>
  </si>
  <si>
    <t>5.1</t>
  </si>
  <si>
    <t>5.2</t>
  </si>
  <si>
    <t>Chi phí thuê MMTB</t>
  </si>
  <si>
    <t>5.3</t>
  </si>
  <si>
    <t>CHI PHÍ KHẤU HAO</t>
  </si>
  <si>
    <t>8.1</t>
  </si>
  <si>
    <t>8.2</t>
  </si>
  <si>
    <t>8.3</t>
  </si>
  <si>
    <t>9.1</t>
  </si>
  <si>
    <t>9.2</t>
  </si>
  <si>
    <t>9.3</t>
  </si>
  <si>
    <t xml:space="preserve">                                                                </t>
  </si>
  <si>
    <t>13.1</t>
  </si>
  <si>
    <t>Kế hoạch 2026</t>
  </si>
  <si>
    <t>Tốc độ tăng các khoản mục</t>
  </si>
  <si>
    <t>KTT xác nhận qua mail</t>
  </si>
  <si>
    <t>Diễn giải tốc độ tăng của các khoản mục</t>
  </si>
  <si>
    <t xml:space="preserve">Theo định hướng của công ty </t>
  </si>
  <si>
    <t>Tăng chi phí lương của Vương Hùng Duy (QLSX) và Hoàng Dương Trọng Hải (Đại điện pháp luật)</t>
  </si>
  <si>
    <t>Chi phí bảo trì, sửa chữa nhà máy</t>
  </si>
  <si>
    <t>HỢP NHẤT</t>
  </si>
  <si>
    <t>ĐIỀU CHỈNH</t>
  </si>
  <si>
    <t>TÂN ĐẠI PHÁT</t>
  </si>
  <si>
    <t>LƯU CÔNG THỨC</t>
  </si>
  <si>
    <t>Phân bổ LG nội bộ</t>
  </si>
  <si>
    <t>3 TRẠM</t>
  </si>
  <si>
    <t>Version Mới</t>
  </si>
  <si>
    <t>Version Cũ</t>
  </si>
  <si>
    <t>+/-</t>
  </si>
  <si>
    <t>%+/-</t>
  </si>
  <si>
    <t>Đồng Lâm</t>
  </si>
  <si>
    <t>Khánh Nga</t>
  </si>
  <si>
    <t>Đại Lộc</t>
  </si>
  <si>
    <t>+/- Đồng Lâm</t>
  </si>
  <si>
    <t>+/- Khánh Nga</t>
  </si>
  <si>
    <t>+/- Đại Lộc</t>
  </si>
  <si>
    <t>%+/- Đồng Lâm</t>
  </si>
  <si>
    <t>%+/- Khánh Nga</t>
  </si>
  <si>
    <t>%+/- Đại Lộc</t>
  </si>
  <si>
    <t>%LG</t>
  </si>
  <si>
    <t>%LNST</t>
  </si>
  <si>
    <t>CÂN ĐỐI KẾ TOÁN</t>
  </si>
  <si>
    <t>TÀI SẢN NGẮN HẠN</t>
  </si>
  <si>
    <t>Tiền mặt &amp; tương đương tiền</t>
  </si>
  <si>
    <t>Đầu tư ngắn hạn</t>
  </si>
  <si>
    <t>Các khoản phải thu ngắn hạn</t>
  </si>
  <si>
    <t>Phải thu thương mại</t>
  </si>
  <si>
    <t>Trả trước cho người bán</t>
  </si>
  <si>
    <t>Các khoản phải thu khác</t>
  </si>
  <si>
    <t>Hàng tồn kho</t>
  </si>
  <si>
    <t>Tài sản ngắn hạn khác</t>
  </si>
  <si>
    <t>TÀI SẢN DÀI HẠN</t>
  </si>
  <si>
    <t>Tài sản cố định</t>
  </si>
  <si>
    <t>Tài sản cố định hữu hình</t>
  </si>
  <si>
    <t>Nguyên giá</t>
  </si>
  <si>
    <t>Khấu hao lũy kế</t>
  </si>
  <si>
    <t>Tài sản thuê tài chính</t>
  </si>
  <si>
    <t>Tài sản cố định vô hình</t>
  </si>
  <si>
    <t>Chi phí dở dang dài hạn</t>
  </si>
  <si>
    <t>Xây dựng cơ bản dở dang</t>
  </si>
  <si>
    <t>Tài sản dài hạn khác</t>
  </si>
  <si>
    <t>Lợi thế thương mại</t>
  </si>
  <si>
    <t>Đầu tư dài hạn</t>
  </si>
  <si>
    <t>Đầu tư vào công ty con</t>
  </si>
  <si>
    <t>Investment in associates, joint ventures</t>
  </si>
  <si>
    <t>Investment in other entities</t>
  </si>
  <si>
    <t>TỔNG TÀI SẢN</t>
  </si>
  <si>
    <t>NỢ PHẢI TRẢ</t>
  </si>
  <si>
    <t>Nợ ngắn hạn</t>
  </si>
  <si>
    <t>Vay ngắn hạn</t>
  </si>
  <si>
    <t>Phải trả thương mại</t>
  </si>
  <si>
    <t>Nợ ngắn hạn khác</t>
  </si>
  <si>
    <t>Nợ dài hạn</t>
  </si>
  <si>
    <t>Vay dài hạn</t>
  </si>
  <si>
    <t>Nợ dài hạn khác</t>
  </si>
  <si>
    <t>VỐN CHỦ SỞ HỮU</t>
  </si>
  <si>
    <t>Vốn cổ phần</t>
  </si>
  <si>
    <t>Quỹ đầu tư &amp; phát triển</t>
  </si>
  <si>
    <t>Financial reserves</t>
  </si>
  <si>
    <t>Lợi nhuận để lại</t>
  </si>
  <si>
    <t>TỔNG NGUỒN VỐN</t>
  </si>
  <si>
    <t>2026P</t>
  </si>
  <si>
    <t>2025E</t>
  </si>
  <si>
    <t>2025P</t>
  </si>
  <si>
    <t>PHẦN I-BÁO CÁO TÌNH HÌNH TÀI CHÍNH</t>
  </si>
  <si>
    <t>A-TÀI SẢN NGẮN HẠN</t>
  </si>
  <si>
    <t>I.Tiền và các khoản tương đương tiền</t>
  </si>
  <si>
    <t xml:space="preserve">1.Tiền </t>
  </si>
  <si>
    <t>2.Các khoản tương đương tiền</t>
  </si>
  <si>
    <t>II.Đầu tư tài chính ngắn hạn</t>
  </si>
  <si>
    <t>1.Chứng khoán kinh doanh</t>
  </si>
  <si>
    <t xml:space="preserve">2.Dự phòng giảm giá chứng khoán kinh doanh (*) </t>
  </si>
  <si>
    <t>3.Đầu tư nắm giữ đến ngày đáo hạn ngắn hạn</t>
  </si>
  <si>
    <t>4.Dự phòng đầu tư nắm giữ đến ngày đáo hạn ngắn hạn (*)</t>
  </si>
  <si>
    <t>5.Đầu tư ngắn hạn khác</t>
  </si>
  <si>
    <t>6.Dự phòng tổn thất các khoản đầu tư ngắn hạn khác (*)</t>
  </si>
  <si>
    <t>III.Các khoản phải thu ngắn hạn</t>
  </si>
  <si>
    <t>1.Phải thu ngắn hạn của khách hàng</t>
  </si>
  <si>
    <t>2.Trả trước cho người bán ngắn hạn</t>
  </si>
  <si>
    <t>3.Phải thu nội bộ ngắn hạn</t>
  </si>
  <si>
    <t>4.Phải thu theo tiến độ hợp đồng xây dựng</t>
  </si>
  <si>
    <t>5.Phải thu ngắn hạn khác</t>
  </si>
  <si>
    <t>6.Dự phòng phải thu ngắn hạn khó đòi (*)</t>
  </si>
  <si>
    <t>7.Tài sản thiếu chờ xử lý</t>
  </si>
  <si>
    <t>IV. Hàng tồn kho</t>
  </si>
  <si>
    <t>1.Hàng tồn kho</t>
  </si>
  <si>
    <t>2.Dự phòng giảm giá hàng tồn kho (*)</t>
  </si>
  <si>
    <t>V. Tài sản sinh học ngắn hạn</t>
  </si>
  <si>
    <t>1.Súc vật nuôi lấy sản phẩm một lần ngắn hạn</t>
  </si>
  <si>
    <t>2.Cây trồng theo mùa vụ hoặc lấy sản phẩm một lần ngắn hạn</t>
  </si>
  <si>
    <t>3.Dự phòng tổn thất tài sản sinh học ngắn hạn (*)</t>
  </si>
  <si>
    <t>VI. Tài sản ngắn hạn khác</t>
  </si>
  <si>
    <t>1.Chi phí chờ phân bổ ngắn hạn</t>
  </si>
  <si>
    <t>2.Thuế GTGT được khấu trừ</t>
  </si>
  <si>
    <t>3.Thuế và các khoản khác phải thu Nhà nước</t>
  </si>
  <si>
    <t>4.Giao dịch mua bán lại trái phiếu Chính phủ</t>
  </si>
  <si>
    <t>5.Tài sản ngắn hạn khác</t>
  </si>
  <si>
    <t>B-TÀI SẢN DÀI HẠN</t>
  </si>
  <si>
    <t>I.Các khoản phải thu dài hạn</t>
  </si>
  <si>
    <t>1.Phải thu dài hạn của khách hàng</t>
  </si>
  <si>
    <t>2.Trả trước cho người bán dài hạn</t>
  </si>
  <si>
    <t>3.Vốn kinh doanh ở đơn vị trực thuộc</t>
  </si>
  <si>
    <t>4.Phải thu nội bộ dài hạn</t>
  </si>
  <si>
    <t>5.Phải thu dài hạn khác</t>
  </si>
  <si>
    <t>6.Dự phòng phải thu dài hạn khó đòi (*)</t>
  </si>
  <si>
    <t>II.Tài sản cố định</t>
  </si>
  <si>
    <t>1.Tài sản cố định hữu hình</t>
  </si>
  <si>
    <t>Nguyên giá TSCĐ HH</t>
  </si>
  <si>
    <t>Giá trị hao mòn luỹ kế TSCĐ HH(*)</t>
  </si>
  <si>
    <t>2. Tài sản cố định thuê tài chính</t>
  </si>
  <si>
    <t>Nguyên giá TSCĐ thuê tài chính</t>
  </si>
  <si>
    <t>Giá trị hao mòn luỹ kế TSCĐ thuê tài chính</t>
  </si>
  <si>
    <t>3. Tài sản cố định vô hình</t>
  </si>
  <si>
    <t>Nguyên giá TSCĐ vô hình</t>
  </si>
  <si>
    <t>Giá trị hao mòn luỹ kế TSCĐ vô hình(*)</t>
  </si>
  <si>
    <t>III.Tài sản sinh học dài hạn</t>
  </si>
  <si>
    <t>1.Súc vật nuôi cho sản phẩm định kỳ</t>
  </si>
  <si>
    <t>a)Súc vật nuôi cho sản phẩm định kỳ chưa đến giai đoạn trưởng thành</t>
  </si>
  <si>
    <t>b)Súc vật nuôi cho sản phẩm định kỳ đến giai đoạn trưởng thành</t>
  </si>
  <si>
    <t>Giá trị khấu hao lũy kế (*)</t>
  </si>
  <si>
    <t>2.Súc vật nuôi lấy sản phẩm một lần dài hạn</t>
  </si>
  <si>
    <t>3.Cây trồng theo mùa vụ hoặc lấy sản phẩm một lần dài hạn</t>
  </si>
  <si>
    <t>4.Dự phòng tổn thất tài sản sinh học dài hạn</t>
  </si>
  <si>
    <t>IV. Bất động sản đầu tư</t>
  </si>
  <si>
    <t>Nguyên giá bất động sản đầu tư</t>
  </si>
  <si>
    <t>Giá trị hao mòn luỹ kế BĐSĐT(*)</t>
  </si>
  <si>
    <t>V.Tài sản dở dang dài hạn</t>
  </si>
  <si>
    <t>1.Chi phí sản xuất, kinh doanh dở dang dài hạn</t>
  </si>
  <si>
    <t>2.Chi phí xây dựng cơ bản dở dang</t>
  </si>
  <si>
    <t>VI.Đầu tư tài chính dài hạn</t>
  </si>
  <si>
    <t xml:space="preserve">1.Đầu tư vào công ty con </t>
  </si>
  <si>
    <t>2.Đầu tư vào công ty liên doanh, liên kết</t>
  </si>
  <si>
    <t>3.Đầu tư góp vốn vào đơn vị khác</t>
  </si>
  <si>
    <t>4.Dự phòng tổn thất đầu tư vào đơn vị khác dài hạn(*)</t>
  </si>
  <si>
    <t>5.Đầu tư nắm giữ đến ngày đáo hạn dài hạn</t>
  </si>
  <si>
    <t>6.Dự phòng đầu tư nắm giữ đến ngày đáo hạn dài hạn (*)</t>
  </si>
  <si>
    <t>VII.Tài sản dài hạn khác</t>
  </si>
  <si>
    <t>1.Chi phí chờ phân bổ dài hạn</t>
  </si>
  <si>
    <t>2.Tài sản thuế thu nhập hoãn lại</t>
  </si>
  <si>
    <t>3.Thiết bị, vật tư, phụ tùng thay thế dài hạn</t>
  </si>
  <si>
    <t>4.Tài sản dài hạn khác</t>
  </si>
  <si>
    <t>C-NỢ PHẢI TRẢ</t>
  </si>
  <si>
    <t>I.Nợ ngắn hạn</t>
  </si>
  <si>
    <t>1.Phải trả người bán ngắn hạn</t>
  </si>
  <si>
    <t>2.Người mua trả tiền trước ngắn hạn</t>
  </si>
  <si>
    <t>3.Phải trả cổ tức, lợi nhuận</t>
  </si>
  <si>
    <t>4.Thuế và các khoản phải nộp Nhà nước ngắn hạn</t>
  </si>
  <si>
    <t>5.Phải trả người lao động</t>
  </si>
  <si>
    <t>6.Chi phí phải trả ngắn hạn</t>
  </si>
  <si>
    <t>7.Phải trả nội bộ ngắn hạn</t>
  </si>
  <si>
    <t>8.Phải trả theo tiến độ hợp đồng xây dựng ngắn hạn</t>
  </si>
  <si>
    <t>9.Doanh thu chờ phân bổ ngắn hạn</t>
  </si>
  <si>
    <t>10.Phải trả ngắn hạn khác</t>
  </si>
  <si>
    <t>11.Vay và nợ thuê tài chính ngắn hạn</t>
  </si>
  <si>
    <t xml:space="preserve">12.Dự phòng phải trả ngắn hạn </t>
  </si>
  <si>
    <t>13.Quỹ khen thưởng, phúc lợi</t>
  </si>
  <si>
    <t>14.Quỹ bình ổn giá</t>
  </si>
  <si>
    <t>15.Giao dịch mua bán lại trái phiếu Chính phủ</t>
  </si>
  <si>
    <t>II.Nợ dài hạn</t>
  </si>
  <si>
    <t>1.Phải trả người bán dài hạn</t>
  </si>
  <si>
    <t>2.Người mua trả tiền trước dài hạn</t>
  </si>
  <si>
    <t>3.Thuế và các khoản phải nộp Nhà nước dài hạn</t>
  </si>
  <si>
    <t>4.Chi phí phải trả dài hạn</t>
  </si>
  <si>
    <t>5.Phải trả nội bộ về vốn kinh doanh</t>
  </si>
  <si>
    <t>6.Phải trả nội bộ dài hạn</t>
  </si>
  <si>
    <t>7.Doanh thu chờ phân bổ dài hạn</t>
  </si>
  <si>
    <t>8.Phải trả dài hạn khác</t>
  </si>
  <si>
    <t xml:space="preserve">9.Vay và nợ thuê tài chính dài hạn </t>
  </si>
  <si>
    <t>10.Trái phiếu chuyển đổi</t>
  </si>
  <si>
    <t>11.Cổ phiếu ưu đãi</t>
  </si>
  <si>
    <t xml:space="preserve">12.Thuế thu nhập hoãn lại phải trả </t>
  </si>
  <si>
    <t xml:space="preserve">13.Dự phòng phải trả dài hạn </t>
  </si>
  <si>
    <t>14.Quỹ phát triển khoa học và công nghệ</t>
  </si>
  <si>
    <t>D-VỐN CHỦ SỞ HỮU</t>
  </si>
  <si>
    <t>1.Vốn góp của chủ sở hữu</t>
  </si>
  <si>
    <t>-Cổ phiếu phổ thông có quyền biểu quyết</t>
  </si>
  <si>
    <t>-Cổ phiếu ưu đãi</t>
  </si>
  <si>
    <t>2.Thặng dư vốn</t>
  </si>
  <si>
    <t>3.Quyền chọn chuyển đổi trái phiếu</t>
  </si>
  <si>
    <t xml:space="preserve">4.Vốn khác của chủ sở hữu </t>
  </si>
  <si>
    <t>5.Cổ phiếu mua lại của chính mình (*)</t>
  </si>
  <si>
    <t>6.Chênh lệch đánh giá lại tài sản</t>
  </si>
  <si>
    <t>7.Chênh lệch tỷ giá hối đoái</t>
  </si>
  <si>
    <t>8.Quỹ đầu tư phát triển</t>
  </si>
  <si>
    <t>9.Quỹ khác thuộc vốn chủ sở hữu</t>
  </si>
  <si>
    <t>10.Lợi nhuận sau thuế chưa phân phối</t>
  </si>
  <si>
    <t>-LNST chưa phân phối lũy kế đến cuối kỳ trước</t>
  </si>
  <si>
    <t>-LNST chưa phân phối kỳ này</t>
  </si>
  <si>
    <t>TỔNG NGUỒN VỐN</t>
  </si>
  <si>
    <t>T01.2024</t>
  </si>
  <si>
    <t>T02.2024</t>
  </si>
  <si>
    <t>T03.2024</t>
  </si>
  <si>
    <t>T04.2024</t>
  </si>
  <si>
    <t>T05.2024</t>
  </si>
  <si>
    <t>T06.2024</t>
  </si>
  <si>
    <t>T07.2024</t>
  </si>
  <si>
    <t>T08.2024</t>
  </si>
  <si>
    <t>T09.2024</t>
  </si>
  <si>
    <t>T10.2024</t>
  </si>
  <si>
    <t>T11.2024</t>
  </si>
  <si>
    <t>T12.2024</t>
  </si>
  <si>
    <t>T01.2025</t>
  </si>
  <si>
    <t>T02.2025</t>
  </si>
  <si>
    <t>T03.2025</t>
  </si>
  <si>
    <t>T04.2025</t>
  </si>
  <si>
    <t>T05.2025</t>
  </si>
  <si>
    <t>T06.2025</t>
  </si>
  <si>
    <t>T07.2025</t>
  </si>
  <si>
    <t>T08.2025</t>
  </si>
  <si>
    <t>T09.2025</t>
  </si>
  <si>
    <t>T10.2025</t>
  </si>
  <si>
    <t>T11.2025</t>
  </si>
  <si>
    <t>T12.2025</t>
  </si>
  <si>
    <t>Index BS</t>
  </si>
  <si>
    <t>GHI CHÚ</t>
  </si>
  <si>
    <t>CHỈ TIÊU</t>
  </si>
  <si>
    <t>A - TÀI SẢN NGẮN HẠN (100 = 110 + 120 + 130 + 140 + 150)</t>
  </si>
  <si>
    <t>I. Tiền và các khoản tương đương tiền</t>
  </si>
  <si>
    <t>1. Tiền</t>
  </si>
  <si>
    <t>2. Các khoản tương đương tiền</t>
  </si>
  <si>
    <t>II. Các khoản đầu tư tài chính ngắn hạn</t>
  </si>
  <si>
    <t>1. Chứng khoán kinh doanh</t>
  </si>
  <si>
    <t>2. Dự phòng giảm giá chứng khoán kinh doanh (*)</t>
  </si>
  <si>
    <t>3. Đầu tư nắm giữ đến ngày đáo hạn</t>
  </si>
  <si>
    <t>III. Các khoản phải thu ngắn hạn</t>
  </si>
  <si>
    <t>1. Phải thu ngắn hạn của khách hàng</t>
  </si>
  <si>
    <t>2. Trả trước cho người bán ngắn hạn</t>
  </si>
  <si>
    <t>3. Phải thu nội bộ ngắn hạn</t>
  </si>
  <si>
    <t>4. Phải thu theo tiến độ kế hoạch hợp đồng xây dựng</t>
  </si>
  <si>
    <t>5. Phải thu về cho vay ngắn hạn</t>
  </si>
  <si>
    <t>6. Phải thu ngắn hạn khác</t>
  </si>
  <si>
    <t>7. Dự phòng phải thu ngắn hạn khó đòi (*)</t>
  </si>
  <si>
    <t>8. Tài sản thiếu chờ xử lý</t>
  </si>
  <si>
    <t>1. Hàng tồn kho</t>
  </si>
  <si>
    <t>2. Dự phòng giảm giá hàng tồn kho (*)</t>
  </si>
  <si>
    <t>V. Tài sản ngắn hạn khác</t>
  </si>
  <si>
    <t>1. Chi phí trả trước ngắn hạn</t>
  </si>
  <si>
    <t>2. Thuế GTGT được khấu trừ</t>
  </si>
  <si>
    <t>3. Thuế và các khoản phải thu Nhà nước</t>
  </si>
  <si>
    <t>4. Giao dịch mua bán lại trái phiếu Chính phủ</t>
  </si>
  <si>
    <t>5. Tài sản ngắn hạn khác</t>
  </si>
  <si>
    <t>B - TÀI SẢN DÀI HẠN (200 = 210 + 220 + 230 + 240 + 250 + 260)</t>
  </si>
  <si>
    <t>I. Các khoản phải thu dài hạn</t>
  </si>
  <si>
    <t>1. Phải thu dài hạn của khách hàng</t>
  </si>
  <si>
    <t>2. Trả trước cho người bán dài hạn</t>
  </si>
  <si>
    <t>3. Vốn kinh doanh ở đơn vị trực thuộc</t>
  </si>
  <si>
    <t>4. Phải thu nội bộ dài hạn</t>
  </si>
  <si>
    <t>5. Phải thu về cho vay dài hạn</t>
  </si>
  <si>
    <t>6. Phải thu dài hạn khác</t>
  </si>
  <si>
    <t>7. Dự phòng phải thu dài hạn khó đòi (*)</t>
  </si>
  <si>
    <t>II. Tài sản cố định</t>
  </si>
  <si>
    <t>1. TSCĐ hữu hình</t>
  </si>
  <si>
    <t>- Nguyên giá</t>
  </si>
  <si>
    <t>- Giá trị hao mòn lũy kế (*)</t>
  </si>
  <si>
    <t>2. TSCĐ thuê tài chính</t>
  </si>
  <si>
    <t>3. TSCĐ vô hình</t>
  </si>
  <si>
    <t>III. Bất động sản đầu tư</t>
  </si>
  <si>
    <t>IV. Tài sản dở dang dài hạn</t>
  </si>
  <si>
    <t>1. Chi phí sản xuất, kinh doanh dở dang dài hạn</t>
  </si>
  <si>
    <t>2. Chi phí xây dựng cơ bản dở dang</t>
  </si>
  <si>
    <t>V. Đầu tư tài chính dài hạn</t>
  </si>
  <si>
    <t>1. Đầu tư vào công ty con</t>
  </si>
  <si>
    <t>2. Đầu tư vào công ty liên doanh, liên kết</t>
  </si>
  <si>
    <t>3. Đầu tư góp vốn vào đơn vị khác</t>
  </si>
  <si>
    <t>TÁCH RA 70+72/CHƯA CÓ SỐ</t>
  </si>
  <si>
    <t>4. Dự phòng đầu tư tài chính dài hạn (*)</t>
  </si>
  <si>
    <t>5. Đầu tư nắm giữ đến ngày đáo hạn</t>
  </si>
  <si>
    <t>VI. Tài sản dài hạn khác</t>
  </si>
  <si>
    <t>1. Chi phí trả trước dài hạn</t>
  </si>
  <si>
    <t>2. Tài sản thuế thu nhập hoãn lại</t>
  </si>
  <si>
    <t>3. Thiết bị, vật tư, phụ tùng thay thế dài hạn</t>
  </si>
  <si>
    <t>4. Tài sản dài hạn khác</t>
  </si>
  <si>
    <t>TỔNG CỘNG TÀI SẢN (270 = 100 + 200)</t>
  </si>
  <si>
    <t>C - NỢ PHẢI TRẢ (300 = 310 + 320)</t>
  </si>
  <si>
    <t>I. Nợ ngắn hạn</t>
  </si>
  <si>
    <t>1. Phải trả người bán ngắn hạn</t>
  </si>
  <si>
    <t>2. Người mua trả tiền trước ngắn hạn</t>
  </si>
  <si>
    <t>3. Thuế và các khoản phải nộp Nhà nước</t>
  </si>
  <si>
    <t>4. Phải trả người lao động</t>
  </si>
  <si>
    <t>5. Chi phí phải trả ngắn hạn</t>
  </si>
  <si>
    <t>6. Phải trả nội bộ ngắn hạn</t>
  </si>
  <si>
    <t>7. Phải trả theo tiến độ kế hoạch hợp đồng xây dựng</t>
  </si>
  <si>
    <t>8. Doanh thu chưa thực hiện ngắn hạn</t>
  </si>
  <si>
    <t>TÁCH RA 83(TRẢ CỔ TỨC)+90</t>
  </si>
  <si>
    <t>9. Phải trả ngắn hạn khác</t>
  </si>
  <si>
    <t>10. Vay và nợ thuê tài chính ngắn hạn</t>
  </si>
  <si>
    <t>11. Dự phòng phải trả ngắn hạn</t>
  </si>
  <si>
    <t>12. Quỹ khen thưởng, phúc lợi</t>
  </si>
  <si>
    <t>13. Quỹ bình ổn giá</t>
  </si>
  <si>
    <t>14. Giao dịch mua bán lại trái phiếu Chính phủ</t>
  </si>
  <si>
    <t>II. Nợ dài hạn</t>
  </si>
  <si>
    <t>1. Phải trả người bán dài hạn</t>
  </si>
  <si>
    <t>2. Người mua trả tiền trước dài hạn</t>
  </si>
  <si>
    <t>3. Chi phí phải trả dài hạn</t>
  </si>
  <si>
    <t>4. Phải trả nội bộ về vốn kinh doanh</t>
  </si>
  <si>
    <t>5. Phải trả nội bộ dài hạn</t>
  </si>
  <si>
    <t>6. Doanh thu chưa thực hiện dài hạn</t>
  </si>
  <si>
    <t>TÁCH RA 99(PHẢI TRẢ NHÀ NƯỚC DÀI HẠN)+104</t>
  </si>
  <si>
    <t>7. Phải trả dài hạn khác</t>
  </si>
  <si>
    <t>8. Vay và nợ thuê tài chính dài hạn</t>
  </si>
  <si>
    <t>9. Trái phiếu chuyển đổi</t>
  </si>
  <si>
    <t>10. Cổ phiếu ưu đãi</t>
  </si>
  <si>
    <t>11. Thuế thu nhập hoãn lại phải trả</t>
  </si>
  <si>
    <t>12. Dự phòng phải trả dài hạn</t>
  </si>
  <si>
    <t>13. Quỹ phát triển khoa học và công nghệ</t>
  </si>
  <si>
    <t>D - VỐN CHỦ SỞ HỮU (400 = 410 + 430)</t>
  </si>
  <si>
    <t>I. Vốn chủ sở hữu</t>
  </si>
  <si>
    <t>1. Vốn góp của chủ sở hữu</t>
  </si>
  <si>
    <t>- Cổ phiếu phổ thông có quyền biểu quyết</t>
  </si>
  <si>
    <t>- Cổ phiếu ưu đãi</t>
  </si>
  <si>
    <t>2. Thặng dư vốn cổ phần</t>
  </si>
  <si>
    <t>3. Quyền chọn chuyển đổi trái phiếu</t>
  </si>
  <si>
    <t>4. Vốn khác của chủ sở hữu</t>
  </si>
  <si>
    <t>5. Cổ phiếu quỹ (*)</t>
  </si>
  <si>
    <t>6. Chênh lệch đánh giá lại tài sản</t>
  </si>
  <si>
    <t>7. Chênh lệch tỷ giá hối đoái</t>
  </si>
  <si>
    <t>8. Quỹ đầu tư phát triển</t>
  </si>
  <si>
    <t>9. Quỹ hỗ trợ sắp xếp doanh nghiệp</t>
  </si>
  <si>
    <t>10. Quỹ khác thuộc vốn chủ sở hữu</t>
  </si>
  <si>
    <t>11. Lợi nhuận sau thuế chưa phân phối</t>
  </si>
  <si>
    <t>- LNST chưa phân phối lũy kế đến cuối kỳ trước</t>
  </si>
  <si>
    <t>- LNST chưa phân phối kỳ này</t>
  </si>
  <si>
    <t>12. Nguồn vốn đầu tư XDCB</t>
  </si>
  <si>
    <t>II. Nguồn kinh phí và quỹ khác</t>
  </si>
  <si>
    <t>1. Nguồn kinh phí</t>
  </si>
  <si>
    <t>2. Nguồn kinh phí đã hình thành TSCĐ</t>
  </si>
  <si>
    <t>TỔNG CỘNG NGUỒN VỐN (440 = 300 + 400)</t>
  </si>
  <si>
    <t>Index-Link TNHH</t>
  </si>
  <si>
    <t>x</t>
  </si>
  <si>
    <t>KH26</t>
  </si>
  <si>
    <t>Số ngày tồn kho</t>
  </si>
  <si>
    <t>KH26-01</t>
  </si>
  <si>
    <t>KH26-02</t>
  </si>
  <si>
    <t>KH26-03</t>
  </si>
  <si>
    <t>KH26-04</t>
  </si>
  <si>
    <t>KH26-05</t>
  </si>
  <si>
    <t>KH26-06</t>
  </si>
  <si>
    <t>KH26-07</t>
  </si>
  <si>
    <t>KH26-08</t>
  </si>
  <si>
    <t>KH26-09</t>
  </si>
  <si>
    <t>KH26-10</t>
  </si>
  <si>
    <t>KH26-11</t>
  </si>
  <si>
    <t>KH26-12</t>
  </si>
  <si>
    <t>Doanh thu</t>
  </si>
  <si>
    <t>Giá vốn</t>
  </si>
  <si>
    <t>Lãi gộp</t>
  </si>
  <si>
    <t>Số ngày phải thu</t>
  </si>
  <si>
    <t>%Lãi gộp</t>
  </si>
  <si>
    <t>Lãi vay</t>
  </si>
  <si>
    <t>Lợi nhuận sau thuế</t>
  </si>
  <si>
    <t>Đvt</t>
  </si>
  <si>
    <t>Số ngày phải trả</t>
  </si>
  <si>
    <t>SẢN LƯỢNG SẢN XUẤT (TẤN)</t>
  </si>
  <si>
    <t>tr.đ</t>
  </si>
  <si>
    <t>ngày</t>
  </si>
  <si>
    <t>VỐN LƯU ĐỘNG</t>
  </si>
  <si>
    <t>Khấu hao</t>
  </si>
  <si>
    <t>%Lãi vay</t>
  </si>
  <si>
    <t>%Khấu hao</t>
  </si>
  <si>
    <t>Lợi nhuận trước thuế</t>
  </si>
  <si>
    <t>ROA</t>
  </si>
  <si>
    <t>ROE</t>
  </si>
  <si>
    <t>%Lợi nhuận sau thuế</t>
  </si>
  <si>
    <t>%</t>
  </si>
  <si>
    <t>lần</t>
  </si>
  <si>
    <t>Vòng quay tài sản</t>
  </si>
  <si>
    <t>Tổng tài sản/VCSH</t>
  </si>
  <si>
    <t>EBITDA</t>
  </si>
  <si>
    <t>%EBITDA</t>
  </si>
  <si>
    <t>Chi phí bán hàng</t>
  </si>
  <si>
    <t>%Cpbh</t>
  </si>
  <si>
    <t>Chi phí quản lý</t>
  </si>
  <si>
    <t>%Cpql</t>
  </si>
  <si>
    <t>Các chỉ tiêu nợ vay</t>
  </si>
  <si>
    <t>Nợ vay / Doanh thu</t>
  </si>
  <si>
    <t>Nợ vay / VCSH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</si>
</sst>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(* #,##0_);_(* \(#,##0\);_(* &quot;-&quot;??_);_(@_)"/>
    <numFmt numFmtId="165" formatCode="_-* #,##0.00\ _₫_-;\-* #,##0.00\ _₫_-;_-* &quot;-&quot;??\ _₫_-;_-@_-"/>
    <numFmt numFmtId="166" formatCode="_(* #,##0.0_);_(* \(#,##0.0\);_(* &quot;-&quot;??_);_(@_)"/>
    <numFmt numFmtId="167" formatCode="_-* #,##0.00_-;\-* #,##0.00_-;_-* &quot;-&quot;??_-;_-@_-"/>
    <numFmt numFmtId="168" formatCode="0.0%"/>
    <numFmt numFmtId="169" formatCode="#,###,,;\(#,###,,\)"/>
    <numFmt numFmtId="170" formatCode="#,###,,"/>
    <numFmt numFmtId="171" formatCode="#,###,;\(#,###,\)"/>
    <numFmt numFmtId="172" formatCode="#,###,"/>
    <numFmt numFmtId="173" formatCode="\ \ @"/>
    <numFmt numFmtId="174" formatCode="0%;\(0%\)"/>
    <numFmt numFmtId="175" formatCode="0.0%;\(0.0%\)"/>
    <numFmt numFmtId="176" formatCode="_-* #,##0_-;\-* #,##0_-;_-* &quot;-&quot;??_-;_-@_-"/>
    <numFmt numFmtId="177" formatCode="_(* #,##0.000_);_(* \(#,##0.000\);_(* &quot;-&quot;??_);_(@_)"/>
    <numFmt numFmtId="178" formatCode="0_);\(0\)"/>
    <numFmt numFmtId="179" formatCode="0\ &quot;tháng&quot;"/>
    <numFmt numFmtId="180" formatCode="_(* #,##0_);_(* \(#,##0\);;_(@_)"/>
    <numFmt numFmtId="181" formatCode="0.0%;\-0.0%;;"/>
    <numFmt numFmtId="182" formatCode="mmm\.yy"/>
    <numFmt numFmtId="183" formatCode="_(* #,##0,,_);_(* \(#,##0,,\);;_(@_)"/>
  </numFmts>
  <fonts count="10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name val="Arial"/>
      <family val="2"/>
    </font>
    <font>
      <sz val="11"/>
      <color theme="1"/>
      <name val="Aptos Narrow"/>
      <family val="2"/>
      <charset val="163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color theme="0"/>
      <name val="Arial"/>
      <family val="2"/>
    </font>
    <font>
      <b/>
      <sz val="11"/>
      <color rgb="FF0000FF"/>
      <name val="Times New Roman"/>
      <family val="1"/>
    </font>
    <font>
      <b/>
      <sz val="11"/>
      <color indexed="12"/>
      <name val="Times New Roman"/>
      <family val="1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indexed="12"/>
      <name val="Arial"/>
      <family val="2"/>
    </font>
    <font>
      <sz val="11"/>
      <color indexed="8"/>
      <name val="Times New Roman"/>
      <family val="1"/>
    </font>
    <font>
      <sz val="10"/>
      <name val="VNI-Times"/>
    </font>
    <font>
      <b/>
      <sz val="12"/>
      <color rgb="FF0000FF"/>
      <name val="Times New Roman"/>
      <family val="1"/>
    </font>
    <font>
      <sz val="11"/>
      <name val="Times New Roman"/>
      <family val="1"/>
    </font>
    <font>
      <b/>
      <sz val="11"/>
      <color rgb="FFFF0000"/>
      <name val="Arial"/>
      <family val="2"/>
      <charset val="163"/>
    </font>
    <font>
      <b/>
      <sz val="13"/>
      <color theme="0"/>
      <name val="Times New Roman"/>
      <family val="1"/>
    </font>
    <font>
      <b/>
      <sz val="11"/>
      <color rgb="FFFF0000"/>
      <name val="Times New Roman"/>
      <family val="1"/>
    </font>
    <font>
      <b/>
      <u/>
      <sz val="11"/>
      <color rgb="FFFF0000"/>
      <name val="Times New Roman"/>
      <family val="1"/>
    </font>
    <font>
      <sz val="10"/>
      <name val="Times New Roman"/>
      <family val="1"/>
    </font>
    <font>
      <i/>
      <sz val="11"/>
      <color rgb="FF00B0F0"/>
      <name val="Times New Roman"/>
      <family val="1"/>
    </font>
    <font>
      <b/>
      <sz val="14"/>
      <color rgb="FFFF0000"/>
      <name val="Times New Roman"/>
      <family val="1"/>
    </font>
    <font>
      <b/>
      <sz val="11"/>
      <color rgb="FF0000FF"/>
      <name val="Times New Roman"/>
      <family val="1"/>
      <charset val="163"/>
    </font>
    <font>
      <b/>
      <u/>
      <sz val="11"/>
      <color rgb="FFFF0000"/>
      <name val="Times New Roman"/>
      <family val="1"/>
      <charset val="163"/>
    </font>
    <font>
      <sz val="11"/>
      <color indexed="12"/>
      <name val="Times New Roman"/>
      <family val="1"/>
    </font>
    <font>
      <sz val="11"/>
      <color rgb="FF0000FF"/>
      <name val="Times New Roman"/>
      <family val="1"/>
    </font>
    <font>
      <sz val="11"/>
      <color theme="5"/>
      <name val="Times New Roman"/>
      <family val="1"/>
    </font>
    <font>
      <b/>
      <sz val="11"/>
      <color theme="1"/>
      <name val="Times New Roman"/>
      <family val="1"/>
    </font>
    <font>
      <b/>
      <sz val="13"/>
      <color rgb="FF0000FF"/>
      <name val="Times New Roman"/>
      <family val="1"/>
    </font>
    <font>
      <b/>
      <sz val="13"/>
      <color indexed="12"/>
      <name val="Times New Roman"/>
      <family val="1"/>
    </font>
    <font>
      <sz val="13"/>
      <color theme="1"/>
      <name val="Times New Roman"/>
      <family val="1"/>
    </font>
    <font>
      <sz val="10"/>
      <color rgb="FF0000FF"/>
      <name val="Arial"/>
      <family val="2"/>
    </font>
    <font>
      <sz val="11"/>
      <color theme="3"/>
      <name val="Times New Roman"/>
      <family val="1"/>
    </font>
    <font>
      <sz val="11"/>
      <color rgb="FF00B0F0"/>
      <name val="Times New Roman"/>
      <family val="1"/>
    </font>
    <font>
      <sz val="11"/>
      <color rgb="FFFF0000"/>
      <name val="Times New Roman"/>
      <family val="1"/>
    </font>
    <font>
      <sz val="12"/>
      <name val="Aptos Narrow"/>
      <family val="2"/>
      <scheme val="minor"/>
    </font>
    <font>
      <sz val="10"/>
      <color rgb="FF0000CC"/>
      <name val="Arial"/>
      <family val="2"/>
    </font>
    <font>
      <b/>
      <sz val="12"/>
      <color rgb="FF00B050"/>
      <name val="Arial"/>
      <family val="2"/>
    </font>
    <font>
      <sz val="10"/>
      <color theme="1"/>
      <name val="segoe UI"/>
      <family val="2"/>
      <charset val="163"/>
    </font>
    <font>
      <i/>
      <sz val="10"/>
      <color rgb="FF0000FF"/>
      <name val="Arial"/>
      <family val="2"/>
    </font>
    <font>
      <i/>
      <sz val="10"/>
      <color rgb="FF00B050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sz val="10"/>
      <color rgb="FF00B050"/>
      <name val="Arial"/>
      <family val="2"/>
    </font>
    <font>
      <b/>
      <sz val="12"/>
      <color rgb="FFFF33CC"/>
      <name val="Arial"/>
      <family val="2"/>
    </font>
    <font>
      <sz val="10"/>
      <color rgb="FFFF0000"/>
      <name val="Arial"/>
      <family val="2"/>
    </font>
    <font>
      <b/>
      <u/>
      <sz val="10"/>
      <color rgb="FFFF0000"/>
      <name val="Times New Roman"/>
      <family val="1"/>
    </font>
    <font>
      <b/>
      <sz val="10"/>
      <color rgb="FF0000FF"/>
      <name val="Times New Roman"/>
      <family val="1"/>
    </font>
    <font>
      <sz val="10"/>
      <color indexed="8"/>
      <name val="Times New Roman"/>
      <family val="1"/>
    </font>
    <font>
      <b/>
      <sz val="10"/>
      <color rgb="FFFF0000"/>
      <name val="Times New Roman"/>
      <family val="1"/>
    </font>
    <font>
      <b/>
      <sz val="10"/>
      <color indexed="12"/>
      <name val="Times New Roman"/>
      <family val="1"/>
    </font>
    <font>
      <sz val="10"/>
      <color indexed="12"/>
      <name val="Times New Roman"/>
      <family val="1"/>
    </font>
    <font>
      <b/>
      <sz val="11"/>
      <color theme="0"/>
      <name val="Times New Roman"/>
      <family val="1"/>
    </font>
    <font>
      <b/>
      <i/>
      <sz val="11"/>
      <color rgb="FFFF33CC"/>
      <name val="Times New Roman"/>
      <family val="1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1"/>
      <color theme="0"/>
      <name val="Segoe UI"/>
      <family val="2"/>
    </font>
    <font>
      <b/>
      <sz val="11"/>
      <name val="segoe UI"/>
      <family val="2"/>
    </font>
    <font>
      <b/>
      <sz val="11"/>
      <color theme="1"/>
      <name val="Segoe UI"/>
      <family val="2"/>
    </font>
    <font>
      <sz val="11"/>
      <name val="Segoe UI"/>
      <family val="2"/>
    </font>
    <font>
      <sz val="11"/>
      <color theme="1"/>
      <name val="Segoe UI"/>
      <family val="2"/>
    </font>
    <font>
      <i/>
      <sz val="10"/>
      <name val="Segoe UI"/>
      <family val="2"/>
    </font>
    <font>
      <i/>
      <sz val="10"/>
      <color theme="1"/>
      <name val="segoe UI"/>
      <family val="2"/>
    </font>
    <font>
      <i/>
      <sz val="11"/>
      <name val="Segoe UI"/>
      <family val="2"/>
    </font>
    <font>
      <b/>
      <sz val="11"/>
      <color rgb="FFFF0000"/>
      <name val="Segoe UI"/>
      <family val="2"/>
    </font>
    <font>
      <sz val="11"/>
      <color rgb="FFFF0000"/>
      <name val="Segoe UI"/>
      <family val="2"/>
    </font>
    <font>
      <b/>
      <sz val="11"/>
      <color rgb="FF0000FF"/>
      <name val="Segoe UI"/>
      <family val="2"/>
    </font>
    <font>
      <sz val="11"/>
      <color rgb="FF0000FF"/>
      <name val="Segoe UI"/>
      <family val="2"/>
    </font>
    <font>
      <i/>
      <sz val="10"/>
      <color rgb="FF0000FF"/>
      <name val="Segoe UI"/>
      <family val="2"/>
    </font>
    <font>
      <sz val="11"/>
      <color theme="8" tint="0.59999389629810485"/>
      <name val="Segoe UI"/>
      <family val="2"/>
    </font>
    <font>
      <b/>
      <sz val="11"/>
      <color rgb="FF0070C0"/>
      <name val="Segoe UI"/>
      <family val="2"/>
    </font>
    <font>
      <i/>
      <sz val="11"/>
      <color theme="1"/>
      <name val="Segoe UI"/>
      <family val="2"/>
    </font>
    <font>
      <b/>
      <sz val="11"/>
      <color theme="5" tint="-0.249977111117893"/>
      <name val="Segoe UI"/>
      <family val="2"/>
    </font>
    <font>
      <sz val="11"/>
      <color rgb="FF0070C0"/>
      <name val="Segoe UI"/>
      <family val="2"/>
    </font>
    <font>
      <sz val="11"/>
      <color theme="5" tint="-0.249977111117893"/>
      <name val="Segoe UI"/>
      <family val="2"/>
    </font>
    <font>
      <i/>
      <sz val="11"/>
      <color rgb="FF0070C0"/>
      <name val="Segoe UI"/>
      <family val="2"/>
    </font>
    <font>
      <i/>
      <sz val="11"/>
      <color theme="5" tint="-0.249977111117893"/>
      <name val="segoe UI"/>
      <family val="2"/>
    </font>
    <font>
      <i/>
      <sz val="11"/>
      <color rgb="FF0000FF"/>
      <name val="Segoe UI"/>
      <family val="2"/>
    </font>
    <font>
      <b/>
      <sz val="11"/>
      <color rgb="FF008000"/>
      <name val="Times New Roman"/>
      <family val="1"/>
      <charset val="163"/>
    </font>
    <font>
      <b/>
      <sz val="11"/>
      <color indexed="17"/>
      <name val="Times New Roman"/>
      <family val="1"/>
    </font>
    <font>
      <b/>
      <u/>
      <sz val="11"/>
      <color rgb="FF0000FF"/>
      <name val="Times New Roman"/>
      <family val="1"/>
      <charset val="163"/>
    </font>
    <font>
      <sz val="11"/>
      <color indexed="8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b/>
      <u/>
      <sz val="11"/>
      <color rgb="FF0000FF"/>
      <name val="Times New Roman"/>
      <family val="1"/>
    </font>
    <font>
      <b/>
      <sz val="12"/>
      <color theme="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i/>
      <sz val="10"/>
      <color theme="8" tint="-0.249977111117893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8"/>
      <name val="Aptos Display"/>
      <family val="2"/>
      <scheme val="major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theme="5"/>
      <name val="Arial"/>
      <family val="2"/>
      <charset val="163"/>
    </font>
    <font>
      <sz val="12"/>
      <color rgb="FF0000FF"/>
      <name val="Times New Roman"/>
      <family val="1"/>
    </font>
    <font>
      <b/>
      <sz val="11"/>
      <color rgb="FF0000FF"/>
      <name val="Arial"/>
      <family val="2"/>
      <charset val="163"/>
    </font>
    <font>
      <i/>
      <sz val="11"/>
      <color rgb="FF00B0F0"/>
      <name val="Aptos Display"/>
      <family val="2"/>
      <scheme val="major"/>
    </font>
    <font>
      <i/>
      <sz val="9"/>
      <color rgb="FFFF33CC"/>
      <name val="Aptos Display"/>
      <family val="2"/>
      <scheme val="major"/>
    </font>
  </fonts>
  <fills count="3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F6364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1">
    <border>
      <left/>
      <right/>
      <top/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/>
      <right/>
      <top/>
      <bottom style="hair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119503"/>
      </left>
      <right/>
      <top/>
      <bottom style="dotted">
        <color theme="0" tint="-0.24994659260841701"/>
      </bottom>
      <diagonal/>
    </border>
    <border>
      <left style="dotted">
        <color rgb="FF119503"/>
      </left>
      <right style="thin">
        <color rgb="FF119503"/>
      </right>
      <top/>
      <bottom style="dotted">
        <color theme="0" tint="-0.24994659260841701"/>
      </bottom>
      <diagonal/>
    </border>
    <border>
      <left style="thin">
        <color rgb="FF119503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rgb="FF119503"/>
      </left>
      <right/>
      <top style="dotted">
        <color theme="0" tint="-0.24994659260841701"/>
      </top>
      <bottom style="thin">
        <color rgb="FF119503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rgb="FF119503"/>
      </bottom>
      <diagonal/>
    </border>
    <border>
      <left style="thin">
        <color rgb="FF119503"/>
      </left>
      <right style="thin">
        <color theme="9"/>
      </right>
      <top style="dotted">
        <color theme="0" tint="-0.24994659260841701"/>
      </top>
      <bottom style="thin">
        <color rgb="FF119503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theme="9"/>
      </bottom>
      <diagonal/>
    </border>
    <border>
      <left/>
      <right/>
      <top/>
      <bottom style="thin">
        <color theme="0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rgb="FFC00000"/>
      </left>
      <right/>
      <top style="thick">
        <color rgb="FFC00000"/>
      </top>
      <bottom style="thin">
        <color theme="0"/>
      </bottom>
      <diagonal/>
    </border>
    <border>
      <left/>
      <right/>
      <top style="thick">
        <color rgb="FFC00000"/>
      </top>
      <bottom style="thin">
        <color theme="0"/>
      </bottom>
      <diagonal/>
    </border>
    <border>
      <left/>
      <right style="thick">
        <color rgb="FFC00000"/>
      </right>
      <top style="thick">
        <color rgb="FFC00000"/>
      </top>
      <bottom style="thin">
        <color theme="0"/>
      </bottom>
      <diagonal/>
    </border>
    <border>
      <left style="thick">
        <color theme="9" tint="-0.499984740745262"/>
      </left>
      <right/>
      <top style="thick">
        <color theme="9" tint="-0.499984740745262"/>
      </top>
      <bottom style="thin">
        <color theme="0"/>
      </bottom>
      <diagonal/>
    </border>
    <border>
      <left/>
      <right/>
      <top style="thick">
        <color theme="9" tint="-0.499984740745262"/>
      </top>
      <bottom style="thin">
        <color theme="0"/>
      </bottom>
      <diagonal/>
    </border>
    <border>
      <left/>
      <right style="thick">
        <color theme="9" tint="-0.499984740745262"/>
      </right>
      <top style="thick">
        <color theme="9" tint="-0.499984740745262"/>
      </top>
      <bottom style="thin">
        <color theme="0"/>
      </bottom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 style="thick">
        <color theme="9" tint="-0.499984740745262"/>
      </left>
      <right/>
      <top/>
      <bottom/>
      <diagonal/>
    </border>
    <border>
      <left/>
      <right style="thick">
        <color theme="9" tint="-0.499984740745262"/>
      </right>
      <top/>
      <bottom/>
      <diagonal/>
    </border>
    <border>
      <left style="thick">
        <color rgb="FFC00000"/>
      </left>
      <right/>
      <top/>
      <bottom style="hair">
        <color theme="0" tint="-0.14996795556505021"/>
      </bottom>
      <diagonal/>
    </border>
    <border>
      <left/>
      <right style="thick">
        <color rgb="FFC00000"/>
      </right>
      <top/>
      <bottom style="hair">
        <color theme="0" tint="-0.14996795556505021"/>
      </bottom>
      <diagonal/>
    </border>
    <border>
      <left style="thick">
        <color theme="9" tint="-0.499984740745262"/>
      </left>
      <right/>
      <top/>
      <bottom style="hair">
        <color theme="0" tint="-0.14996795556505021"/>
      </bottom>
      <diagonal/>
    </border>
    <border>
      <left/>
      <right style="thick">
        <color theme="9" tint="-0.499984740745262"/>
      </right>
      <top/>
      <bottom style="hair">
        <color theme="0" tint="-0.14996795556505021"/>
      </bottom>
      <diagonal/>
    </border>
    <border>
      <left style="thick">
        <color rgb="FFC00000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thick">
        <color rgb="FFC00000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9" tint="-0.499984740745262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thick">
        <color theme="9" tint="-0.499984740745262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rgb="FFC00000"/>
      </left>
      <right/>
      <top style="hair">
        <color theme="0" tint="-0.14996795556505021"/>
      </top>
      <bottom/>
      <diagonal/>
    </border>
    <border>
      <left/>
      <right style="thick">
        <color rgb="FFC00000"/>
      </right>
      <top style="hair">
        <color theme="0" tint="-0.14996795556505021"/>
      </top>
      <bottom/>
      <diagonal/>
    </border>
    <border>
      <left style="thick">
        <color theme="9" tint="-0.499984740745262"/>
      </left>
      <right/>
      <top style="hair">
        <color theme="0" tint="-0.14996795556505021"/>
      </top>
      <bottom/>
      <diagonal/>
    </border>
    <border>
      <left/>
      <right style="thick">
        <color theme="9" tint="-0.499984740745262"/>
      </right>
      <top style="hair">
        <color theme="0" tint="-0.14996795556505021"/>
      </top>
      <bottom/>
      <diagonal/>
    </border>
    <border>
      <left style="thick">
        <color rgb="FFC00000"/>
      </left>
      <right/>
      <top style="thin">
        <color theme="1"/>
      </top>
      <bottom style="thin">
        <color theme="1"/>
      </bottom>
      <diagonal/>
    </border>
    <border>
      <left/>
      <right style="thick">
        <color rgb="FFC00000"/>
      </right>
      <top style="thin">
        <color theme="1"/>
      </top>
      <bottom style="thin">
        <color theme="1"/>
      </bottom>
      <diagonal/>
    </border>
    <border>
      <left style="thick">
        <color theme="9" tint="-0.499984740745262"/>
      </left>
      <right/>
      <top style="thin">
        <color theme="1"/>
      </top>
      <bottom style="thin">
        <color theme="1"/>
      </bottom>
      <diagonal/>
    </border>
    <border>
      <left/>
      <right style="thick">
        <color theme="9" tint="-0.499984740745262"/>
      </right>
      <top style="thin">
        <color theme="1"/>
      </top>
      <bottom style="thin">
        <color theme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9" tint="-0.499984740745262"/>
      </left>
      <right/>
      <top/>
      <bottom style="thick">
        <color theme="9" tint="-0.499984740745262"/>
      </bottom>
      <diagonal/>
    </border>
    <border>
      <left/>
      <right/>
      <top/>
      <bottom style="thick">
        <color theme="9" tint="-0.499984740745262"/>
      </bottom>
      <diagonal/>
    </border>
    <border>
      <left/>
      <right style="thick">
        <color theme="9" tint="-0.499984740745262"/>
      </right>
      <top/>
      <bottom style="thick">
        <color theme="9" tint="-0.499984740745262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ck">
        <color theme="9" tint="-0.499984740745262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ck">
        <color theme="9" tint="-0.499984740745262"/>
      </right>
      <top style="thin">
        <color rgb="FF00B0F0"/>
      </top>
      <bottom style="thin">
        <color rgb="FF00B0F0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theme="0" tint="-0.14996795556505021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40" fillId="0" borderId="0"/>
    <xf numFmtId="0" fontId="58" fillId="0" borderId="0"/>
    <xf numFmtId="43" fontId="58" fillId="0" borderId="0" applyFont="0" applyFill="0" applyBorder="0" applyAlignment="0" applyProtection="0"/>
  </cellStyleXfs>
  <cellXfs count="851">
    <xf numFmtId="0" fontId="0" fillId="0" borderId="0" xfId="0"/>
    <xf numFmtId="3" fontId="9" fillId="0" borderId="8" xfId="4" applyNumberFormat="1" applyFont="1" applyBorder="1" applyAlignment="1">
      <alignment horizontal="center" vertical="top" wrapText="1"/>
    </xf>
    <xf numFmtId="0" fontId="9" fillId="10" borderId="7" xfId="4" applyFont="1" applyFill="1" applyBorder="1" applyAlignment="1">
      <alignment horizontal="left" vertical="top" wrapText="1"/>
    </xf>
    <xf numFmtId="3" fontId="13" fillId="0" borderId="7" xfId="4" applyNumberFormat="1" applyFont="1" applyBorder="1" applyAlignment="1">
      <alignment horizontal="left" vertical="top" wrapText="1" indent="1"/>
    </xf>
    <xf numFmtId="3" fontId="13" fillId="0" borderId="7" xfId="4" applyNumberFormat="1" applyFont="1" applyBorder="1" applyAlignment="1">
      <alignment horizontal="left" vertical="top" wrapText="1" indent="2"/>
    </xf>
    <xf numFmtId="3" fontId="16" fillId="0" borderId="7" xfId="4" applyNumberFormat="1" applyFont="1" applyBorder="1" applyAlignment="1">
      <alignment horizontal="left" vertical="top" wrapText="1" indent="1"/>
    </xf>
    <xf numFmtId="0" fontId="8" fillId="9" borderId="9" xfId="6" applyNumberFormat="1" applyFont="1" applyFill="1" applyBorder="1" applyAlignment="1" applyProtection="1">
      <alignment horizontal="center" vertical="center" wrapText="1"/>
    </xf>
    <xf numFmtId="0" fontId="11" fillId="0" borderId="0" xfId="0" applyFont="1"/>
    <xf numFmtId="3" fontId="10" fillId="0" borderId="8" xfId="4" applyNumberFormat="1" applyFont="1" applyBorder="1" applyAlignment="1" applyProtection="1">
      <alignment vertical="top" wrapText="1"/>
      <protection locked="0"/>
    </xf>
    <xf numFmtId="3" fontId="9" fillId="0" borderId="8" xfId="4" applyNumberFormat="1" applyFont="1" applyBorder="1" applyAlignment="1" applyProtection="1">
      <alignment vertical="top" wrapText="1"/>
      <protection locked="0"/>
    </xf>
    <xf numFmtId="166" fontId="17" fillId="0" borderId="8" xfId="5" applyNumberFormat="1" applyFont="1" applyFill="1" applyBorder="1" applyAlignment="1" applyProtection="1">
      <alignment horizontal="right" vertical="top" wrapText="1"/>
      <protection locked="0"/>
    </xf>
    <xf numFmtId="3" fontId="8" fillId="0" borderId="8" xfId="4" applyNumberFormat="1" applyFont="1" applyBorder="1" applyAlignment="1" applyProtection="1">
      <alignment vertical="top" wrapText="1"/>
      <protection locked="0"/>
    </xf>
    <xf numFmtId="3" fontId="10" fillId="0" borderId="7" xfId="4" applyNumberFormat="1" applyFont="1" applyBorder="1" applyAlignment="1" applyProtection="1">
      <alignment vertical="top" wrapText="1"/>
      <protection locked="0"/>
    </xf>
    <xf numFmtId="3" fontId="12" fillId="0" borderId="8" xfId="0" applyNumberFormat="1" applyFont="1" applyBorder="1" applyAlignment="1" applyProtection="1">
      <alignment vertical="top" wrapText="1"/>
      <protection locked="0"/>
    </xf>
    <xf numFmtId="164" fontId="9" fillId="0" borderId="8" xfId="1" applyNumberFormat="1" applyFont="1" applyBorder="1" applyAlignment="1" applyProtection="1">
      <alignment vertical="top" wrapText="1"/>
      <protection locked="0"/>
    </xf>
    <xf numFmtId="164" fontId="10" fillId="0" borderId="8" xfId="1" applyNumberFormat="1" applyFont="1" applyBorder="1" applyAlignment="1" applyProtection="1">
      <alignment vertical="top" wrapText="1"/>
      <protection locked="0"/>
    </xf>
    <xf numFmtId="164" fontId="12" fillId="0" borderId="8" xfId="1" applyNumberFormat="1" applyFont="1" applyBorder="1" applyAlignment="1" applyProtection="1">
      <alignment vertical="top" wrapText="1"/>
      <protection locked="0"/>
    </xf>
    <xf numFmtId="0" fontId="22" fillId="0" borderId="0" xfId="0" applyFont="1"/>
    <xf numFmtId="164" fontId="22" fillId="0" borderId="0" xfId="0" applyNumberFormat="1" applyFont="1"/>
    <xf numFmtId="0" fontId="23" fillId="0" borderId="0" xfId="4" applyFont="1" applyAlignment="1">
      <alignment horizontal="left"/>
    </xf>
    <xf numFmtId="0" fontId="16" fillId="0" borderId="0" xfId="4" applyFont="1" applyAlignment="1">
      <alignment horizontal="center" vertical="center"/>
    </xf>
    <xf numFmtId="3" fontId="10" fillId="0" borderId="8" xfId="4" applyNumberFormat="1" applyFont="1" applyBorder="1" applyAlignment="1">
      <alignment horizontal="center" vertical="top" wrapText="1"/>
    </xf>
    <xf numFmtId="0" fontId="17" fillId="0" borderId="8" xfId="5" applyNumberFormat="1" applyFont="1" applyFill="1" applyBorder="1" applyAlignment="1" applyProtection="1">
      <alignment horizontal="center" vertical="top" wrapText="1"/>
    </xf>
    <xf numFmtId="3" fontId="25" fillId="0" borderId="7" xfId="4" applyNumberFormat="1" applyFont="1" applyBorder="1" applyAlignment="1">
      <alignment horizontal="left" vertical="top" wrapText="1" indent="1"/>
    </xf>
    <xf numFmtId="3" fontId="24" fillId="0" borderId="7" xfId="4" applyNumberFormat="1" applyFont="1" applyBorder="1" applyAlignment="1">
      <alignment horizontal="left" vertical="top" wrapText="1" indent="1"/>
    </xf>
    <xf numFmtId="3" fontId="8" fillId="0" borderId="8" xfId="4" applyNumberFormat="1" applyFont="1" applyBorder="1" applyAlignment="1">
      <alignment horizontal="center" vertical="top" wrapText="1"/>
    </xf>
    <xf numFmtId="3" fontId="10" fillId="0" borderId="7" xfId="4" applyNumberFormat="1" applyFont="1" applyBorder="1" applyAlignment="1">
      <alignment horizontal="center" vertical="top" wrapText="1"/>
    </xf>
    <xf numFmtId="3" fontId="12" fillId="0" borderId="8" xfId="0" applyNumberFormat="1" applyFont="1" applyBorder="1" applyAlignment="1">
      <alignment horizontal="center" vertical="top" wrapText="1"/>
    </xf>
    <xf numFmtId="0" fontId="28" fillId="0" borderId="0" xfId="0" applyFont="1"/>
    <xf numFmtId="0" fontId="27" fillId="0" borderId="0" xfId="0" applyFont="1"/>
    <xf numFmtId="0" fontId="32" fillId="0" borderId="0" xfId="0" applyFont="1"/>
    <xf numFmtId="0" fontId="18" fillId="2" borderId="0" xfId="0" applyFont="1" applyFill="1" applyAlignment="1">
      <alignment horizontal="right" vertical="center"/>
    </xf>
    <xf numFmtId="0" fontId="19" fillId="0" borderId="3" xfId="5" applyNumberFormat="1" applyFont="1" applyFill="1" applyBorder="1" applyAlignment="1" applyProtection="1">
      <alignment horizontal="center" vertical="top" wrapText="1"/>
    </xf>
    <xf numFmtId="3" fontId="20" fillId="0" borderId="3" xfId="4" applyNumberFormat="1" applyFont="1" applyBorder="1" applyAlignment="1">
      <alignment horizontal="left" vertical="top" wrapText="1" indent="1"/>
    </xf>
    <xf numFmtId="3" fontId="8" fillId="0" borderId="1" xfId="4" applyNumberFormat="1" applyFont="1" applyBorder="1" applyAlignment="1">
      <alignment horizontal="center" vertical="top" wrapText="1"/>
    </xf>
    <xf numFmtId="3" fontId="8" fillId="0" borderId="1" xfId="4" applyNumberFormat="1" applyFont="1" applyBorder="1" applyAlignment="1">
      <alignment horizontal="left" vertical="top" wrapText="1" indent="1"/>
    </xf>
    <xf numFmtId="3" fontId="27" fillId="0" borderId="1" xfId="4" applyNumberFormat="1" applyFont="1" applyBorder="1" applyAlignment="1">
      <alignment horizontal="center" vertical="top" wrapText="1"/>
    </xf>
    <xf numFmtId="3" fontId="27" fillId="0" borderId="1" xfId="4" applyNumberFormat="1" applyFont="1" applyBorder="1" applyAlignment="1">
      <alignment horizontal="left" vertical="top" wrapText="1" indent="1"/>
    </xf>
    <xf numFmtId="3" fontId="11" fillId="0" borderId="1" xfId="4" applyNumberFormat="1" applyFont="1" applyBorder="1" applyAlignment="1">
      <alignment horizontal="center" vertical="top" wrapText="1"/>
    </xf>
    <xf numFmtId="3" fontId="13" fillId="0" borderId="1" xfId="4" applyNumberFormat="1" applyFont="1" applyBorder="1" applyAlignment="1">
      <alignment horizontal="left" vertical="top" wrapText="1" indent="1"/>
    </xf>
    <xf numFmtId="3" fontId="27" fillId="7" borderId="1" xfId="4" applyNumberFormat="1" applyFont="1" applyFill="1" applyBorder="1" applyAlignment="1">
      <alignment horizontal="center" vertical="top" wrapText="1"/>
    </xf>
    <xf numFmtId="3" fontId="27" fillId="7" borderId="1" xfId="4" applyNumberFormat="1" applyFont="1" applyFill="1" applyBorder="1" applyAlignment="1">
      <alignment horizontal="left" vertical="top" wrapText="1" indent="1"/>
    </xf>
    <xf numFmtId="164" fontId="27" fillId="7" borderId="1" xfId="1" applyNumberFormat="1" applyFont="1" applyFill="1" applyBorder="1" applyAlignment="1" applyProtection="1">
      <alignment vertical="top" wrapText="1"/>
      <protection locked="0"/>
    </xf>
    <xf numFmtId="3" fontId="28" fillId="0" borderId="1" xfId="4" applyNumberFormat="1" applyFont="1" applyBorder="1" applyAlignment="1">
      <alignment horizontal="center" vertical="top" wrapText="1"/>
    </xf>
    <xf numFmtId="3" fontId="28" fillId="0" borderId="1" xfId="4" applyNumberFormat="1" applyFont="1" applyBorder="1" applyAlignment="1">
      <alignment horizontal="left" vertical="top" wrapText="1" indent="1"/>
    </xf>
    <xf numFmtId="3" fontId="9" fillId="0" borderId="1" xfId="0" applyNumberFormat="1" applyFont="1" applyBorder="1" applyAlignment="1">
      <alignment horizontal="center" vertical="top" wrapText="1"/>
    </xf>
    <xf numFmtId="3" fontId="26" fillId="0" borderId="1" xfId="0" applyNumberFormat="1" applyFont="1" applyBorder="1" applyAlignment="1">
      <alignment horizontal="center" vertical="top" wrapText="1"/>
    </xf>
    <xf numFmtId="3" fontId="9" fillId="0" borderId="1" xfId="4" applyNumberFormat="1" applyFont="1" applyBorder="1" applyAlignment="1">
      <alignment horizontal="center" vertical="top" wrapText="1"/>
    </xf>
    <xf numFmtId="3" fontId="13" fillId="0" borderId="1" xfId="4" applyNumberFormat="1" applyFont="1" applyBorder="1" applyAlignment="1">
      <alignment horizontal="left" vertical="top" wrapText="1" indent="2"/>
    </xf>
    <xf numFmtId="0" fontId="8" fillId="0" borderId="0" xfId="0" applyFont="1"/>
    <xf numFmtId="3" fontId="29" fillId="0" borderId="1" xfId="4" applyNumberFormat="1" applyFont="1" applyBorder="1" applyAlignment="1">
      <alignment horizontal="center" vertical="top" wrapText="1"/>
    </xf>
    <xf numFmtId="0" fontId="29" fillId="0" borderId="0" xfId="0" applyFont="1"/>
    <xf numFmtId="164" fontId="27" fillId="0" borderId="1" xfId="1" applyNumberFormat="1" applyFont="1" applyBorder="1" applyAlignment="1" applyProtection="1">
      <alignment vertical="top" wrapText="1"/>
      <protection locked="0"/>
    </xf>
    <xf numFmtId="164" fontId="9" fillId="0" borderId="1" xfId="1" applyNumberFormat="1" applyFont="1" applyBorder="1" applyAlignment="1" applyProtection="1">
      <alignment vertical="top" wrapText="1"/>
      <protection locked="0"/>
    </xf>
    <xf numFmtId="164" fontId="13" fillId="0" borderId="1" xfId="1" applyNumberFormat="1" applyFont="1" applyBorder="1" applyAlignment="1" applyProtection="1">
      <alignment vertical="top" wrapText="1"/>
      <protection locked="0"/>
    </xf>
    <xf numFmtId="3" fontId="11" fillId="0" borderId="2" xfId="4" applyNumberFormat="1" applyFont="1" applyBorder="1" applyAlignment="1">
      <alignment horizontal="center" vertical="top" wrapText="1"/>
    </xf>
    <xf numFmtId="3" fontId="13" fillId="0" borderId="2" xfId="4" applyNumberFormat="1" applyFont="1" applyBorder="1" applyAlignment="1">
      <alignment horizontal="left" vertical="top" wrapText="1" indent="1"/>
    </xf>
    <xf numFmtId="164" fontId="13" fillId="0" borderId="2" xfId="1" applyNumberFormat="1" applyFont="1" applyBorder="1" applyAlignment="1" applyProtection="1">
      <alignment vertical="top" wrapText="1"/>
      <protection locked="0"/>
    </xf>
    <xf numFmtId="3" fontId="27" fillId="7" borderId="3" xfId="4" applyNumberFormat="1" applyFont="1" applyFill="1" applyBorder="1" applyAlignment="1">
      <alignment horizontal="center" vertical="top" wrapText="1"/>
    </xf>
    <xf numFmtId="3" fontId="27" fillId="7" borderId="3" xfId="4" applyNumberFormat="1" applyFont="1" applyFill="1" applyBorder="1" applyAlignment="1">
      <alignment horizontal="left" vertical="top" wrapText="1" indent="1"/>
    </xf>
    <xf numFmtId="164" fontId="27" fillId="7" borderId="3" xfId="1" applyNumberFormat="1" applyFont="1" applyFill="1" applyBorder="1" applyAlignment="1" applyProtection="1">
      <alignment vertical="top" wrapText="1"/>
      <protection locked="0"/>
    </xf>
    <xf numFmtId="3" fontId="8" fillId="7" borderId="12" xfId="4" applyNumberFormat="1" applyFont="1" applyFill="1" applyBorder="1" applyAlignment="1">
      <alignment horizontal="center" vertical="top" wrapText="1"/>
    </xf>
    <xf numFmtId="3" fontId="8" fillId="7" borderId="12" xfId="4" applyNumberFormat="1" applyFont="1" applyFill="1" applyBorder="1" applyAlignment="1">
      <alignment horizontal="left" vertical="top" wrapText="1" indent="1"/>
    </xf>
    <xf numFmtId="164" fontId="9" fillId="7" borderId="12" xfId="1" applyNumberFormat="1" applyFont="1" applyFill="1" applyBorder="1" applyAlignment="1" applyProtection="1">
      <alignment vertical="top" wrapText="1"/>
      <protection locked="0"/>
    </xf>
    <xf numFmtId="3" fontId="28" fillId="0" borderId="2" xfId="4" applyNumberFormat="1" applyFont="1" applyBorder="1" applyAlignment="1">
      <alignment horizontal="center" vertical="top" wrapText="1"/>
    </xf>
    <xf numFmtId="3" fontId="28" fillId="0" borderId="2" xfId="4" applyNumberFormat="1" applyFont="1" applyBorder="1" applyAlignment="1">
      <alignment horizontal="left" vertical="top" wrapText="1" indent="1"/>
    </xf>
    <xf numFmtId="3" fontId="9" fillId="7" borderId="12" xfId="0" applyNumberFormat="1" applyFont="1" applyFill="1" applyBorder="1" applyAlignment="1">
      <alignment horizontal="center" vertical="top" wrapText="1"/>
    </xf>
    <xf numFmtId="3" fontId="9" fillId="0" borderId="12" xfId="4" applyNumberFormat="1" applyFont="1" applyBorder="1" applyAlignment="1">
      <alignment horizontal="center" vertical="top" wrapText="1"/>
    </xf>
    <xf numFmtId="3" fontId="8" fillId="0" borderId="12" xfId="4" applyNumberFormat="1" applyFont="1" applyBorder="1" applyAlignment="1">
      <alignment horizontal="left" vertical="top" wrapText="1" indent="1"/>
    </xf>
    <xf numFmtId="3" fontId="9" fillId="0" borderId="2" xfId="4" applyNumberFormat="1" applyFont="1" applyBorder="1" applyAlignment="1">
      <alignment horizontal="center" vertical="top" wrapText="1"/>
    </xf>
    <xf numFmtId="3" fontId="8" fillId="0" borderId="2" xfId="4" applyNumberFormat="1" applyFont="1" applyBorder="1" applyAlignment="1">
      <alignment horizontal="left" vertical="top" wrapText="1" indent="1"/>
    </xf>
    <xf numFmtId="3" fontId="8" fillId="0" borderId="12" xfId="4" applyNumberFormat="1" applyFont="1" applyBorder="1" applyAlignment="1">
      <alignment horizontal="center" vertical="top" wrapText="1"/>
    </xf>
    <xf numFmtId="3" fontId="9" fillId="0" borderId="12" xfId="0" applyNumberFormat="1" applyFont="1" applyBorder="1" applyAlignment="1">
      <alignment horizontal="center" vertical="top" wrapText="1"/>
    </xf>
    <xf numFmtId="164" fontId="11" fillId="0" borderId="1" xfId="1" applyNumberFormat="1" applyFont="1" applyBorder="1" applyAlignment="1" applyProtection="1">
      <alignment vertical="top" wrapText="1"/>
      <protection locked="0"/>
    </xf>
    <xf numFmtId="3" fontId="27" fillId="7" borderId="3" xfId="0" applyNumberFormat="1" applyFont="1" applyFill="1" applyBorder="1" applyAlignment="1">
      <alignment horizontal="center" vertical="top" wrapText="1"/>
    </xf>
    <xf numFmtId="3" fontId="27" fillId="7" borderId="1" xfId="0" applyNumberFormat="1" applyFont="1" applyFill="1" applyBorder="1" applyAlignment="1">
      <alignment horizontal="center" vertical="top" wrapText="1"/>
    </xf>
    <xf numFmtId="164" fontId="26" fillId="0" borderId="1" xfId="1" applyNumberFormat="1" applyFont="1" applyBorder="1" applyAlignment="1" applyProtection="1">
      <alignment vertical="top" wrapText="1"/>
      <protection locked="0"/>
    </xf>
    <xf numFmtId="3" fontId="34" fillId="0" borderId="3" xfId="4" applyNumberFormat="1" applyFont="1" applyBorder="1" applyAlignment="1">
      <alignment horizontal="center" vertical="top" wrapText="1"/>
    </xf>
    <xf numFmtId="3" fontId="34" fillId="0" borderId="3" xfId="4" applyNumberFormat="1" applyFont="1" applyBorder="1" applyAlignment="1">
      <alignment horizontal="left" vertical="top" wrapText="1" indent="1"/>
    </xf>
    <xf numFmtId="0" fontId="34" fillId="0" borderId="0" xfId="0" applyFont="1"/>
    <xf numFmtId="3" fontId="34" fillId="0" borderId="1" xfId="4" applyNumberFormat="1" applyFont="1" applyBorder="1" applyAlignment="1">
      <alignment horizontal="center" vertical="top" wrapText="1"/>
    </xf>
    <xf numFmtId="3" fontId="34" fillId="0" borderId="1" xfId="4" applyNumberFormat="1" applyFont="1" applyBorder="1" applyAlignment="1">
      <alignment horizontal="left" vertical="top" wrapText="1" indent="1"/>
    </xf>
    <xf numFmtId="164" fontId="34" fillId="0" borderId="1" xfId="1" applyNumberFormat="1" applyFont="1" applyBorder="1" applyAlignment="1" applyProtection="1">
      <alignment vertical="top" wrapText="1"/>
      <protection locked="0"/>
    </xf>
    <xf numFmtId="164" fontId="34" fillId="0" borderId="3" xfId="1" applyNumberFormat="1" applyFont="1" applyBorder="1" applyAlignment="1" applyProtection="1">
      <alignment vertical="top" wrapText="1"/>
      <protection locked="0"/>
    </xf>
    <xf numFmtId="164" fontId="9" fillId="0" borderId="12" xfId="1" applyNumberFormat="1" applyFont="1" applyBorder="1" applyAlignment="1" applyProtection="1">
      <alignment vertical="top" wrapText="1"/>
      <protection locked="0"/>
    </xf>
    <xf numFmtId="164" fontId="27" fillId="0" borderId="2" xfId="1" applyNumberFormat="1" applyFont="1" applyBorder="1" applyAlignment="1" applyProtection="1">
      <alignment vertical="top" wrapText="1"/>
      <protection locked="0"/>
    </xf>
    <xf numFmtId="164" fontId="8" fillId="0" borderId="12" xfId="1" applyNumberFormat="1" applyFont="1" applyBorder="1" applyAlignment="1" applyProtection="1">
      <alignment vertical="top" wrapText="1"/>
      <protection locked="0"/>
    </xf>
    <xf numFmtId="3" fontId="27" fillId="0" borderId="3" xfId="4" applyNumberFormat="1" applyFont="1" applyBorder="1" applyAlignment="1">
      <alignment horizontal="center" vertical="top" wrapText="1"/>
    </xf>
    <xf numFmtId="3" fontId="27" fillId="0" borderId="3" xfId="4" applyNumberFormat="1" applyFont="1" applyBorder="1" applyAlignment="1">
      <alignment horizontal="left" vertical="top" wrapText="1" indent="1"/>
    </xf>
    <xf numFmtId="3" fontId="27" fillId="0" borderId="2" xfId="4" applyNumberFormat="1" applyFont="1" applyBorder="1" applyAlignment="1">
      <alignment horizontal="center" vertical="top" wrapText="1"/>
    </xf>
    <xf numFmtId="3" fontId="27" fillId="0" borderId="2" xfId="4" applyNumberFormat="1" applyFont="1" applyBorder="1" applyAlignment="1">
      <alignment horizontal="left" vertical="top" wrapText="1" indent="1"/>
    </xf>
    <xf numFmtId="3" fontId="29" fillId="0" borderId="1" xfId="4" applyNumberFormat="1" applyFont="1" applyBorder="1" applyAlignment="1">
      <alignment horizontal="left" vertical="top" wrapText="1" indent="1"/>
    </xf>
    <xf numFmtId="164" fontId="29" fillId="0" borderId="1" xfId="1" applyNumberFormat="1" applyFont="1" applyBorder="1" applyAlignment="1" applyProtection="1">
      <alignment vertical="top" wrapText="1"/>
      <protection locked="0"/>
    </xf>
    <xf numFmtId="164" fontId="15" fillId="0" borderId="1" xfId="1" applyNumberFormat="1" applyFont="1" applyBorder="1" applyAlignment="1" applyProtection="1">
      <alignment horizontal="center" vertical="top" wrapText="1"/>
      <protection locked="0"/>
    </xf>
    <xf numFmtId="164" fontId="28" fillId="0" borderId="2" xfId="1" applyNumberFormat="1" applyFont="1" applyBorder="1" applyAlignment="1" applyProtection="1">
      <alignment vertical="top" wrapText="1"/>
      <protection locked="0"/>
    </xf>
    <xf numFmtId="164" fontId="8" fillId="7" borderId="12" xfId="1" applyNumberFormat="1" applyFont="1" applyFill="1" applyBorder="1" applyAlignment="1" applyProtection="1">
      <alignment vertical="top" wrapText="1"/>
      <protection locked="0"/>
    </xf>
    <xf numFmtId="0" fontId="35" fillId="0" borderId="0" xfId="0" applyFont="1"/>
    <xf numFmtId="0" fontId="36" fillId="0" borderId="0" xfId="0" applyFont="1"/>
    <xf numFmtId="164" fontId="36" fillId="0" borderId="1" xfId="1" applyNumberFormat="1" applyFont="1" applyBorder="1" applyAlignment="1" applyProtection="1">
      <alignment vertical="top" wrapText="1"/>
      <protection locked="0"/>
    </xf>
    <xf numFmtId="0" fontId="36" fillId="0" borderId="1" xfId="5" applyNumberFormat="1" applyFont="1" applyFill="1" applyBorder="1" applyAlignment="1" applyProtection="1">
      <alignment horizontal="center" vertical="top" wrapText="1"/>
    </xf>
    <xf numFmtId="3" fontId="36" fillId="0" borderId="1" xfId="4" applyNumberFormat="1" applyFont="1" applyBorder="1" applyAlignment="1">
      <alignment horizontal="left" vertical="top" wrapText="1" indent="1"/>
    </xf>
    <xf numFmtId="164" fontId="19" fillId="0" borderId="3" xfId="1" applyNumberFormat="1" applyFont="1" applyFill="1" applyBorder="1" applyAlignment="1" applyProtection="1">
      <alignment horizontal="right" vertical="top" wrapText="1"/>
      <protection locked="0"/>
    </xf>
    <xf numFmtId="164" fontId="28" fillId="0" borderId="1" xfId="1" applyNumberFormat="1" applyFont="1" applyFill="1" applyBorder="1" applyAlignment="1" applyProtection="1">
      <alignment horizontal="right" vertical="top" wrapText="1"/>
      <protection locked="0"/>
    </xf>
    <xf numFmtId="11" fontId="0" fillId="0" borderId="0" xfId="0" applyNumberFormat="1"/>
    <xf numFmtId="164" fontId="8" fillId="0" borderId="8" xfId="1" applyNumberFormat="1" applyFont="1" applyBorder="1" applyAlignment="1" applyProtection="1">
      <alignment vertical="top" wrapText="1"/>
      <protection locked="0"/>
    </xf>
    <xf numFmtId="164" fontId="10" fillId="0" borderId="7" xfId="1" applyNumberFormat="1" applyFont="1" applyBorder="1" applyAlignment="1" applyProtection="1">
      <alignment vertical="top" wrapText="1"/>
      <protection locked="0"/>
    </xf>
    <xf numFmtId="164" fontId="21" fillId="0" borderId="0" xfId="1" applyNumberFormat="1" applyFont="1" applyProtection="1">
      <protection locked="0"/>
    </xf>
    <xf numFmtId="164" fontId="37" fillId="0" borderId="0" xfId="1" applyNumberFormat="1" applyFont="1" applyAlignment="1">
      <alignment horizontal="left" vertical="center"/>
    </xf>
    <xf numFmtId="164" fontId="33" fillId="0" borderId="0" xfId="1" applyNumberFormat="1" applyFont="1" applyAlignment="1">
      <alignment vertical="center" wrapText="1"/>
    </xf>
    <xf numFmtId="169" fontId="33" fillId="0" borderId="0" xfId="1" applyNumberFormat="1" applyFont="1" applyFill="1" applyAlignment="1">
      <alignment vertical="center"/>
    </xf>
    <xf numFmtId="169" fontId="33" fillId="0" borderId="0" xfId="1" applyNumberFormat="1" applyFont="1" applyAlignment="1">
      <alignment vertical="center"/>
    </xf>
    <xf numFmtId="164" fontId="33" fillId="0" borderId="0" xfId="1" applyNumberFormat="1" applyFont="1" applyFill="1" applyBorder="1" applyAlignment="1">
      <alignment vertical="center"/>
    </xf>
    <xf numFmtId="164" fontId="38" fillId="0" borderId="0" xfId="1" applyNumberFormat="1" applyFont="1" applyAlignment="1">
      <alignment horizontal="left" vertical="center"/>
    </xf>
    <xf numFmtId="164" fontId="38" fillId="0" borderId="0" xfId="1" applyNumberFormat="1" applyFont="1" applyAlignment="1">
      <alignment vertical="center" wrapText="1"/>
    </xf>
    <xf numFmtId="169" fontId="38" fillId="0" borderId="0" xfId="1" applyNumberFormat="1" applyFont="1" applyAlignment="1">
      <alignment vertical="center"/>
    </xf>
    <xf numFmtId="164" fontId="38" fillId="0" borderId="0" xfId="1" applyNumberFormat="1" applyFont="1" applyFill="1" applyBorder="1" applyAlignment="1">
      <alignment vertical="center"/>
    </xf>
    <xf numFmtId="0" fontId="39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70" fontId="5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170" fontId="7" fillId="0" borderId="0" xfId="1" applyNumberFormat="1" applyFont="1" applyAlignment="1">
      <alignment vertical="center"/>
    </xf>
    <xf numFmtId="164" fontId="33" fillId="0" borderId="0" xfId="1" applyNumberFormat="1" applyFont="1" applyAlignment="1">
      <alignment horizontal="right"/>
    </xf>
    <xf numFmtId="164" fontId="33" fillId="0" borderId="0" xfId="1" applyNumberFormat="1" applyFont="1" applyAlignment="1">
      <alignment vertical="center"/>
    </xf>
    <xf numFmtId="0" fontId="33" fillId="0" borderId="0" xfId="0" applyFont="1" applyAlignment="1">
      <alignment vertical="center"/>
    </xf>
    <xf numFmtId="0" fontId="6" fillId="12" borderId="6" xfId="8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164" fontId="6" fillId="0" borderId="0" xfId="1" applyNumberFormat="1" applyFont="1" applyFill="1" applyBorder="1" applyAlignment="1">
      <alignment vertical="center"/>
    </xf>
    <xf numFmtId="49" fontId="6" fillId="0" borderId="0" xfId="1" applyNumberFormat="1" applyFont="1" applyFill="1" applyBorder="1" applyAlignment="1">
      <alignment vertical="center"/>
    </xf>
    <xf numFmtId="171" fontId="6" fillId="0" borderId="13" xfId="1" applyNumberFormat="1" applyFont="1" applyBorder="1" applyAlignment="1" applyProtection="1">
      <alignment horizontal="left" vertical="center"/>
    </xf>
    <xf numFmtId="171" fontId="6" fillId="0" borderId="13" xfId="1" applyNumberFormat="1" applyFont="1" applyBorder="1" applyAlignment="1" applyProtection="1">
      <alignment horizontal="left" vertical="center" wrapText="1"/>
    </xf>
    <xf numFmtId="172" fontId="6" fillId="0" borderId="13" xfId="1" applyNumberFormat="1" applyFont="1" applyFill="1" applyBorder="1" applyAlignment="1">
      <alignment horizontal="right" vertical="center"/>
    </xf>
    <xf numFmtId="164" fontId="6" fillId="0" borderId="0" xfId="1" applyNumberFormat="1" applyFont="1" applyFill="1" applyBorder="1" applyAlignment="1">
      <alignment horizontal="right" vertical="center"/>
    </xf>
    <xf numFmtId="171" fontId="6" fillId="0" borderId="0" xfId="1" applyNumberFormat="1" applyFont="1" applyFill="1" applyBorder="1" applyAlignment="1">
      <alignment vertical="center"/>
    </xf>
    <xf numFmtId="171" fontId="33" fillId="0" borderId="13" xfId="1" applyNumberFormat="1" applyFont="1" applyBorder="1" applyAlignment="1" applyProtection="1">
      <alignment horizontal="left" vertical="center"/>
    </xf>
    <xf numFmtId="171" fontId="33" fillId="0" borderId="13" xfId="1" applyNumberFormat="1" applyFont="1" applyBorder="1" applyAlignment="1" applyProtection="1">
      <alignment horizontal="left" vertical="center" wrapText="1"/>
    </xf>
    <xf numFmtId="172" fontId="33" fillId="0" borderId="13" xfId="1" applyNumberFormat="1" applyFont="1" applyFill="1" applyBorder="1" applyAlignment="1">
      <alignment horizontal="right" vertical="center"/>
    </xf>
    <xf numFmtId="164" fontId="33" fillId="0" borderId="0" xfId="1" applyNumberFormat="1" applyFont="1" applyFill="1" applyBorder="1" applyAlignment="1">
      <alignment horizontal="right" vertical="center"/>
    </xf>
    <xf numFmtId="171" fontId="33" fillId="0" borderId="0" xfId="1" applyNumberFormat="1" applyFont="1" applyFill="1" applyBorder="1" applyAlignment="1">
      <alignment vertical="center"/>
    </xf>
    <xf numFmtId="49" fontId="33" fillId="0" borderId="13" xfId="1" applyNumberFormat="1" applyFont="1" applyBorder="1" applyAlignment="1" applyProtection="1">
      <alignment horizontal="left" vertical="center"/>
    </xf>
    <xf numFmtId="0" fontId="6" fillId="13" borderId="13" xfId="1" applyNumberFormat="1" applyFont="1" applyFill="1" applyBorder="1" applyAlignment="1" applyProtection="1">
      <alignment horizontal="left" vertical="center"/>
    </xf>
    <xf numFmtId="0" fontId="6" fillId="13" borderId="13" xfId="1" applyNumberFormat="1" applyFont="1" applyFill="1" applyBorder="1" applyAlignment="1" applyProtection="1">
      <alignment horizontal="left" vertical="center" wrapText="1"/>
    </xf>
    <xf numFmtId="169" fontId="6" fillId="13" borderId="13" xfId="1" applyNumberFormat="1" applyFont="1" applyFill="1" applyBorder="1" applyAlignment="1" applyProtection="1">
      <alignment vertical="center"/>
    </xf>
    <xf numFmtId="43" fontId="6" fillId="0" borderId="0" xfId="1" applyFont="1" applyFill="1" applyBorder="1" applyAlignment="1">
      <alignment vertical="center"/>
    </xf>
    <xf numFmtId="173" fontId="33" fillId="0" borderId="13" xfId="12" applyNumberFormat="1" applyFont="1" applyBorder="1" applyAlignment="1">
      <alignment horizontal="left" vertical="center"/>
    </xf>
    <xf numFmtId="169" fontId="41" fillId="0" borderId="13" xfId="1" applyNumberFormat="1" applyFont="1" applyFill="1" applyBorder="1" applyAlignment="1" applyProtection="1">
      <alignment vertical="center"/>
    </xf>
    <xf numFmtId="49" fontId="33" fillId="0" borderId="13" xfId="12" applyNumberFormat="1" applyFont="1" applyBorder="1" applyAlignment="1">
      <alignment horizontal="left" vertical="center"/>
    </xf>
    <xf numFmtId="0" fontId="33" fillId="0" borderId="13" xfId="1" applyNumberFormat="1" applyFont="1" applyFill="1" applyBorder="1" applyAlignment="1" applyProtection="1">
      <alignment horizontal="left" vertical="center" wrapText="1"/>
    </xf>
    <xf numFmtId="0" fontId="6" fillId="0" borderId="13" xfId="1" applyNumberFormat="1" applyFont="1" applyFill="1" applyBorder="1" applyAlignment="1" applyProtection="1">
      <alignment horizontal="left" vertical="center"/>
    </xf>
    <xf numFmtId="0" fontId="6" fillId="0" borderId="13" xfId="1" applyNumberFormat="1" applyFont="1" applyFill="1" applyBorder="1" applyAlignment="1" applyProtection="1">
      <alignment horizontal="left" vertical="center" wrapText="1"/>
    </xf>
    <xf numFmtId="169" fontId="6" fillId="0" borderId="13" xfId="1" applyNumberFormat="1" applyFont="1" applyFill="1" applyBorder="1" applyAlignment="1" applyProtection="1">
      <alignment vertical="center"/>
    </xf>
    <xf numFmtId="0" fontId="6" fillId="0" borderId="13" xfId="1" applyNumberFormat="1" applyFont="1" applyBorder="1" applyAlignment="1" applyProtection="1">
      <alignment horizontal="left" vertical="center"/>
    </xf>
    <xf numFmtId="0" fontId="6" fillId="0" borderId="13" xfId="1" applyNumberFormat="1" applyFont="1" applyBorder="1" applyAlignment="1" applyProtection="1">
      <alignment horizontal="left" vertical="center" wrapText="1"/>
    </xf>
    <xf numFmtId="0" fontId="33" fillId="0" borderId="13" xfId="1" applyNumberFormat="1" applyFont="1" applyBorder="1" applyAlignment="1" applyProtection="1">
      <alignment horizontal="left" vertical="center"/>
    </xf>
    <xf numFmtId="0" fontId="33" fillId="0" borderId="13" xfId="1" applyNumberFormat="1" applyFont="1" applyBorder="1" applyAlignment="1" applyProtection="1">
      <alignment horizontal="left" vertical="center" wrapText="1"/>
    </xf>
    <xf numFmtId="169" fontId="33" fillId="0" borderId="13" xfId="1" applyNumberFormat="1" applyFont="1" applyFill="1" applyBorder="1" applyAlignment="1" applyProtection="1">
      <alignment vertical="center"/>
    </xf>
    <xf numFmtId="0" fontId="41" fillId="0" borderId="13" xfId="1" applyNumberFormat="1" applyFont="1" applyBorder="1" applyAlignment="1" applyProtection="1">
      <alignment horizontal="left" vertical="center"/>
    </xf>
    <xf numFmtId="0" fontId="41" fillId="0" borderId="13" xfId="1" applyNumberFormat="1" applyFont="1" applyBorder="1" applyAlignment="1" applyProtection="1">
      <alignment horizontal="left" vertical="center" wrapText="1"/>
    </xf>
    <xf numFmtId="164" fontId="41" fillId="0" borderId="0" xfId="1" applyNumberFormat="1" applyFont="1" applyFill="1" applyBorder="1" applyAlignment="1">
      <alignment vertical="center"/>
    </xf>
    <xf numFmtId="9" fontId="41" fillId="0" borderId="0" xfId="7" applyFont="1" applyFill="1" applyBorder="1" applyAlignment="1">
      <alignment vertical="center"/>
    </xf>
    <xf numFmtId="0" fontId="42" fillId="0" borderId="13" xfId="1" applyNumberFormat="1" applyFont="1" applyBorder="1" applyAlignment="1" applyProtection="1">
      <alignment horizontal="left" vertical="center"/>
    </xf>
    <xf numFmtId="174" fontId="42" fillId="0" borderId="13" xfId="7" applyNumberFormat="1" applyFont="1" applyFill="1" applyBorder="1" applyAlignment="1" applyProtection="1">
      <alignment horizontal="left" vertical="center" wrapText="1"/>
    </xf>
    <xf numFmtId="175" fontId="42" fillId="0" borderId="13" xfId="7" applyNumberFormat="1" applyFont="1" applyFill="1" applyBorder="1" applyAlignment="1" applyProtection="1">
      <alignment vertical="center"/>
    </xf>
    <xf numFmtId="164" fontId="42" fillId="0" borderId="0" xfId="1" applyNumberFormat="1" applyFont="1" applyFill="1" applyBorder="1" applyAlignment="1">
      <alignment vertical="center"/>
    </xf>
    <xf numFmtId="175" fontId="42" fillId="0" borderId="0" xfId="7" applyNumberFormat="1" applyFont="1" applyFill="1" applyBorder="1" applyAlignment="1">
      <alignment vertical="center"/>
    </xf>
    <xf numFmtId="0" fontId="41" fillId="0" borderId="13" xfId="1" applyNumberFormat="1" applyFont="1" applyFill="1" applyBorder="1" applyAlignment="1" applyProtection="1">
      <alignment horizontal="left" vertical="center"/>
    </xf>
    <xf numFmtId="169" fontId="33" fillId="14" borderId="13" xfId="1" applyNumberFormat="1" applyFont="1" applyFill="1" applyBorder="1" applyAlignment="1" applyProtection="1">
      <alignment vertical="center"/>
    </xf>
    <xf numFmtId="164" fontId="7" fillId="0" borderId="0" xfId="1" applyNumberFormat="1" applyFont="1" applyFill="1" applyBorder="1" applyAlignment="1">
      <alignment vertical="center"/>
    </xf>
    <xf numFmtId="164" fontId="43" fillId="0" borderId="0" xfId="1" applyNumberFormat="1" applyFont="1" applyFill="1" applyBorder="1" applyAlignment="1">
      <alignment vertical="center"/>
    </xf>
    <xf numFmtId="175" fontId="42" fillId="0" borderId="13" xfId="7" applyNumberFormat="1" applyFont="1" applyFill="1" applyBorder="1" applyAlignment="1" applyProtection="1">
      <alignment horizontal="left" vertical="center"/>
    </xf>
    <xf numFmtId="43" fontId="44" fillId="0" borderId="0" xfId="1" applyFont="1" applyFill="1" applyBorder="1" applyAlignment="1">
      <alignment vertical="center"/>
    </xf>
    <xf numFmtId="164" fontId="44" fillId="0" borderId="0" xfId="1" applyNumberFormat="1" applyFont="1" applyFill="1" applyBorder="1" applyAlignment="1">
      <alignment vertical="center"/>
    </xf>
    <xf numFmtId="43" fontId="43" fillId="0" borderId="0" xfId="1" applyFont="1" applyFill="1" applyBorder="1" applyAlignment="1">
      <alignment vertical="center"/>
    </xf>
    <xf numFmtId="0" fontId="33" fillId="0" borderId="13" xfId="1" applyNumberFormat="1" applyFont="1" applyFill="1" applyBorder="1" applyAlignment="1" applyProtection="1">
      <alignment horizontal="left" vertical="center"/>
    </xf>
    <xf numFmtId="169" fontId="6" fillId="14" borderId="13" xfId="1" applyNumberFormat="1" applyFont="1" applyFill="1" applyBorder="1" applyAlignment="1" applyProtection="1">
      <alignment vertical="center"/>
    </xf>
    <xf numFmtId="43" fontId="33" fillId="0" borderId="0" xfId="1" applyFont="1" applyFill="1" applyBorder="1" applyAlignment="1">
      <alignment vertical="center"/>
    </xf>
    <xf numFmtId="174" fontId="42" fillId="0" borderId="13" xfId="7" applyNumberFormat="1" applyFont="1" applyFill="1" applyBorder="1" applyAlignment="1" applyProtection="1">
      <alignment horizontal="left" vertical="center"/>
    </xf>
    <xf numFmtId="9" fontId="45" fillId="0" borderId="13" xfId="7" applyFont="1" applyFill="1" applyBorder="1" applyAlignment="1" applyProtection="1">
      <alignment vertical="center"/>
    </xf>
    <xf numFmtId="174" fontId="42" fillId="0" borderId="0" xfId="7" applyNumberFormat="1" applyFont="1" applyFill="1" applyBorder="1" applyAlignment="1">
      <alignment vertical="center"/>
    </xf>
    <xf numFmtId="174" fontId="42" fillId="0" borderId="13" xfId="7" applyNumberFormat="1" applyFont="1" applyFill="1" applyBorder="1" applyAlignment="1" applyProtection="1">
      <alignment vertical="center"/>
    </xf>
    <xf numFmtId="9" fontId="41" fillId="0" borderId="14" xfId="7" applyFont="1" applyFill="1" applyBorder="1" applyAlignment="1" applyProtection="1">
      <alignment horizontal="left" vertical="center"/>
    </xf>
    <xf numFmtId="9" fontId="41" fillId="0" borderId="14" xfId="7" applyFont="1" applyFill="1" applyBorder="1" applyAlignment="1" applyProtection="1">
      <alignment horizontal="left" vertical="center" wrapText="1"/>
    </xf>
    <xf numFmtId="169" fontId="41" fillId="0" borderId="14" xfId="7" applyNumberFormat="1" applyFont="1" applyFill="1" applyBorder="1" applyAlignment="1" applyProtection="1">
      <alignment vertical="center"/>
    </xf>
    <xf numFmtId="164" fontId="6" fillId="0" borderId="0" xfId="1" applyNumberFormat="1" applyFont="1" applyAlignment="1">
      <alignment horizontal="left" vertical="center"/>
    </xf>
    <xf numFmtId="164" fontId="6" fillId="0" borderId="0" xfId="1" applyNumberFormat="1" applyFont="1" applyAlignment="1">
      <alignment vertical="center" wrapText="1"/>
    </xf>
    <xf numFmtId="164" fontId="6" fillId="0" borderId="0" xfId="7" applyNumberFormat="1" applyFont="1" applyAlignment="1">
      <alignment horizontal="center" vertical="center" wrapText="1"/>
    </xf>
    <xf numFmtId="164" fontId="6" fillId="0" borderId="0" xfId="7" applyNumberFormat="1" applyFont="1" applyAlignment="1">
      <alignment horizontal="center" vertical="center"/>
    </xf>
    <xf numFmtId="172" fontId="33" fillId="0" borderId="0" xfId="1" applyNumberFormat="1" applyFont="1" applyAlignment="1">
      <alignment vertical="center" wrapText="1"/>
    </xf>
    <xf numFmtId="172" fontId="33" fillId="0" borderId="0" xfId="1" applyNumberFormat="1" applyFont="1" applyAlignment="1">
      <alignment vertical="center"/>
    </xf>
    <xf numFmtId="164" fontId="6" fillId="0" borderId="0" xfId="1" applyNumberFormat="1" applyFont="1" applyAlignment="1">
      <alignment horizontal="centerContinuous" vertical="center" wrapText="1"/>
    </xf>
    <xf numFmtId="169" fontId="33" fillId="0" borderId="0" xfId="1" applyNumberFormat="1" applyFont="1" applyAlignment="1">
      <alignment vertical="center" wrapText="1"/>
    </xf>
    <xf numFmtId="164" fontId="6" fillId="0" borderId="0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Border="1" applyAlignment="1">
      <alignment horizontal="center" vertical="center"/>
    </xf>
    <xf numFmtId="164" fontId="33" fillId="0" borderId="0" xfId="1" applyNumberFormat="1" applyFont="1" applyAlignment="1">
      <alignment horizontal="left" vertical="center"/>
    </xf>
    <xf numFmtId="169" fontId="33" fillId="0" borderId="0" xfId="0" applyNumberFormat="1" applyFont="1" applyAlignment="1">
      <alignment vertical="center"/>
    </xf>
    <xf numFmtId="164" fontId="6" fillId="0" borderId="0" xfId="1" applyNumberFormat="1" applyFont="1" applyAlignment="1">
      <alignment horizontal="right"/>
    </xf>
    <xf numFmtId="0" fontId="6" fillId="7" borderId="6" xfId="8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171" fontId="6" fillId="0" borderId="15" xfId="1" applyNumberFormat="1" applyFont="1" applyBorder="1" applyAlignment="1" applyProtection="1">
      <alignment horizontal="left" vertical="center"/>
    </xf>
    <xf numFmtId="171" fontId="6" fillId="0" borderId="15" xfId="1" applyNumberFormat="1" applyFont="1" applyBorder="1" applyAlignment="1" applyProtection="1">
      <alignment horizontal="left" vertical="center" wrapText="1"/>
    </xf>
    <xf numFmtId="164" fontId="6" fillId="0" borderId="16" xfId="1" applyNumberFormat="1" applyFont="1" applyFill="1" applyBorder="1" applyAlignment="1">
      <alignment horizontal="right" vertical="center"/>
    </xf>
    <xf numFmtId="172" fontId="6" fillId="0" borderId="16" xfId="1" applyNumberFormat="1" applyFont="1" applyFill="1" applyBorder="1" applyAlignment="1">
      <alignment horizontal="right" vertical="center"/>
    </xf>
    <xf numFmtId="171" fontId="33" fillId="0" borderId="15" xfId="1" applyNumberFormat="1" applyFont="1" applyBorder="1" applyAlignment="1" applyProtection="1">
      <alignment horizontal="left" vertical="center" indent="1"/>
    </xf>
    <xf numFmtId="171" fontId="33" fillId="0" borderId="15" xfId="1" applyNumberFormat="1" applyFont="1" applyBorder="1" applyAlignment="1" applyProtection="1">
      <alignment horizontal="left" vertical="center" wrapText="1" indent="1"/>
    </xf>
    <xf numFmtId="172" fontId="33" fillId="0" borderId="16" xfId="1" applyNumberFormat="1" applyFont="1" applyFill="1" applyBorder="1" applyAlignment="1">
      <alignment horizontal="right" vertical="center"/>
    </xf>
    <xf numFmtId="0" fontId="6" fillId="13" borderId="17" xfId="1" applyNumberFormat="1" applyFont="1" applyFill="1" applyBorder="1" applyAlignment="1" applyProtection="1">
      <alignment horizontal="left" vertical="center"/>
    </xf>
    <xf numFmtId="0" fontId="6" fillId="13" borderId="17" xfId="1" applyNumberFormat="1" applyFont="1" applyFill="1" applyBorder="1" applyAlignment="1" applyProtection="1">
      <alignment horizontal="left" vertical="center" wrapText="1"/>
    </xf>
    <xf numFmtId="169" fontId="6" fillId="13" borderId="18" xfId="1" applyNumberFormat="1" applyFont="1" applyFill="1" applyBorder="1" applyAlignment="1" applyProtection="1">
      <alignment vertical="center"/>
    </xf>
    <xf numFmtId="173" fontId="33" fillId="0" borderId="17" xfId="12" applyNumberFormat="1" applyFont="1" applyBorder="1" applyAlignment="1">
      <alignment horizontal="left" vertical="center"/>
    </xf>
    <xf numFmtId="169" fontId="33" fillId="0" borderId="18" xfId="1" applyNumberFormat="1" applyFont="1" applyFill="1" applyBorder="1" applyAlignment="1" applyProtection="1">
      <alignment vertical="center"/>
    </xf>
    <xf numFmtId="0" fontId="33" fillId="0" borderId="17" xfId="1" applyNumberFormat="1" applyFont="1" applyFill="1" applyBorder="1" applyAlignment="1" applyProtection="1">
      <alignment horizontal="left" vertical="center" wrapText="1" indent="1"/>
    </xf>
    <xf numFmtId="0" fontId="6" fillId="0" borderId="17" xfId="1" applyNumberFormat="1" applyFont="1" applyFill="1" applyBorder="1" applyAlignment="1" applyProtection="1">
      <alignment horizontal="left" vertical="center"/>
    </xf>
    <xf numFmtId="0" fontId="6" fillId="0" borderId="17" xfId="1" applyNumberFormat="1" applyFont="1" applyFill="1" applyBorder="1" applyAlignment="1" applyProtection="1">
      <alignment horizontal="left" vertical="center" wrapText="1"/>
    </xf>
    <xf numFmtId="169" fontId="6" fillId="0" borderId="18" xfId="1" applyNumberFormat="1" applyFont="1" applyFill="1" applyBorder="1" applyAlignment="1" applyProtection="1">
      <alignment vertical="center"/>
    </xf>
    <xf numFmtId="0" fontId="6" fillId="0" borderId="17" xfId="1" applyNumberFormat="1" applyFont="1" applyBorder="1" applyAlignment="1" applyProtection="1">
      <alignment horizontal="left" vertical="center" indent="1"/>
    </xf>
    <xf numFmtId="0" fontId="6" fillId="0" borderId="17" xfId="1" applyNumberFormat="1" applyFont="1" applyBorder="1" applyAlignment="1" applyProtection="1">
      <alignment horizontal="left" vertical="center" wrapText="1"/>
    </xf>
    <xf numFmtId="0" fontId="33" fillId="0" borderId="17" xfId="1" applyNumberFormat="1" applyFont="1" applyBorder="1" applyAlignment="1" applyProtection="1">
      <alignment horizontal="left" vertical="center" indent="1"/>
    </xf>
    <xf numFmtId="0" fontId="33" fillId="0" borderId="17" xfId="1" applyNumberFormat="1" applyFont="1" applyBorder="1" applyAlignment="1" applyProtection="1">
      <alignment horizontal="left" vertical="center" wrapText="1" indent="1"/>
    </xf>
    <xf numFmtId="0" fontId="41" fillId="0" borderId="17" xfId="1" applyNumberFormat="1" applyFont="1" applyBorder="1" applyAlignment="1" applyProtection="1">
      <alignment horizontal="left" vertical="center" indent="1"/>
    </xf>
    <xf numFmtId="0" fontId="41" fillId="0" borderId="17" xfId="1" applyNumberFormat="1" applyFont="1" applyBorder="1" applyAlignment="1" applyProtection="1">
      <alignment horizontal="left" vertical="center" wrapText="1" indent="1"/>
    </xf>
    <xf numFmtId="169" fontId="41" fillId="0" borderId="18" xfId="1" applyNumberFormat="1" applyFont="1" applyFill="1" applyBorder="1" applyAlignment="1" applyProtection="1">
      <alignment vertical="center"/>
    </xf>
    <xf numFmtId="0" fontId="41" fillId="0" borderId="17" xfId="1" applyNumberFormat="1" applyFont="1" applyBorder="1" applyAlignment="1" applyProtection="1">
      <alignment horizontal="left" vertical="center"/>
    </xf>
    <xf numFmtId="0" fontId="42" fillId="0" borderId="17" xfId="1" applyNumberFormat="1" applyFont="1" applyBorder="1" applyAlignment="1" applyProtection="1">
      <alignment horizontal="left" vertical="center" indent="1"/>
    </xf>
    <xf numFmtId="174" fontId="42" fillId="0" borderId="17" xfId="7" applyNumberFormat="1" applyFont="1" applyFill="1" applyBorder="1" applyAlignment="1" applyProtection="1">
      <alignment horizontal="left" vertical="center" wrapText="1" indent="1"/>
    </xf>
    <xf numFmtId="175" fontId="42" fillId="0" borderId="18" xfId="7" applyNumberFormat="1" applyFont="1" applyFill="1" applyBorder="1" applyAlignment="1" applyProtection="1">
      <alignment vertical="center"/>
    </xf>
    <xf numFmtId="175" fontId="42" fillId="0" borderId="17" xfId="7" applyNumberFormat="1" applyFont="1" applyFill="1" applyBorder="1" applyAlignment="1" applyProtection="1">
      <alignment horizontal="left" vertical="center" indent="1"/>
    </xf>
    <xf numFmtId="0" fontId="6" fillId="0" borderId="17" xfId="1" applyNumberFormat="1" applyFont="1" applyBorder="1" applyAlignment="1" applyProtection="1">
      <alignment horizontal="left" vertical="center"/>
    </xf>
    <xf numFmtId="169" fontId="6" fillId="0" borderId="19" xfId="1" applyNumberFormat="1" applyFont="1" applyFill="1" applyBorder="1" applyAlignment="1" applyProtection="1">
      <alignment vertical="center"/>
    </xf>
    <xf numFmtId="0" fontId="33" fillId="0" borderId="17" xfId="1" applyNumberFormat="1" applyFont="1" applyBorder="1" applyAlignment="1" applyProtection="1">
      <alignment horizontal="left" vertical="center"/>
    </xf>
    <xf numFmtId="0" fontId="33" fillId="0" borderId="17" xfId="1" applyNumberFormat="1" applyFont="1" applyBorder="1" applyAlignment="1" applyProtection="1">
      <alignment horizontal="left" vertical="center" wrapText="1"/>
    </xf>
    <xf numFmtId="0" fontId="6" fillId="15" borderId="17" xfId="1" applyNumberFormat="1" applyFont="1" applyFill="1" applyBorder="1" applyAlignment="1" applyProtection="1">
      <alignment horizontal="left" vertical="center"/>
    </xf>
    <xf numFmtId="0" fontId="6" fillId="15" borderId="17" xfId="1" applyNumberFormat="1" applyFont="1" applyFill="1" applyBorder="1" applyAlignment="1" applyProtection="1">
      <alignment horizontal="left" vertical="center" wrapText="1"/>
    </xf>
    <xf numFmtId="169" fontId="6" fillId="15" borderId="18" xfId="1" applyNumberFormat="1" applyFont="1" applyFill="1" applyBorder="1" applyAlignment="1" applyProtection="1">
      <alignment vertical="center"/>
    </xf>
    <xf numFmtId="169" fontId="4" fillId="15" borderId="18" xfId="1" applyNumberFormat="1" applyFont="1" applyFill="1" applyBorder="1" applyAlignment="1" applyProtection="1">
      <alignment vertical="center"/>
    </xf>
    <xf numFmtId="174" fontId="42" fillId="0" borderId="17" xfId="7" applyNumberFormat="1" applyFont="1" applyFill="1" applyBorder="1" applyAlignment="1" applyProtection="1">
      <alignment horizontal="left" vertical="center" indent="1"/>
    </xf>
    <xf numFmtId="9" fontId="41" fillId="0" borderId="20" xfId="7" applyFont="1" applyFill="1" applyBorder="1" applyAlignment="1" applyProtection="1">
      <alignment horizontal="left" vertical="center"/>
    </xf>
    <xf numFmtId="9" fontId="41" fillId="0" borderId="20" xfId="7" applyFont="1" applyFill="1" applyBorder="1" applyAlignment="1" applyProtection="1">
      <alignment horizontal="left" vertical="center" wrapText="1"/>
    </xf>
    <xf numFmtId="169" fontId="41" fillId="0" borderId="21" xfId="7" applyNumberFormat="1" applyFont="1" applyFill="1" applyBorder="1" applyAlignment="1" applyProtection="1">
      <alignment vertical="center"/>
    </xf>
    <xf numFmtId="169" fontId="41" fillId="0" borderId="22" xfId="7" applyNumberFormat="1" applyFont="1" applyFill="1" applyBorder="1" applyAlignment="1" applyProtection="1">
      <alignment vertical="center"/>
    </xf>
    <xf numFmtId="169" fontId="41" fillId="0" borderId="23" xfId="7" applyNumberFormat="1" applyFont="1" applyFill="1" applyBorder="1" applyAlignment="1" applyProtection="1">
      <alignment vertical="center"/>
    </xf>
    <xf numFmtId="10" fontId="33" fillId="0" borderId="0" xfId="7" applyNumberFormat="1" applyFont="1" applyAlignment="1">
      <alignment vertical="center"/>
    </xf>
    <xf numFmtId="10" fontId="33" fillId="0" borderId="0" xfId="7" applyNumberFormat="1" applyFont="1" applyAlignment="1">
      <alignment horizontal="right"/>
    </xf>
    <xf numFmtId="0" fontId="6" fillId="5" borderId="4" xfId="0" applyFont="1" applyFill="1" applyBorder="1" applyAlignment="1">
      <alignment horizontal="center" vertical="center" wrapText="1"/>
    </xf>
    <xf numFmtId="10" fontId="6" fillId="12" borderId="4" xfId="7" applyNumberFormat="1" applyFont="1" applyFill="1" applyBorder="1" applyAlignment="1">
      <alignment horizontal="center" vertical="center" wrapText="1"/>
    </xf>
    <xf numFmtId="9" fontId="33" fillId="0" borderId="0" xfId="7" applyFont="1" applyFill="1" applyBorder="1" applyAlignment="1">
      <alignment vertical="center"/>
    </xf>
    <xf numFmtId="9" fontId="6" fillId="0" borderId="0" xfId="7" applyFont="1" applyFill="1" applyBorder="1" applyAlignment="1">
      <alignment vertical="center"/>
    </xf>
    <xf numFmtId="9" fontId="41" fillId="0" borderId="5" xfId="7" applyFont="1" applyFill="1" applyBorder="1" applyAlignment="1" applyProtection="1">
      <alignment horizontal="left" vertical="center"/>
    </xf>
    <xf numFmtId="9" fontId="41" fillId="0" borderId="5" xfId="7" applyFont="1" applyFill="1" applyBorder="1" applyAlignment="1" applyProtection="1">
      <alignment horizontal="left" vertical="center" wrapText="1"/>
    </xf>
    <xf numFmtId="169" fontId="41" fillId="0" borderId="5" xfId="7" applyNumberFormat="1" applyFont="1" applyFill="1" applyBorder="1" applyAlignment="1" applyProtection="1">
      <alignment vertical="center"/>
    </xf>
    <xf numFmtId="10" fontId="41" fillId="0" borderId="5" xfId="7" applyNumberFormat="1" applyFont="1" applyFill="1" applyBorder="1" applyAlignment="1" applyProtection="1">
      <alignment vertical="center"/>
    </xf>
    <xf numFmtId="169" fontId="41" fillId="0" borderId="5" xfId="7" applyNumberFormat="1" applyFont="1" applyFill="1" applyBorder="1" applyAlignment="1" applyProtection="1">
      <alignment vertical="center" wrapText="1"/>
    </xf>
    <xf numFmtId="10" fontId="6" fillId="0" borderId="0" xfId="7" applyNumberFormat="1" applyFont="1" applyAlignment="1">
      <alignment horizontal="center" vertical="center" wrapText="1"/>
    </xf>
    <xf numFmtId="10" fontId="6" fillId="0" borderId="0" xfId="7" applyNumberFormat="1" applyFont="1" applyFill="1" applyBorder="1" applyAlignment="1">
      <alignment horizontal="center" vertical="center" wrapText="1"/>
    </xf>
    <xf numFmtId="10" fontId="47" fillId="0" borderId="0" xfId="7" applyNumberFormat="1" applyFont="1" applyAlignment="1">
      <alignment vertical="center"/>
    </xf>
    <xf numFmtId="0" fontId="18" fillId="3" borderId="0" xfId="0" applyFont="1" applyFill="1" applyAlignment="1">
      <alignment horizontal="right" vertical="center"/>
    </xf>
    <xf numFmtId="0" fontId="18" fillId="4" borderId="0" xfId="0" applyFont="1" applyFill="1" applyAlignment="1">
      <alignment horizontal="right" vertical="center"/>
    </xf>
    <xf numFmtId="0" fontId="18" fillId="11" borderId="0" xfId="0" applyFont="1" applyFill="1" applyAlignment="1">
      <alignment horizontal="right" vertical="center"/>
    </xf>
    <xf numFmtId="11" fontId="11" fillId="0" borderId="0" xfId="0" applyNumberFormat="1" applyFont="1"/>
    <xf numFmtId="177" fontId="22" fillId="0" borderId="0" xfId="0" applyNumberFormat="1" applyFont="1"/>
    <xf numFmtId="3" fontId="9" fillId="10" borderId="7" xfId="4" applyNumberFormat="1" applyFont="1" applyFill="1" applyBorder="1" applyAlignment="1">
      <alignment horizontal="left" vertical="center" wrapText="1"/>
    </xf>
    <xf numFmtId="3" fontId="48" fillId="0" borderId="7" xfId="4" applyNumberFormat="1" applyFont="1" applyBorder="1" applyAlignment="1">
      <alignment horizontal="left" vertical="center"/>
    </xf>
    <xf numFmtId="3" fontId="49" fillId="0" borderId="7" xfId="4" applyNumberFormat="1" applyFont="1" applyBorder="1" applyAlignment="1">
      <alignment horizontal="left" vertical="center"/>
    </xf>
    <xf numFmtId="3" fontId="50" fillId="0" borderId="7" xfId="4" applyNumberFormat="1" applyFont="1" applyBorder="1" applyAlignment="1">
      <alignment horizontal="left" vertical="center"/>
    </xf>
    <xf numFmtId="3" fontId="21" fillId="0" borderId="7" xfId="4" applyNumberFormat="1" applyFont="1" applyBorder="1" applyAlignment="1">
      <alignment horizontal="left" vertical="center"/>
    </xf>
    <xf numFmtId="164" fontId="8" fillId="16" borderId="9" xfId="6" applyNumberFormat="1" applyFont="1" applyFill="1" applyBorder="1" applyAlignment="1">
      <alignment horizontal="center" vertical="center" wrapText="1"/>
    </xf>
    <xf numFmtId="178" fontId="8" fillId="17" borderId="7" xfId="6" applyNumberFormat="1" applyFont="1" applyFill="1" applyBorder="1" applyAlignment="1">
      <alignment horizontal="center" vertical="center" wrapText="1"/>
    </xf>
    <xf numFmtId="166" fontId="51" fillId="0" borderId="10" xfId="5" applyNumberFormat="1" applyFont="1" applyFill="1" applyBorder="1" applyAlignment="1">
      <alignment horizontal="right" vertical="center" wrapText="1"/>
    </xf>
    <xf numFmtId="3" fontId="49" fillId="0" borderId="8" xfId="0" applyNumberFormat="1" applyFont="1" applyBorder="1" applyAlignment="1" applyProtection="1">
      <alignment vertical="center" wrapText="1"/>
      <protection locked="0"/>
    </xf>
    <xf numFmtId="3" fontId="49" fillId="18" borderId="8" xfId="0" applyNumberFormat="1" applyFont="1" applyFill="1" applyBorder="1" applyAlignment="1" applyProtection="1">
      <alignment vertical="center" wrapText="1"/>
      <protection locked="0"/>
    </xf>
    <xf numFmtId="164" fontId="50" fillId="0" borderId="8" xfId="1" applyNumberFormat="1" applyFont="1" applyBorder="1" applyAlignment="1" applyProtection="1">
      <alignment vertical="center" wrapText="1"/>
      <protection locked="0"/>
    </xf>
    <xf numFmtId="3" fontId="49" fillId="19" borderId="8" xfId="0" applyNumberFormat="1" applyFont="1" applyFill="1" applyBorder="1" applyAlignment="1" applyProtection="1">
      <alignment vertical="center" wrapText="1"/>
      <protection locked="0"/>
    </xf>
    <xf numFmtId="164" fontId="21" fillId="19" borderId="11" xfId="5" applyNumberFormat="1" applyFont="1" applyFill="1" applyBorder="1" applyAlignment="1" applyProtection="1">
      <alignment horizontal="center" vertical="center" wrapText="1"/>
      <protection locked="0"/>
    </xf>
    <xf numFmtId="164" fontId="21" fillId="0" borderId="11" xfId="5" applyNumberFormat="1" applyFont="1" applyBorder="1" applyAlignment="1" applyProtection="1">
      <alignment horizontal="center" vertical="center" wrapText="1"/>
      <protection locked="0"/>
    </xf>
    <xf numFmtId="164" fontId="21" fillId="18" borderId="11" xfId="5" applyNumberFormat="1" applyFont="1" applyFill="1" applyBorder="1" applyAlignment="1" applyProtection="1">
      <alignment horizontal="center" vertical="center" wrapText="1"/>
      <protection locked="0"/>
    </xf>
    <xf numFmtId="3" fontId="52" fillId="19" borderId="8" xfId="0" applyNumberFormat="1" applyFont="1" applyFill="1" applyBorder="1" applyAlignment="1" applyProtection="1">
      <alignment vertical="center" wrapText="1"/>
      <protection locked="0"/>
    </xf>
    <xf numFmtId="3" fontId="52" fillId="0" borderId="8" xfId="0" applyNumberFormat="1" applyFont="1" applyBorder="1" applyAlignment="1" applyProtection="1">
      <alignment vertical="center" wrapText="1"/>
      <protection locked="0"/>
    </xf>
    <xf numFmtId="3" fontId="52" fillId="18" borderId="8" xfId="0" applyNumberFormat="1" applyFont="1" applyFill="1" applyBorder="1" applyAlignment="1" applyProtection="1">
      <alignment vertical="center" wrapText="1"/>
      <protection locked="0"/>
    </xf>
    <xf numFmtId="3" fontId="50" fillId="19" borderId="8" xfId="0" applyNumberFormat="1" applyFont="1" applyFill="1" applyBorder="1" applyAlignment="1" applyProtection="1">
      <alignment vertical="center" wrapText="1"/>
      <protection locked="0"/>
    </xf>
    <xf numFmtId="3" fontId="50" fillId="0" borderId="8" xfId="0" applyNumberFormat="1" applyFont="1" applyBorder="1" applyAlignment="1" applyProtection="1">
      <alignment vertical="center" wrapText="1"/>
      <protection locked="0"/>
    </xf>
    <xf numFmtId="3" fontId="50" fillId="18" borderId="8" xfId="0" applyNumberFormat="1" applyFont="1" applyFill="1" applyBorder="1" applyAlignment="1" applyProtection="1">
      <alignment vertical="center" wrapText="1"/>
      <protection locked="0"/>
    </xf>
    <xf numFmtId="3" fontId="50" fillId="19" borderId="8" xfId="4" applyNumberFormat="1" applyFont="1" applyFill="1" applyBorder="1" applyAlignment="1" applyProtection="1">
      <alignment vertical="center" wrapText="1"/>
      <protection locked="0"/>
    </xf>
    <xf numFmtId="3" fontId="50" fillId="0" borderId="8" xfId="4" applyNumberFormat="1" applyFont="1" applyBorder="1" applyAlignment="1" applyProtection="1">
      <alignment vertical="center" wrapText="1"/>
      <protection locked="0"/>
    </xf>
    <xf numFmtId="3" fontId="50" fillId="18" borderId="8" xfId="4" applyNumberFormat="1" applyFont="1" applyFill="1" applyBorder="1" applyAlignment="1" applyProtection="1">
      <alignment vertical="center" wrapText="1"/>
      <protection locked="0"/>
    </xf>
    <xf numFmtId="3" fontId="53" fillId="19" borderId="8" xfId="0" applyNumberFormat="1" applyFont="1" applyFill="1" applyBorder="1" applyAlignment="1" applyProtection="1">
      <alignment vertical="center" wrapText="1"/>
      <protection locked="0"/>
    </xf>
    <xf numFmtId="3" fontId="53" fillId="0" borderId="8" xfId="0" applyNumberFormat="1" applyFont="1" applyBorder="1" applyAlignment="1" applyProtection="1">
      <alignment vertical="center" wrapText="1"/>
      <protection locked="0"/>
    </xf>
    <xf numFmtId="3" fontId="53" fillId="18" borderId="8" xfId="0" applyNumberFormat="1" applyFont="1" applyFill="1" applyBorder="1" applyAlignment="1" applyProtection="1">
      <alignment vertical="center" wrapText="1"/>
      <protection locked="0"/>
    </xf>
    <xf numFmtId="164" fontId="27" fillId="0" borderId="3" xfId="1" applyNumberFormat="1" applyFont="1" applyFill="1" applyBorder="1" applyAlignment="1" applyProtection="1">
      <alignment horizontal="right" vertical="top" wrapText="1"/>
      <protection locked="0"/>
    </xf>
    <xf numFmtId="0" fontId="18" fillId="6" borderId="0" xfId="0" applyFont="1" applyFill="1" applyAlignment="1">
      <alignment horizontal="right" vertical="center"/>
    </xf>
    <xf numFmtId="164" fontId="27" fillId="7" borderId="1" xfId="1" applyNumberFormat="1" applyFont="1" applyFill="1" applyBorder="1" applyAlignment="1" applyProtection="1">
      <alignment horizontal="center" vertical="top" wrapText="1"/>
      <protection locked="0"/>
    </xf>
    <xf numFmtId="164" fontId="11" fillId="0" borderId="0" xfId="0" applyNumberFormat="1" applyFont="1"/>
    <xf numFmtId="43" fontId="11" fillId="0" borderId="0" xfId="0" applyNumberFormat="1" applyFont="1"/>
    <xf numFmtId="164" fontId="11" fillId="0" borderId="0" xfId="1" applyNumberFormat="1" applyFont="1"/>
    <xf numFmtId="0" fontId="54" fillId="8" borderId="25" xfId="0" applyFont="1" applyFill="1" applyBorder="1"/>
    <xf numFmtId="179" fontId="54" fillId="8" borderId="26" xfId="0" applyNumberFormat="1" applyFont="1" applyFill="1" applyBorder="1"/>
    <xf numFmtId="0" fontId="18" fillId="4" borderId="33" xfId="0" applyFont="1" applyFill="1" applyBorder="1" applyAlignment="1">
      <alignment horizontal="right" vertical="center"/>
    </xf>
    <xf numFmtId="0" fontId="18" fillId="4" borderId="34" xfId="0" applyFont="1" applyFill="1" applyBorder="1" applyAlignment="1">
      <alignment horizontal="right" vertical="center"/>
    </xf>
    <xf numFmtId="0" fontId="18" fillId="20" borderId="35" xfId="0" applyFont="1" applyFill="1" applyBorder="1" applyAlignment="1">
      <alignment horizontal="right" vertical="center"/>
    </xf>
    <xf numFmtId="0" fontId="18" fillId="20" borderId="0" xfId="0" applyFont="1" applyFill="1" applyAlignment="1">
      <alignment horizontal="right" vertical="center"/>
    </xf>
    <xf numFmtId="0" fontId="18" fillId="20" borderId="36" xfId="0" applyFont="1" applyFill="1" applyBorder="1" applyAlignment="1">
      <alignment horizontal="right" vertical="center"/>
    </xf>
    <xf numFmtId="164" fontId="19" fillId="0" borderId="37" xfId="1" applyNumberFormat="1" applyFont="1" applyFill="1" applyBorder="1" applyAlignment="1" applyProtection="1">
      <alignment horizontal="right" vertical="top" wrapText="1"/>
      <protection locked="0"/>
    </xf>
    <xf numFmtId="164" fontId="19" fillId="0" borderId="38" xfId="1" applyNumberFormat="1" applyFont="1" applyFill="1" applyBorder="1" applyAlignment="1" applyProtection="1">
      <alignment horizontal="right" vertical="top" wrapText="1"/>
      <protection locked="0"/>
    </xf>
    <xf numFmtId="164" fontId="19" fillId="0" borderId="39" xfId="1" applyNumberFormat="1" applyFont="1" applyFill="1" applyBorder="1" applyAlignment="1" applyProtection="1">
      <alignment horizontal="right" vertical="top" wrapText="1"/>
      <protection locked="0"/>
    </xf>
    <xf numFmtId="164" fontId="19" fillId="0" borderId="40" xfId="1" applyNumberFormat="1" applyFont="1" applyFill="1" applyBorder="1" applyAlignment="1" applyProtection="1">
      <alignment horizontal="right" vertical="top" wrapText="1"/>
      <protection locked="0"/>
    </xf>
    <xf numFmtId="164" fontId="36" fillId="0" borderId="41" xfId="1" applyNumberFormat="1" applyFont="1" applyBorder="1" applyAlignment="1" applyProtection="1">
      <alignment vertical="top" wrapText="1"/>
      <protection locked="0"/>
    </xf>
    <xf numFmtId="164" fontId="36" fillId="0" borderId="42" xfId="1" applyNumberFormat="1" applyFont="1" applyBorder="1" applyAlignment="1" applyProtection="1">
      <alignment vertical="top" wrapText="1"/>
      <protection locked="0"/>
    </xf>
    <xf numFmtId="164" fontId="36" fillId="0" borderId="43" xfId="1" applyNumberFormat="1" applyFont="1" applyBorder="1" applyAlignment="1" applyProtection="1">
      <alignment vertical="top" wrapText="1"/>
      <protection locked="0"/>
    </xf>
    <xf numFmtId="164" fontId="36" fillId="0" borderId="44" xfId="1" applyNumberFormat="1" applyFont="1" applyBorder="1" applyAlignment="1" applyProtection="1">
      <alignment vertical="top" wrapText="1"/>
      <protection locked="0"/>
    </xf>
    <xf numFmtId="164" fontId="15" fillId="0" borderId="41" xfId="1" applyNumberFormat="1" applyFont="1" applyBorder="1" applyAlignment="1" applyProtection="1">
      <alignment horizontal="center" vertical="top" wrapText="1"/>
      <protection locked="0"/>
    </xf>
    <xf numFmtId="164" fontId="15" fillId="0" borderId="42" xfId="1" applyNumberFormat="1" applyFont="1" applyBorder="1" applyAlignment="1" applyProtection="1">
      <alignment horizontal="center" vertical="top" wrapText="1"/>
      <protection locked="0"/>
    </xf>
    <xf numFmtId="164" fontId="15" fillId="0" borderId="43" xfId="1" applyNumberFormat="1" applyFont="1" applyBorder="1" applyAlignment="1" applyProtection="1">
      <alignment horizontal="center" vertical="top" wrapText="1"/>
      <protection locked="0"/>
    </xf>
    <xf numFmtId="164" fontId="15" fillId="0" borderId="44" xfId="1" applyNumberFormat="1" applyFont="1" applyBorder="1" applyAlignment="1" applyProtection="1">
      <alignment horizontal="center" vertical="top" wrapText="1"/>
      <protection locked="0"/>
    </xf>
    <xf numFmtId="164" fontId="27" fillId="0" borderId="41" xfId="1" applyNumberFormat="1" applyFont="1" applyBorder="1" applyAlignment="1" applyProtection="1">
      <alignment vertical="top" wrapText="1"/>
      <protection locked="0"/>
    </xf>
    <xf numFmtId="164" fontId="27" fillId="0" borderId="42" xfId="1" applyNumberFormat="1" applyFont="1" applyBorder="1" applyAlignment="1" applyProtection="1">
      <alignment vertical="top" wrapText="1"/>
      <protection locked="0"/>
    </xf>
    <xf numFmtId="164" fontId="27" fillId="0" borderId="43" xfId="1" applyNumberFormat="1" applyFont="1" applyBorder="1" applyAlignment="1" applyProtection="1">
      <alignment vertical="top" wrapText="1"/>
      <protection locked="0"/>
    </xf>
    <xf numFmtId="164" fontId="27" fillId="0" borderId="44" xfId="1" applyNumberFormat="1" applyFont="1" applyBorder="1" applyAlignment="1" applyProtection="1">
      <alignment vertical="top" wrapText="1"/>
      <protection locked="0"/>
    </xf>
    <xf numFmtId="164" fontId="29" fillId="0" borderId="41" xfId="1" applyNumberFormat="1" applyFont="1" applyBorder="1" applyAlignment="1" applyProtection="1">
      <alignment vertical="top" wrapText="1"/>
      <protection locked="0"/>
    </xf>
    <xf numFmtId="164" fontId="29" fillId="0" borderId="42" xfId="1" applyNumberFormat="1" applyFont="1" applyBorder="1" applyAlignment="1" applyProtection="1">
      <alignment vertical="top" wrapText="1"/>
      <protection locked="0"/>
    </xf>
    <xf numFmtId="164" fontId="29" fillId="0" borderId="43" xfId="1" applyNumberFormat="1" applyFont="1" applyBorder="1" applyAlignment="1" applyProtection="1">
      <alignment vertical="top" wrapText="1"/>
      <protection locked="0"/>
    </xf>
    <xf numFmtId="164" fontId="29" fillId="0" borderId="44" xfId="1" applyNumberFormat="1" applyFont="1" applyBorder="1" applyAlignment="1" applyProtection="1">
      <alignment vertical="top" wrapText="1"/>
      <protection locked="0"/>
    </xf>
    <xf numFmtId="164" fontId="13" fillId="0" borderId="41" xfId="1" applyNumberFormat="1" applyFont="1" applyBorder="1" applyAlignment="1" applyProtection="1">
      <alignment vertical="top" wrapText="1"/>
      <protection locked="0"/>
    </xf>
    <xf numFmtId="164" fontId="13" fillId="0" borderId="42" xfId="1" applyNumberFormat="1" applyFont="1" applyBorder="1" applyAlignment="1" applyProtection="1">
      <alignment vertical="top" wrapText="1"/>
      <protection locked="0"/>
    </xf>
    <xf numFmtId="164" fontId="13" fillId="0" borderId="43" xfId="1" applyNumberFormat="1" applyFont="1" applyBorder="1" applyAlignment="1" applyProtection="1">
      <alignment vertical="top" wrapText="1"/>
      <protection locked="0"/>
    </xf>
    <xf numFmtId="164" fontId="13" fillId="0" borderId="44" xfId="1" applyNumberFormat="1" applyFont="1" applyBorder="1" applyAlignment="1" applyProtection="1">
      <alignment vertical="top" wrapText="1"/>
      <protection locked="0"/>
    </xf>
    <xf numFmtId="164" fontId="13" fillId="0" borderId="45" xfId="1" applyNumberFormat="1" applyFont="1" applyBorder="1" applyAlignment="1" applyProtection="1">
      <alignment vertical="top" wrapText="1"/>
      <protection locked="0"/>
    </xf>
    <xf numFmtId="164" fontId="13" fillId="0" borderId="46" xfId="1" applyNumberFormat="1" applyFont="1" applyBorder="1" applyAlignment="1" applyProtection="1">
      <alignment vertical="top" wrapText="1"/>
      <protection locked="0"/>
    </xf>
    <xf numFmtId="164" fontId="13" fillId="0" borderId="47" xfId="1" applyNumberFormat="1" applyFont="1" applyBorder="1" applyAlignment="1" applyProtection="1">
      <alignment vertical="top" wrapText="1"/>
      <protection locked="0"/>
    </xf>
    <xf numFmtId="164" fontId="13" fillId="0" borderId="48" xfId="1" applyNumberFormat="1" applyFont="1" applyBorder="1" applyAlignment="1" applyProtection="1">
      <alignment vertical="top" wrapText="1"/>
      <protection locked="0"/>
    </xf>
    <xf numFmtId="164" fontId="9" fillId="7" borderId="49" xfId="1" applyNumberFormat="1" applyFont="1" applyFill="1" applyBorder="1" applyAlignment="1" applyProtection="1">
      <alignment vertical="top" wrapText="1"/>
      <protection locked="0"/>
    </xf>
    <xf numFmtId="164" fontId="9" fillId="7" borderId="50" xfId="1" applyNumberFormat="1" applyFont="1" applyFill="1" applyBorder="1" applyAlignment="1" applyProtection="1">
      <alignment vertical="top" wrapText="1"/>
      <protection locked="0"/>
    </xf>
    <xf numFmtId="164" fontId="9" fillId="7" borderId="51" xfId="1" applyNumberFormat="1" applyFont="1" applyFill="1" applyBorder="1" applyAlignment="1" applyProtection="1">
      <alignment vertical="top" wrapText="1"/>
      <protection locked="0"/>
    </xf>
    <xf numFmtId="164" fontId="9" fillId="7" borderId="52" xfId="1" applyNumberFormat="1" applyFont="1" applyFill="1" applyBorder="1" applyAlignment="1" applyProtection="1">
      <alignment vertical="top" wrapText="1"/>
      <protection locked="0"/>
    </xf>
    <xf numFmtId="164" fontId="27" fillId="7" borderId="37" xfId="1" applyNumberFormat="1" applyFont="1" applyFill="1" applyBorder="1" applyAlignment="1" applyProtection="1">
      <alignment vertical="top" wrapText="1"/>
      <protection locked="0"/>
    </xf>
    <xf numFmtId="164" fontId="27" fillId="7" borderId="38" xfId="1" applyNumberFormat="1" applyFont="1" applyFill="1" applyBorder="1" applyAlignment="1" applyProtection="1">
      <alignment vertical="top" wrapText="1"/>
      <protection locked="0"/>
    </xf>
    <xf numFmtId="164" fontId="27" fillId="7" borderId="39" xfId="1" applyNumberFormat="1" applyFont="1" applyFill="1" applyBorder="1" applyAlignment="1" applyProtection="1">
      <alignment vertical="top" wrapText="1"/>
      <protection locked="0"/>
    </xf>
    <xf numFmtId="164" fontId="27" fillId="7" borderId="40" xfId="1" applyNumberFormat="1" applyFont="1" applyFill="1" applyBorder="1" applyAlignment="1" applyProtection="1">
      <alignment vertical="top" wrapText="1"/>
      <protection locked="0"/>
    </xf>
    <xf numFmtId="164" fontId="27" fillId="7" borderId="41" xfId="1" applyNumberFormat="1" applyFont="1" applyFill="1" applyBorder="1" applyAlignment="1" applyProtection="1">
      <alignment vertical="top" wrapText="1"/>
      <protection locked="0"/>
    </xf>
    <xf numFmtId="164" fontId="27" fillId="7" borderId="42" xfId="1" applyNumberFormat="1" applyFont="1" applyFill="1" applyBorder="1" applyAlignment="1" applyProtection="1">
      <alignment vertical="top" wrapText="1"/>
      <protection locked="0"/>
    </xf>
    <xf numFmtId="164" fontId="27" fillId="7" borderId="43" xfId="1" applyNumberFormat="1" applyFont="1" applyFill="1" applyBorder="1" applyAlignment="1" applyProtection="1">
      <alignment vertical="top" wrapText="1"/>
      <protection locked="0"/>
    </xf>
    <xf numFmtId="164" fontId="27" fillId="7" borderId="44" xfId="1" applyNumberFormat="1" applyFont="1" applyFill="1" applyBorder="1" applyAlignment="1" applyProtection="1">
      <alignment vertical="top" wrapText="1"/>
      <protection locked="0"/>
    </xf>
    <xf numFmtId="164" fontId="11" fillId="0" borderId="41" xfId="1" applyNumberFormat="1" applyFont="1" applyBorder="1" applyAlignment="1" applyProtection="1">
      <alignment vertical="top" wrapText="1"/>
      <protection locked="0"/>
    </xf>
    <xf numFmtId="164" fontId="11" fillId="0" borderId="42" xfId="1" applyNumberFormat="1" applyFont="1" applyBorder="1" applyAlignment="1" applyProtection="1">
      <alignment vertical="top" wrapText="1"/>
      <protection locked="0"/>
    </xf>
    <xf numFmtId="164" fontId="11" fillId="0" borderId="43" xfId="1" applyNumberFormat="1" applyFont="1" applyBorder="1" applyAlignment="1" applyProtection="1">
      <alignment vertical="top" wrapText="1"/>
      <protection locked="0"/>
    </xf>
    <xf numFmtId="164" fontId="11" fillId="0" borderId="44" xfId="1" applyNumberFormat="1" applyFont="1" applyBorder="1" applyAlignment="1" applyProtection="1">
      <alignment vertical="top" wrapText="1"/>
      <protection locked="0"/>
    </xf>
    <xf numFmtId="164" fontId="28" fillId="0" borderId="41" xfId="1" applyNumberFormat="1" applyFont="1" applyFill="1" applyBorder="1" applyAlignment="1" applyProtection="1">
      <alignment horizontal="right" vertical="top" wrapText="1"/>
      <protection locked="0"/>
    </xf>
    <xf numFmtId="164" fontId="28" fillId="0" borderId="42" xfId="1" applyNumberFormat="1" applyFont="1" applyFill="1" applyBorder="1" applyAlignment="1" applyProtection="1">
      <alignment horizontal="right" vertical="top" wrapText="1"/>
      <protection locked="0"/>
    </xf>
    <xf numFmtId="164" fontId="28" fillId="0" borderId="43" xfId="1" applyNumberFormat="1" applyFont="1" applyFill="1" applyBorder="1" applyAlignment="1" applyProtection="1">
      <alignment horizontal="right" vertical="top" wrapText="1"/>
      <protection locked="0"/>
    </xf>
    <xf numFmtId="164" fontId="28" fillId="0" borderId="44" xfId="1" applyNumberFormat="1" applyFont="1" applyFill="1" applyBorder="1" applyAlignment="1" applyProtection="1">
      <alignment horizontal="right" vertical="top" wrapText="1"/>
      <protection locked="0"/>
    </xf>
    <xf numFmtId="164" fontId="28" fillId="0" borderId="45" xfId="1" applyNumberFormat="1" applyFont="1" applyBorder="1" applyAlignment="1" applyProtection="1">
      <alignment vertical="top" wrapText="1"/>
      <protection locked="0"/>
    </xf>
    <xf numFmtId="164" fontId="28" fillId="0" borderId="46" xfId="1" applyNumberFormat="1" applyFont="1" applyBorder="1" applyAlignment="1" applyProtection="1">
      <alignment vertical="top" wrapText="1"/>
      <protection locked="0"/>
    </xf>
    <xf numFmtId="164" fontId="28" fillId="0" borderId="47" xfId="1" applyNumberFormat="1" applyFont="1" applyBorder="1" applyAlignment="1" applyProtection="1">
      <alignment vertical="top" wrapText="1"/>
      <protection locked="0"/>
    </xf>
    <xf numFmtId="164" fontId="28" fillId="0" borderId="48" xfId="1" applyNumberFormat="1" applyFont="1" applyBorder="1" applyAlignment="1" applyProtection="1">
      <alignment vertical="top" wrapText="1"/>
      <protection locked="0"/>
    </xf>
    <xf numFmtId="164" fontId="8" fillId="7" borderId="49" xfId="1" applyNumberFormat="1" applyFont="1" applyFill="1" applyBorder="1" applyAlignment="1" applyProtection="1">
      <alignment vertical="top" wrapText="1"/>
      <protection locked="0"/>
    </xf>
    <xf numFmtId="164" fontId="8" fillId="7" borderId="50" xfId="1" applyNumberFormat="1" applyFont="1" applyFill="1" applyBorder="1" applyAlignment="1" applyProtection="1">
      <alignment vertical="top" wrapText="1"/>
      <protection locked="0"/>
    </xf>
    <xf numFmtId="164" fontId="8" fillId="7" borderId="51" xfId="1" applyNumberFormat="1" applyFont="1" applyFill="1" applyBorder="1" applyAlignment="1" applyProtection="1">
      <alignment vertical="top" wrapText="1"/>
      <protection locked="0"/>
    </xf>
    <xf numFmtId="164" fontId="8" fillId="7" borderId="52" xfId="1" applyNumberFormat="1" applyFont="1" applyFill="1" applyBorder="1" applyAlignment="1" applyProtection="1">
      <alignment vertical="top" wrapText="1"/>
      <protection locked="0"/>
    </xf>
    <xf numFmtId="164" fontId="27" fillId="7" borderId="41" xfId="1" applyNumberFormat="1" applyFont="1" applyFill="1" applyBorder="1" applyAlignment="1" applyProtection="1">
      <alignment horizontal="center" vertical="top" wrapText="1"/>
      <protection locked="0"/>
    </xf>
    <xf numFmtId="164" fontId="27" fillId="7" borderId="42" xfId="1" applyNumberFormat="1" applyFont="1" applyFill="1" applyBorder="1" applyAlignment="1" applyProtection="1">
      <alignment horizontal="center" vertical="top" wrapText="1"/>
      <protection locked="0"/>
    </xf>
    <xf numFmtId="164" fontId="27" fillId="7" borderId="43" xfId="1" applyNumberFormat="1" applyFont="1" applyFill="1" applyBorder="1" applyAlignment="1" applyProtection="1">
      <alignment horizontal="center" vertical="top" wrapText="1"/>
      <protection locked="0"/>
    </xf>
    <xf numFmtId="164" fontId="27" fillId="7" borderId="44" xfId="1" applyNumberFormat="1" applyFont="1" applyFill="1" applyBorder="1" applyAlignment="1" applyProtection="1">
      <alignment horizontal="center" vertical="top" wrapText="1"/>
      <protection locked="0"/>
    </xf>
    <xf numFmtId="164" fontId="9" fillId="0" borderId="41" xfId="1" applyNumberFormat="1" applyFont="1" applyBorder="1" applyAlignment="1" applyProtection="1">
      <alignment vertical="top" wrapText="1"/>
      <protection locked="0"/>
    </xf>
    <xf numFmtId="164" fontId="9" fillId="0" borderId="42" xfId="1" applyNumberFormat="1" applyFont="1" applyBorder="1" applyAlignment="1" applyProtection="1">
      <alignment vertical="top" wrapText="1"/>
      <protection locked="0"/>
    </xf>
    <xf numFmtId="164" fontId="9" fillId="0" borderId="43" xfId="1" applyNumberFormat="1" applyFont="1" applyBorder="1" applyAlignment="1" applyProtection="1">
      <alignment vertical="top" wrapText="1"/>
      <protection locked="0"/>
    </xf>
    <xf numFmtId="164" fontId="9" fillId="0" borderId="44" xfId="1" applyNumberFormat="1" applyFont="1" applyBorder="1" applyAlignment="1" applyProtection="1">
      <alignment vertical="top" wrapText="1"/>
      <protection locked="0"/>
    </xf>
    <xf numFmtId="164" fontId="26" fillId="0" borderId="41" xfId="1" applyNumberFormat="1" applyFont="1" applyBorder="1" applyAlignment="1" applyProtection="1">
      <alignment vertical="top" wrapText="1"/>
      <protection locked="0"/>
    </xf>
    <xf numFmtId="164" fontId="26" fillId="0" borderId="42" xfId="1" applyNumberFormat="1" applyFont="1" applyBorder="1" applyAlignment="1" applyProtection="1">
      <alignment vertical="top" wrapText="1"/>
      <protection locked="0"/>
    </xf>
    <xf numFmtId="164" fontId="26" fillId="0" borderId="43" xfId="1" applyNumberFormat="1" applyFont="1" applyBorder="1" applyAlignment="1" applyProtection="1">
      <alignment vertical="top" wrapText="1"/>
      <protection locked="0"/>
    </xf>
    <xf numFmtId="164" fontId="26" fillId="0" borderId="44" xfId="1" applyNumberFormat="1" applyFont="1" applyBorder="1" applyAlignment="1" applyProtection="1">
      <alignment vertical="top" wrapText="1"/>
      <protection locked="0"/>
    </xf>
    <xf numFmtId="164" fontId="9" fillId="0" borderId="49" xfId="1" applyNumberFormat="1" applyFont="1" applyBorder="1" applyAlignment="1" applyProtection="1">
      <alignment vertical="top" wrapText="1"/>
      <protection locked="0"/>
    </xf>
    <xf numFmtId="164" fontId="9" fillId="0" borderId="50" xfId="1" applyNumberFormat="1" applyFont="1" applyBorder="1" applyAlignment="1" applyProtection="1">
      <alignment vertical="top" wrapText="1"/>
      <protection locked="0"/>
    </xf>
    <xf numFmtId="164" fontId="9" fillId="0" borderId="51" xfId="1" applyNumberFormat="1" applyFont="1" applyBorder="1" applyAlignment="1" applyProtection="1">
      <alignment vertical="top" wrapText="1"/>
      <protection locked="0"/>
    </xf>
    <xf numFmtId="164" fontId="9" fillId="0" borderId="52" xfId="1" applyNumberFormat="1" applyFont="1" applyBorder="1" applyAlignment="1" applyProtection="1">
      <alignment vertical="top" wrapText="1"/>
      <protection locked="0"/>
    </xf>
    <xf numFmtId="164" fontId="34" fillId="0" borderId="37" xfId="1" applyNumberFormat="1" applyFont="1" applyBorder="1" applyAlignment="1" applyProtection="1">
      <alignment vertical="top" wrapText="1"/>
      <protection locked="0"/>
    </xf>
    <xf numFmtId="164" fontId="34" fillId="0" borderId="38" xfId="1" applyNumberFormat="1" applyFont="1" applyBorder="1" applyAlignment="1" applyProtection="1">
      <alignment vertical="top" wrapText="1"/>
      <protection locked="0"/>
    </xf>
    <xf numFmtId="164" fontId="34" fillId="0" borderId="39" xfId="1" applyNumberFormat="1" applyFont="1" applyBorder="1" applyAlignment="1" applyProtection="1">
      <alignment vertical="top" wrapText="1"/>
      <protection locked="0"/>
    </xf>
    <xf numFmtId="164" fontId="34" fillId="0" borderId="40" xfId="1" applyNumberFormat="1" applyFont="1" applyBorder="1" applyAlignment="1" applyProtection="1">
      <alignment vertical="top" wrapText="1"/>
      <protection locked="0"/>
    </xf>
    <xf numFmtId="164" fontId="34" fillId="0" borderId="41" xfId="1" applyNumberFormat="1" applyFont="1" applyBorder="1" applyAlignment="1" applyProtection="1">
      <alignment vertical="top" wrapText="1"/>
      <protection locked="0"/>
    </xf>
    <xf numFmtId="164" fontId="34" fillId="0" borderId="42" xfId="1" applyNumberFormat="1" applyFont="1" applyBorder="1" applyAlignment="1" applyProtection="1">
      <alignment vertical="top" wrapText="1"/>
      <protection locked="0"/>
    </xf>
    <xf numFmtId="164" fontId="34" fillId="0" borderId="43" xfId="1" applyNumberFormat="1" applyFont="1" applyBorder="1" applyAlignment="1" applyProtection="1">
      <alignment vertical="top" wrapText="1"/>
      <protection locked="0"/>
    </xf>
    <xf numFmtId="164" fontId="34" fillId="0" borderId="44" xfId="1" applyNumberFormat="1" applyFont="1" applyBorder="1" applyAlignment="1" applyProtection="1">
      <alignment vertical="top" wrapText="1"/>
      <protection locked="0"/>
    </xf>
    <xf numFmtId="164" fontId="27" fillId="0" borderId="45" xfId="1" applyNumberFormat="1" applyFont="1" applyBorder="1" applyAlignment="1" applyProtection="1">
      <alignment vertical="top" wrapText="1"/>
      <protection locked="0"/>
    </xf>
    <xf numFmtId="164" fontId="27" fillId="0" borderId="46" xfId="1" applyNumberFormat="1" applyFont="1" applyBorder="1" applyAlignment="1" applyProtection="1">
      <alignment vertical="top" wrapText="1"/>
      <protection locked="0"/>
    </xf>
    <xf numFmtId="164" fontId="27" fillId="0" borderId="47" xfId="1" applyNumberFormat="1" applyFont="1" applyBorder="1" applyAlignment="1" applyProtection="1">
      <alignment vertical="top" wrapText="1"/>
      <protection locked="0"/>
    </xf>
    <xf numFmtId="164" fontId="27" fillId="0" borderId="48" xfId="1" applyNumberFormat="1" applyFont="1" applyBorder="1" applyAlignment="1" applyProtection="1">
      <alignment vertical="top" wrapText="1"/>
      <protection locked="0"/>
    </xf>
    <xf numFmtId="164" fontId="27" fillId="0" borderId="37" xfId="1" applyNumberFormat="1" applyFont="1" applyFill="1" applyBorder="1" applyAlignment="1" applyProtection="1">
      <alignment horizontal="right" vertical="top" wrapText="1"/>
      <protection locked="0"/>
    </xf>
    <xf numFmtId="164" fontId="27" fillId="0" borderId="38" xfId="1" applyNumberFormat="1" applyFont="1" applyFill="1" applyBorder="1" applyAlignment="1" applyProtection="1">
      <alignment horizontal="right" vertical="top" wrapText="1"/>
      <protection locked="0"/>
    </xf>
    <xf numFmtId="164" fontId="27" fillId="0" borderId="39" xfId="1" applyNumberFormat="1" applyFont="1" applyFill="1" applyBorder="1" applyAlignment="1" applyProtection="1">
      <alignment horizontal="right" vertical="top" wrapText="1"/>
      <protection locked="0"/>
    </xf>
    <xf numFmtId="164" fontId="27" fillId="0" borderId="40" xfId="1" applyNumberFormat="1" applyFont="1" applyFill="1" applyBorder="1" applyAlignment="1" applyProtection="1">
      <alignment horizontal="right" vertical="top" wrapText="1"/>
      <protection locked="0"/>
    </xf>
    <xf numFmtId="164" fontId="8" fillId="0" borderId="49" xfId="1" applyNumberFormat="1" applyFont="1" applyBorder="1" applyAlignment="1" applyProtection="1">
      <alignment vertical="top" wrapText="1"/>
      <protection locked="0"/>
    </xf>
    <xf numFmtId="164" fontId="8" fillId="0" borderId="50" xfId="1" applyNumberFormat="1" applyFont="1" applyBorder="1" applyAlignment="1" applyProtection="1">
      <alignment vertical="top" wrapText="1"/>
      <protection locked="0"/>
    </xf>
    <xf numFmtId="164" fontId="8" fillId="0" borderId="51" xfId="1" applyNumberFormat="1" applyFont="1" applyBorder="1" applyAlignment="1" applyProtection="1">
      <alignment vertical="top" wrapText="1"/>
      <protection locked="0"/>
    </xf>
    <xf numFmtId="164" fontId="8" fillId="0" borderId="52" xfId="1" applyNumberFormat="1" applyFont="1" applyBorder="1" applyAlignment="1" applyProtection="1">
      <alignment vertical="top" wrapText="1"/>
      <protection locked="0"/>
    </xf>
    <xf numFmtId="0" fontId="22" fillId="0" borderId="53" xfId="0" applyFont="1" applyBorder="1"/>
    <xf numFmtId="0" fontId="22" fillId="0" borderId="54" xfId="0" applyFont="1" applyBorder="1"/>
    <xf numFmtId="43" fontId="22" fillId="0" borderId="55" xfId="0" applyNumberFormat="1" applyFont="1" applyBorder="1"/>
    <xf numFmtId="0" fontId="22" fillId="0" borderId="56" xfId="0" applyFont="1" applyBorder="1"/>
    <xf numFmtId="0" fontId="22" fillId="0" borderId="57" xfId="0" applyFont="1" applyBorder="1"/>
    <xf numFmtId="0" fontId="22" fillId="0" borderId="58" xfId="0" applyFont="1" applyBorder="1"/>
    <xf numFmtId="0" fontId="19" fillId="0" borderId="3" xfId="5" applyNumberFormat="1" applyFont="1" applyBorder="1" applyAlignment="1">
      <alignment horizontal="center" vertical="top" wrapText="1"/>
    </xf>
    <xf numFmtId="164" fontId="19" fillId="0" borderId="3" xfId="1" applyNumberFormat="1" applyFont="1" applyBorder="1" applyAlignment="1" applyProtection="1">
      <alignment horizontal="right" vertical="top" wrapText="1"/>
      <protection locked="0"/>
    </xf>
    <xf numFmtId="0" fontId="36" fillId="0" borderId="1" xfId="5" applyNumberFormat="1" applyFont="1" applyBorder="1" applyAlignment="1">
      <alignment horizontal="center" vertical="top" wrapText="1"/>
    </xf>
    <xf numFmtId="0" fontId="18" fillId="2" borderId="59" xfId="0" applyFont="1" applyFill="1" applyBorder="1" applyAlignment="1">
      <alignment horizontal="right" vertical="center"/>
    </xf>
    <xf numFmtId="0" fontId="18" fillId="2" borderId="59" xfId="0" quotePrefix="1" applyFont="1" applyFill="1" applyBorder="1" applyAlignment="1">
      <alignment horizontal="right" vertical="center"/>
    </xf>
    <xf numFmtId="0" fontId="18" fillId="17" borderId="59" xfId="0" applyFont="1" applyFill="1" applyBorder="1" applyAlignment="1">
      <alignment horizontal="right" vertical="center"/>
    </xf>
    <xf numFmtId="3" fontId="27" fillId="0" borderId="1" xfId="0" applyNumberFormat="1" applyFont="1" applyBorder="1" applyAlignment="1">
      <alignment horizontal="center" vertical="top" wrapText="1"/>
    </xf>
    <xf numFmtId="43" fontId="22" fillId="0" borderId="0" xfId="1" applyFont="1"/>
    <xf numFmtId="180" fontId="15" fillId="0" borderId="1" xfId="1" applyNumberFormat="1" applyFont="1" applyBorder="1" applyAlignment="1" applyProtection="1">
      <alignment horizontal="center" vertical="top" wrapText="1"/>
      <protection locked="0"/>
    </xf>
    <xf numFmtId="180" fontId="27" fillId="0" borderId="1" xfId="1" applyNumberFormat="1" applyFont="1" applyBorder="1" applyAlignment="1" applyProtection="1">
      <alignment vertical="top" wrapText="1"/>
      <protection locked="0"/>
    </xf>
    <xf numFmtId="180" fontId="29" fillId="0" borderId="1" xfId="1" applyNumberFormat="1" applyFont="1" applyBorder="1" applyAlignment="1" applyProtection="1">
      <alignment vertical="top" wrapText="1"/>
      <protection locked="0"/>
    </xf>
    <xf numFmtId="180" fontId="13" fillId="0" borderId="1" xfId="1" applyNumberFormat="1" applyFont="1" applyBorder="1" applyAlignment="1" applyProtection="1">
      <alignment vertical="top" wrapText="1"/>
      <protection locked="0"/>
    </xf>
    <xf numFmtId="180" fontId="13" fillId="0" borderId="2" xfId="1" applyNumberFormat="1" applyFont="1" applyBorder="1" applyAlignment="1" applyProtection="1">
      <alignment vertical="top" wrapText="1"/>
      <protection locked="0"/>
    </xf>
    <xf numFmtId="180" fontId="9" fillId="7" borderId="12" xfId="1" applyNumberFormat="1" applyFont="1" applyFill="1" applyBorder="1" applyAlignment="1" applyProtection="1">
      <alignment vertical="top" wrapText="1"/>
      <protection locked="0"/>
    </xf>
    <xf numFmtId="180" fontId="27" fillId="7" borderId="3" xfId="1" applyNumberFormat="1" applyFont="1" applyFill="1" applyBorder="1" applyAlignment="1" applyProtection="1">
      <alignment vertical="top" wrapText="1"/>
      <protection locked="0"/>
    </xf>
    <xf numFmtId="180" fontId="27" fillId="7" borderId="1" xfId="1" applyNumberFormat="1" applyFont="1" applyFill="1" applyBorder="1" applyAlignment="1" applyProtection="1">
      <alignment vertical="top" wrapText="1"/>
      <protection locked="0"/>
    </xf>
    <xf numFmtId="180" fontId="11" fillId="0" borderId="1" xfId="1" applyNumberFormat="1" applyFont="1" applyBorder="1" applyAlignment="1" applyProtection="1">
      <alignment vertical="top" wrapText="1"/>
      <protection locked="0"/>
    </xf>
    <xf numFmtId="180" fontId="28" fillId="0" borderId="1" xfId="1" applyNumberFormat="1" applyFont="1" applyBorder="1" applyAlignment="1" applyProtection="1">
      <alignment horizontal="right" vertical="top" wrapText="1"/>
      <protection locked="0"/>
    </xf>
    <xf numFmtId="180" fontId="28" fillId="0" borderId="2" xfId="1" applyNumberFormat="1" applyFont="1" applyBorder="1" applyAlignment="1" applyProtection="1">
      <alignment vertical="top" wrapText="1"/>
      <protection locked="0"/>
    </xf>
    <xf numFmtId="180" fontId="8" fillId="7" borderId="12" xfId="1" applyNumberFormat="1" applyFont="1" applyFill="1" applyBorder="1" applyAlignment="1" applyProtection="1">
      <alignment vertical="top" wrapText="1"/>
      <protection locked="0"/>
    </xf>
    <xf numFmtId="180" fontId="27" fillId="7" borderId="1" xfId="1" applyNumberFormat="1" applyFont="1" applyFill="1" applyBorder="1" applyAlignment="1" applyProtection="1">
      <alignment horizontal="center" vertical="top" wrapText="1"/>
      <protection locked="0"/>
    </xf>
    <xf numFmtId="180" fontId="9" fillId="0" borderId="1" xfId="1" applyNumberFormat="1" applyFont="1" applyBorder="1" applyAlignment="1" applyProtection="1">
      <alignment vertical="top" wrapText="1"/>
      <protection locked="0"/>
    </xf>
    <xf numFmtId="180" fontId="9" fillId="0" borderId="12" xfId="1" applyNumberFormat="1" applyFont="1" applyBorder="1" applyAlignment="1" applyProtection="1">
      <alignment vertical="top" wrapText="1"/>
      <protection locked="0"/>
    </xf>
    <xf numFmtId="180" fontId="34" fillId="0" borderId="3" xfId="1" applyNumberFormat="1" applyFont="1" applyBorder="1" applyAlignment="1" applyProtection="1">
      <alignment vertical="top" wrapText="1"/>
      <protection locked="0"/>
    </xf>
    <xf numFmtId="180" fontId="34" fillId="0" borderId="1" xfId="1" applyNumberFormat="1" applyFont="1" applyBorder="1" applyAlignment="1" applyProtection="1">
      <alignment vertical="top" wrapText="1"/>
      <protection locked="0"/>
    </xf>
    <xf numFmtId="180" fontId="27" fillId="0" borderId="2" xfId="1" applyNumberFormat="1" applyFont="1" applyBorder="1" applyAlignment="1" applyProtection="1">
      <alignment vertical="top" wrapText="1"/>
      <protection locked="0"/>
    </xf>
    <xf numFmtId="180" fontId="27" fillId="0" borderId="3" xfId="1" applyNumberFormat="1" applyFont="1" applyBorder="1" applyAlignment="1" applyProtection="1">
      <alignment horizontal="right" vertical="top" wrapText="1"/>
      <protection locked="0"/>
    </xf>
    <xf numFmtId="180" fontId="8" fillId="0" borderId="12" xfId="1" applyNumberFormat="1" applyFont="1" applyBorder="1" applyAlignment="1" applyProtection="1">
      <alignment vertical="top" wrapText="1"/>
      <protection locked="0"/>
    </xf>
    <xf numFmtId="181" fontId="19" fillId="0" borderId="3" xfId="1" applyNumberFormat="1" applyFont="1" applyBorder="1" applyAlignment="1" applyProtection="1">
      <alignment horizontal="right" vertical="top" wrapText="1"/>
      <protection locked="0"/>
    </xf>
    <xf numFmtId="181" fontId="36" fillId="0" borderId="1" xfId="1" applyNumberFormat="1" applyFont="1" applyBorder="1" applyAlignment="1" applyProtection="1">
      <alignment vertical="top" wrapText="1"/>
      <protection locked="0"/>
    </xf>
    <xf numFmtId="181" fontId="15" fillId="0" borderId="1" xfId="1" applyNumberFormat="1" applyFont="1" applyBorder="1" applyAlignment="1" applyProtection="1">
      <alignment horizontal="center" vertical="top" wrapText="1"/>
      <protection locked="0"/>
    </xf>
    <xf numFmtId="181" fontId="27" fillId="0" borderId="1" xfId="1" applyNumberFormat="1" applyFont="1" applyBorder="1" applyAlignment="1" applyProtection="1">
      <alignment vertical="top" wrapText="1"/>
      <protection locked="0"/>
    </xf>
    <xf numFmtId="181" fontId="29" fillId="0" borderId="1" xfId="1" applyNumberFormat="1" applyFont="1" applyBorder="1" applyAlignment="1" applyProtection="1">
      <alignment vertical="top" wrapText="1"/>
      <protection locked="0"/>
    </xf>
    <xf numFmtId="181" fontId="13" fillId="0" borderId="1" xfId="1" applyNumberFormat="1" applyFont="1" applyBorder="1" applyAlignment="1" applyProtection="1">
      <alignment vertical="top" wrapText="1"/>
      <protection locked="0"/>
    </xf>
    <xf numFmtId="181" fontId="13" fillId="0" borderId="2" xfId="1" applyNumberFormat="1" applyFont="1" applyBorder="1" applyAlignment="1" applyProtection="1">
      <alignment vertical="top" wrapText="1"/>
      <protection locked="0"/>
    </xf>
    <xf numFmtId="181" fontId="9" fillId="7" borderId="12" xfId="1" applyNumberFormat="1" applyFont="1" applyFill="1" applyBorder="1" applyAlignment="1" applyProtection="1">
      <alignment vertical="top" wrapText="1"/>
      <protection locked="0"/>
    </xf>
    <xf numFmtId="181" fontId="27" fillId="7" borderId="3" xfId="1" applyNumberFormat="1" applyFont="1" applyFill="1" applyBorder="1" applyAlignment="1" applyProtection="1">
      <alignment vertical="top" wrapText="1"/>
      <protection locked="0"/>
    </xf>
    <xf numFmtId="181" fontId="27" fillId="7" borderId="1" xfId="1" applyNumberFormat="1" applyFont="1" applyFill="1" applyBorder="1" applyAlignment="1" applyProtection="1">
      <alignment vertical="top" wrapText="1"/>
      <protection locked="0"/>
    </xf>
    <xf numFmtId="181" fontId="11" fillId="0" borderId="1" xfId="1" applyNumberFormat="1" applyFont="1" applyBorder="1" applyAlignment="1" applyProtection="1">
      <alignment vertical="top" wrapText="1"/>
      <protection locked="0"/>
    </xf>
    <xf numFmtId="181" fontId="28" fillId="0" borderId="1" xfId="1" applyNumberFormat="1" applyFont="1" applyBorder="1" applyAlignment="1" applyProtection="1">
      <alignment horizontal="right" vertical="top" wrapText="1"/>
      <protection locked="0"/>
    </xf>
    <xf numFmtId="181" fontId="28" fillId="0" borderId="2" xfId="1" applyNumberFormat="1" applyFont="1" applyBorder="1" applyAlignment="1" applyProtection="1">
      <alignment vertical="top" wrapText="1"/>
      <protection locked="0"/>
    </xf>
    <xf numFmtId="181" fontId="8" fillId="7" borderId="12" xfId="1" applyNumberFormat="1" applyFont="1" applyFill="1" applyBorder="1" applyAlignment="1" applyProtection="1">
      <alignment vertical="top" wrapText="1"/>
      <protection locked="0"/>
    </xf>
    <xf numFmtId="181" fontId="27" fillId="7" borderId="1" xfId="1" applyNumberFormat="1" applyFont="1" applyFill="1" applyBorder="1" applyAlignment="1" applyProtection="1">
      <alignment horizontal="center" vertical="top" wrapText="1"/>
      <protection locked="0"/>
    </xf>
    <xf numFmtId="181" fontId="9" fillId="0" borderId="1" xfId="1" applyNumberFormat="1" applyFont="1" applyBorder="1" applyAlignment="1" applyProtection="1">
      <alignment vertical="top" wrapText="1"/>
      <protection locked="0"/>
    </xf>
    <xf numFmtId="181" fontId="9" fillId="0" borderId="12" xfId="1" applyNumberFormat="1" applyFont="1" applyBorder="1" applyAlignment="1" applyProtection="1">
      <alignment vertical="top" wrapText="1"/>
      <protection locked="0"/>
    </xf>
    <xf numFmtId="181" fontId="34" fillId="0" borderId="3" xfId="1" applyNumberFormat="1" applyFont="1" applyBorder="1" applyAlignment="1" applyProtection="1">
      <alignment vertical="top" wrapText="1"/>
      <protection locked="0"/>
    </xf>
    <xf numFmtId="181" fontId="34" fillId="0" borderId="1" xfId="1" applyNumberFormat="1" applyFont="1" applyBorder="1" applyAlignment="1" applyProtection="1">
      <alignment vertical="top" wrapText="1"/>
      <protection locked="0"/>
    </xf>
    <xf numFmtId="181" fontId="27" fillId="0" borderId="2" xfId="1" applyNumberFormat="1" applyFont="1" applyBorder="1" applyAlignment="1" applyProtection="1">
      <alignment vertical="top" wrapText="1"/>
      <protection locked="0"/>
    </xf>
    <xf numFmtId="181" fontId="27" fillId="0" borderId="3" xfId="1" applyNumberFormat="1" applyFont="1" applyBorder="1" applyAlignment="1" applyProtection="1">
      <alignment horizontal="right" vertical="top" wrapText="1"/>
      <protection locked="0"/>
    </xf>
    <xf numFmtId="181" fontId="8" fillId="0" borderId="12" xfId="1" applyNumberFormat="1" applyFont="1" applyBorder="1" applyAlignment="1" applyProtection="1">
      <alignment vertical="top" wrapText="1"/>
      <protection locked="0"/>
    </xf>
    <xf numFmtId="3" fontId="55" fillId="0" borderId="1" xfId="0" applyNumberFormat="1" applyFont="1" applyBorder="1" applyAlignment="1">
      <alignment horizontal="center" vertical="top" wrapText="1"/>
    </xf>
    <xf numFmtId="3" fontId="55" fillId="0" borderId="1" xfId="4" applyNumberFormat="1" applyFont="1" applyBorder="1" applyAlignment="1">
      <alignment horizontal="left" vertical="top" wrapText="1" indent="1"/>
    </xf>
    <xf numFmtId="0" fontId="55" fillId="0" borderId="0" xfId="0" applyFont="1"/>
    <xf numFmtId="168" fontId="55" fillId="0" borderId="1" xfId="1" applyNumberFormat="1" applyFont="1" applyFill="1" applyBorder="1" applyAlignment="1" applyProtection="1">
      <alignment vertical="top" wrapText="1"/>
      <protection locked="0"/>
    </xf>
    <xf numFmtId="168" fontId="55" fillId="0" borderId="1" xfId="1" applyNumberFormat="1" applyFont="1" applyBorder="1" applyAlignment="1" applyProtection="1">
      <alignment vertical="top" wrapText="1"/>
      <protection locked="0"/>
    </xf>
    <xf numFmtId="180" fontId="55" fillId="0" borderId="1" xfId="1" applyNumberFormat="1" applyFont="1" applyFill="1" applyBorder="1" applyAlignment="1" applyProtection="1">
      <alignment vertical="top" wrapText="1"/>
      <protection locked="0"/>
    </xf>
    <xf numFmtId="181" fontId="55" fillId="0" borderId="1" xfId="1" applyNumberFormat="1" applyFont="1" applyFill="1" applyBorder="1" applyAlignment="1" applyProtection="1">
      <alignment vertical="top" wrapText="1"/>
      <protection locked="0"/>
    </xf>
    <xf numFmtId="168" fontId="55" fillId="0" borderId="0" xfId="0" applyNumberFormat="1" applyFont="1"/>
    <xf numFmtId="0" fontId="18" fillId="2" borderId="0" xfId="0" applyFont="1" applyFill="1" applyAlignment="1">
      <alignment horizontal="center" vertical="center"/>
    </xf>
    <xf numFmtId="0" fontId="31" fillId="10" borderId="0" xfId="4" applyFont="1" applyFill="1" applyAlignment="1">
      <alignment horizontal="left" vertical="center" wrapText="1"/>
    </xf>
    <xf numFmtId="0" fontId="30" fillId="9" borderId="0" xfId="6" applyNumberFormat="1" applyFont="1" applyFill="1" applyBorder="1" applyAlignment="1" applyProtection="1">
      <alignment horizontal="center" vertical="center" wrapText="1"/>
    </xf>
    <xf numFmtId="164" fontId="35" fillId="0" borderId="0" xfId="0" applyNumberFormat="1" applyFont="1"/>
    <xf numFmtId="164" fontId="59" fillId="21" borderId="60" xfId="1" applyNumberFormat="1" applyFont="1" applyFill="1" applyBorder="1" applyAlignment="1">
      <alignment vertical="center"/>
    </xf>
    <xf numFmtId="164" fontId="59" fillId="21" borderId="61" xfId="1" applyNumberFormat="1" applyFont="1" applyFill="1" applyBorder="1" applyAlignment="1"/>
    <xf numFmtId="164" fontId="59" fillId="21" borderId="62" xfId="1" applyNumberFormat="1" applyFont="1" applyFill="1" applyBorder="1" applyAlignment="1"/>
    <xf numFmtId="164" fontId="60" fillId="0" borderId="63" xfId="1" applyNumberFormat="1" applyFont="1" applyFill="1" applyBorder="1" applyAlignment="1">
      <alignment horizontal="left" vertical="center"/>
    </xf>
    <xf numFmtId="164" fontId="60" fillId="0" borderId="0" xfId="1" applyNumberFormat="1" applyFont="1" applyFill="1" applyBorder="1" applyAlignment="1">
      <alignment horizontal="right" vertical="center"/>
    </xf>
    <xf numFmtId="164" fontId="61" fillId="0" borderId="0" xfId="1" applyNumberFormat="1" applyFont="1" applyFill="1" applyBorder="1" applyAlignment="1"/>
    <xf numFmtId="164" fontId="61" fillId="0" borderId="64" xfId="1" applyNumberFormat="1" applyFont="1" applyFill="1" applyBorder="1" applyAlignment="1"/>
    <xf numFmtId="164" fontId="60" fillId="0" borderId="63" xfId="1" applyNumberFormat="1" applyFont="1" applyFill="1" applyBorder="1" applyAlignment="1">
      <alignment horizontal="left" vertical="center" indent="1"/>
    </xf>
    <xf numFmtId="164" fontId="62" fillId="0" borderId="63" xfId="1" applyNumberFormat="1" applyFont="1" applyFill="1" applyBorder="1" applyAlignment="1">
      <alignment horizontal="left" vertical="center" indent="1"/>
    </xf>
    <xf numFmtId="164" fontId="62" fillId="0" borderId="0" xfId="1" applyNumberFormat="1" applyFont="1" applyFill="1" applyBorder="1" applyAlignment="1">
      <alignment horizontal="left" vertical="center"/>
    </xf>
    <xf numFmtId="164" fontId="63" fillId="0" borderId="0" xfId="1" applyNumberFormat="1" applyFont="1" applyFill="1" applyBorder="1" applyAlignment="1"/>
    <xf numFmtId="164" fontId="63" fillId="0" borderId="64" xfId="1" applyNumberFormat="1" applyFont="1" applyFill="1" applyBorder="1" applyAlignment="1"/>
    <xf numFmtId="164" fontId="60" fillId="0" borderId="0" xfId="1" applyNumberFormat="1" applyFont="1" applyFill="1" applyBorder="1" applyAlignment="1"/>
    <xf numFmtId="164" fontId="60" fillId="0" borderId="64" xfId="1" applyNumberFormat="1" applyFont="1" applyFill="1" applyBorder="1" applyAlignment="1"/>
    <xf numFmtId="164" fontId="62" fillId="0" borderId="63" xfId="1" applyNumberFormat="1" applyFont="1" applyFill="1" applyBorder="1" applyAlignment="1">
      <alignment horizontal="left" vertical="center"/>
    </xf>
    <xf numFmtId="164" fontId="62" fillId="0" borderId="0" xfId="1" applyNumberFormat="1" applyFont="1" applyFill="1" applyBorder="1" applyAlignment="1">
      <alignment horizontal="left" vertical="center" indent="1"/>
    </xf>
    <xf numFmtId="164" fontId="66" fillId="0" borderId="63" xfId="1" applyNumberFormat="1" applyFont="1" applyFill="1" applyBorder="1" applyAlignment="1">
      <alignment horizontal="left" vertical="center"/>
    </xf>
    <xf numFmtId="164" fontId="66" fillId="0" borderId="0" xfId="1" applyNumberFormat="1" applyFont="1" applyFill="1" applyBorder="1" applyAlignment="1">
      <alignment vertical="center"/>
    </xf>
    <xf numFmtId="164" fontId="66" fillId="0" borderId="64" xfId="1" applyNumberFormat="1" applyFont="1" applyFill="1" applyBorder="1" applyAlignment="1">
      <alignment vertical="center"/>
    </xf>
    <xf numFmtId="164" fontId="62" fillId="0" borderId="0" xfId="1" applyNumberFormat="1" applyFont="1" applyFill="1" applyBorder="1" applyAlignment="1"/>
    <xf numFmtId="164" fontId="62" fillId="0" borderId="64" xfId="1" applyNumberFormat="1" applyFont="1" applyFill="1" applyBorder="1" applyAlignment="1"/>
    <xf numFmtId="164" fontId="60" fillId="0" borderId="65" xfId="1" applyNumberFormat="1" applyFont="1" applyFill="1" applyBorder="1" applyAlignment="1">
      <alignment horizontal="left" vertical="center"/>
    </xf>
    <xf numFmtId="164" fontId="60" fillId="0" borderId="66" xfId="1" applyNumberFormat="1" applyFont="1" applyFill="1" applyBorder="1" applyAlignment="1">
      <alignment horizontal="right" vertical="center"/>
    </xf>
    <xf numFmtId="164" fontId="61" fillId="0" borderId="66" xfId="1" applyNumberFormat="1" applyFont="1" applyFill="1" applyBorder="1" applyAlignment="1"/>
    <xf numFmtId="164" fontId="61" fillId="0" borderId="67" xfId="1" applyNumberFormat="1" applyFont="1" applyFill="1" applyBorder="1" applyAlignment="1"/>
    <xf numFmtId="164" fontId="62" fillId="0" borderId="0" xfId="1" applyNumberFormat="1" applyFont="1" applyFill="1" applyBorder="1" applyAlignment="1">
      <alignment horizontal="right" vertical="center"/>
    </xf>
    <xf numFmtId="164" fontId="67" fillId="0" borderId="68" xfId="1" applyNumberFormat="1" applyFont="1" applyFill="1" applyBorder="1" applyAlignment="1">
      <alignment horizontal="left" vertical="center"/>
    </xf>
    <xf numFmtId="164" fontId="68" fillId="0" borderId="69" xfId="1" applyNumberFormat="1" applyFont="1" applyFill="1" applyBorder="1" applyAlignment="1">
      <alignment horizontal="left" vertical="center"/>
    </xf>
    <xf numFmtId="164" fontId="68" fillId="0" borderId="69" xfId="1" applyNumberFormat="1" applyFont="1" applyFill="1" applyBorder="1" applyAlignment="1"/>
    <xf numFmtId="164" fontId="68" fillId="0" borderId="64" xfId="1" applyNumberFormat="1" applyFont="1" applyFill="1" applyBorder="1" applyAlignment="1"/>
    <xf numFmtId="164" fontId="60" fillId="0" borderId="70" xfId="1" applyNumberFormat="1" applyFont="1" applyFill="1" applyBorder="1" applyAlignment="1">
      <alignment horizontal="left" vertical="center"/>
    </xf>
    <xf numFmtId="164" fontId="60" fillId="0" borderId="70" xfId="1" applyNumberFormat="1" applyFont="1" applyFill="1" applyBorder="1" applyAlignment="1">
      <alignment horizontal="right" vertical="center"/>
    </xf>
    <xf numFmtId="164" fontId="61" fillId="0" borderId="70" xfId="1" applyNumberFormat="1" applyFont="1" applyFill="1" applyBorder="1" applyAlignment="1"/>
    <xf numFmtId="0" fontId="59" fillId="21" borderId="4" xfId="0" applyFont="1" applyFill="1" applyBorder="1" applyAlignment="1">
      <alignment horizontal="center" vertical="center" shrinkToFit="1"/>
    </xf>
    <xf numFmtId="9" fontId="70" fillId="0" borderId="71" xfId="7" applyFont="1" applyFill="1" applyBorder="1" applyAlignment="1">
      <alignment shrinkToFit="1"/>
    </xf>
    <xf numFmtId="0" fontId="60" fillId="7" borderId="4" xfId="13" applyFont="1" applyFill="1" applyBorder="1" applyAlignment="1">
      <alignment horizontal="center" vertical="center" shrinkToFit="1"/>
    </xf>
    <xf numFmtId="9" fontId="62" fillId="0" borderId="71" xfId="7" applyFont="1" applyFill="1" applyBorder="1" applyAlignment="1">
      <alignment shrinkToFit="1"/>
    </xf>
    <xf numFmtId="9" fontId="72" fillId="0" borderId="71" xfId="7" applyFont="1" applyFill="1" applyBorder="1" applyAlignment="1">
      <alignment shrinkToFit="1"/>
    </xf>
    <xf numFmtId="0" fontId="73" fillId="7" borderId="4" xfId="0" applyFont="1" applyFill="1" applyBorder="1" applyAlignment="1">
      <alignment horizontal="center" vertical="center" shrinkToFit="1"/>
    </xf>
    <xf numFmtId="164" fontId="66" fillId="0" borderId="0" xfId="1" applyNumberFormat="1" applyFont="1" applyFill="1" applyBorder="1" applyAlignment="1">
      <alignment horizontal="left" indent="1"/>
    </xf>
    <xf numFmtId="164" fontId="66" fillId="0" borderId="0" xfId="1" applyNumberFormat="1" applyFont="1" applyFill="1" applyBorder="1" applyAlignment="1"/>
    <xf numFmtId="164" fontId="74" fillId="0" borderId="0" xfId="1" applyNumberFormat="1" applyFont="1" applyFill="1" applyBorder="1" applyAlignment="1">
      <alignment horizontal="left" indent="1"/>
    </xf>
    <xf numFmtId="164" fontId="74" fillId="0" borderId="0" xfId="1" applyNumberFormat="1" applyFont="1" applyFill="1" applyBorder="1" applyAlignment="1"/>
    <xf numFmtId="0" fontId="75" fillId="7" borderId="4" xfId="0" applyFont="1" applyFill="1" applyBorder="1" applyAlignment="1">
      <alignment horizontal="center" vertical="center" shrinkToFit="1"/>
    </xf>
    <xf numFmtId="170" fontId="60" fillId="0" borderId="71" xfId="1" applyNumberFormat="1" applyFont="1" applyFill="1" applyBorder="1" applyAlignment="1">
      <alignment shrinkToFit="1"/>
    </xf>
    <xf numFmtId="170" fontId="73" fillId="0" borderId="71" xfId="1" applyNumberFormat="1" applyFont="1" applyFill="1" applyBorder="1" applyAlignment="1">
      <alignment shrinkToFit="1"/>
    </xf>
    <xf numFmtId="170" fontId="75" fillId="0" borderId="71" xfId="1" applyNumberFormat="1" applyFont="1" applyFill="1" applyBorder="1" applyAlignment="1">
      <alignment shrinkToFit="1"/>
    </xf>
    <xf numFmtId="170" fontId="69" fillId="0" borderId="71" xfId="1" applyNumberFormat="1" applyFont="1" applyFill="1" applyBorder="1" applyAlignment="1">
      <alignment shrinkToFit="1"/>
    </xf>
    <xf numFmtId="170" fontId="63" fillId="0" borderId="71" xfId="1" applyNumberFormat="1" applyFont="1" applyFill="1" applyBorder="1" applyAlignment="1">
      <alignment shrinkToFit="1"/>
    </xf>
    <xf numFmtId="170" fontId="76" fillId="0" borderId="71" xfId="1" applyNumberFormat="1" applyFont="1" applyFill="1" applyBorder="1" applyAlignment="1">
      <alignment shrinkToFit="1"/>
    </xf>
    <xf numFmtId="170" fontId="77" fillId="0" borderId="71" xfId="1" applyNumberFormat="1" applyFont="1" applyFill="1" applyBorder="1" applyAlignment="1">
      <alignment shrinkToFit="1"/>
    </xf>
    <xf numFmtId="170" fontId="70" fillId="0" borderId="71" xfId="1" applyNumberFormat="1" applyFont="1" applyFill="1" applyBorder="1" applyAlignment="1">
      <alignment shrinkToFit="1"/>
    </xf>
    <xf numFmtId="170" fontId="62" fillId="0" borderId="71" xfId="1" applyNumberFormat="1" applyFont="1" applyFill="1" applyBorder="1" applyAlignment="1">
      <alignment shrinkToFit="1"/>
    </xf>
    <xf numFmtId="170" fontId="62" fillId="0" borderId="71" xfId="7" applyNumberFormat="1" applyFont="1" applyFill="1" applyBorder="1" applyAlignment="1">
      <alignment shrinkToFit="1"/>
    </xf>
    <xf numFmtId="170" fontId="76" fillId="0" borderId="71" xfId="7" applyNumberFormat="1" applyFont="1" applyFill="1" applyBorder="1" applyAlignment="1">
      <alignment shrinkToFit="1"/>
    </xf>
    <xf numFmtId="170" fontId="77" fillId="0" borderId="71" xfId="7" applyNumberFormat="1" applyFont="1" applyFill="1" applyBorder="1" applyAlignment="1">
      <alignment shrinkToFit="1"/>
    </xf>
    <xf numFmtId="170" fontId="70" fillId="0" borderId="71" xfId="7" applyNumberFormat="1" applyFont="1" applyFill="1" applyBorder="1" applyAlignment="1">
      <alignment shrinkToFit="1"/>
    </xf>
    <xf numFmtId="170" fontId="66" fillId="19" borderId="71" xfId="1" applyNumberFormat="1" applyFont="1" applyFill="1" applyBorder="1" applyAlignment="1">
      <alignment shrinkToFit="1"/>
    </xf>
    <xf numFmtId="170" fontId="78" fillId="0" borderId="71" xfId="1" applyNumberFormat="1" applyFont="1" applyFill="1" applyBorder="1" applyAlignment="1">
      <alignment shrinkToFit="1"/>
    </xf>
    <xf numFmtId="170" fontId="79" fillId="19" borderId="71" xfId="1" applyNumberFormat="1" applyFont="1" applyFill="1" applyBorder="1" applyAlignment="1">
      <alignment shrinkToFit="1"/>
    </xf>
    <xf numFmtId="170" fontId="80" fillId="19" borderId="71" xfId="1" applyNumberFormat="1" applyFont="1" applyFill="1" applyBorder="1" applyAlignment="1">
      <alignment shrinkToFit="1"/>
    </xf>
    <xf numFmtId="170" fontId="66" fillId="0" borderId="71" xfId="1" applyNumberFormat="1" applyFont="1" applyFill="1" applyBorder="1" applyAlignment="1">
      <alignment shrinkToFit="1"/>
    </xf>
    <xf numFmtId="170" fontId="62" fillId="19" borderId="71" xfId="1" applyNumberFormat="1" applyFont="1" applyFill="1" applyBorder="1" applyAlignment="1">
      <alignment shrinkToFit="1"/>
    </xf>
    <xf numFmtId="170" fontId="77" fillId="19" borderId="71" xfId="1" applyNumberFormat="1" applyFont="1" applyFill="1" applyBorder="1" applyAlignment="1">
      <alignment shrinkToFit="1"/>
    </xf>
    <xf numFmtId="170" fontId="70" fillId="19" borderId="71" xfId="1" applyNumberFormat="1" applyFont="1" applyFill="1" applyBorder="1" applyAlignment="1">
      <alignment shrinkToFit="1"/>
    </xf>
    <xf numFmtId="170" fontId="60" fillId="0" borderId="70" xfId="1" applyNumberFormat="1" applyFont="1" applyFill="1" applyBorder="1" applyAlignment="1"/>
    <xf numFmtId="170" fontId="73" fillId="0" borderId="70" xfId="1" applyNumberFormat="1" applyFont="1" applyFill="1" applyBorder="1" applyAlignment="1"/>
    <xf numFmtId="170" fontId="75" fillId="0" borderId="70" xfId="1" applyNumberFormat="1" applyFont="1" applyFill="1" applyBorder="1" applyAlignment="1"/>
    <xf numFmtId="170" fontId="69" fillId="0" borderId="70" xfId="1" applyNumberFormat="1" applyFont="1" applyFill="1" applyBorder="1" applyAlignment="1"/>
    <xf numFmtId="170" fontId="63" fillId="19" borderId="71" xfId="1" applyNumberFormat="1" applyFont="1" applyFill="1" applyBorder="1" applyAlignment="1">
      <alignment shrinkToFit="1"/>
    </xf>
    <xf numFmtId="170" fontId="72" fillId="0" borderId="71" xfId="7" applyNumberFormat="1" applyFont="1" applyFill="1" applyBorder="1" applyAlignment="1">
      <alignment shrinkToFit="1"/>
    </xf>
    <xf numFmtId="170" fontId="68" fillId="0" borderId="71" xfId="1" applyNumberFormat="1" applyFont="1" applyFill="1" applyBorder="1" applyAlignment="1">
      <alignment shrinkToFit="1"/>
    </xf>
    <xf numFmtId="170" fontId="60" fillId="0" borderId="70" xfId="1" applyNumberFormat="1" applyFont="1" applyFill="1" applyBorder="1" applyAlignment="1">
      <alignment shrinkToFit="1"/>
    </xf>
    <xf numFmtId="170" fontId="73" fillId="0" borderId="70" xfId="1" applyNumberFormat="1" applyFont="1" applyFill="1" applyBorder="1" applyAlignment="1">
      <alignment shrinkToFit="1"/>
    </xf>
    <xf numFmtId="170" fontId="75" fillId="0" borderId="70" xfId="1" applyNumberFormat="1" applyFont="1" applyFill="1" applyBorder="1" applyAlignment="1">
      <alignment shrinkToFit="1"/>
    </xf>
    <xf numFmtId="170" fontId="69" fillId="0" borderId="70" xfId="1" applyNumberFormat="1" applyFont="1" applyFill="1" applyBorder="1" applyAlignment="1">
      <alignment shrinkToFit="1"/>
    </xf>
    <xf numFmtId="170" fontId="61" fillId="0" borderId="71" xfId="1" applyNumberFormat="1" applyFont="1" applyFill="1" applyBorder="1" applyAlignment="1">
      <alignment shrinkToFit="1"/>
    </xf>
    <xf numFmtId="170" fontId="69" fillId="0" borderId="71" xfId="14" applyNumberFormat="1" applyFont="1" applyFill="1" applyBorder="1" applyAlignment="1">
      <alignment shrinkToFit="1"/>
    </xf>
    <xf numFmtId="170" fontId="60" fillId="0" borderId="71" xfId="14" applyNumberFormat="1" applyFont="1" applyFill="1" applyBorder="1" applyAlignment="1">
      <alignment shrinkToFit="1"/>
    </xf>
    <xf numFmtId="170" fontId="61" fillId="0" borderId="71" xfId="14" applyNumberFormat="1" applyFont="1" applyFill="1" applyBorder="1" applyAlignment="1">
      <alignment shrinkToFit="1"/>
    </xf>
    <xf numFmtId="170" fontId="62" fillId="0" borderId="71" xfId="14" applyNumberFormat="1" applyFont="1" applyFill="1" applyBorder="1" applyAlignment="1">
      <alignment shrinkToFit="1"/>
    </xf>
    <xf numFmtId="170" fontId="63" fillId="0" borderId="71" xfId="14" applyNumberFormat="1" applyFont="1" applyFill="1" applyBorder="1" applyAlignment="1">
      <alignment shrinkToFit="1"/>
    </xf>
    <xf numFmtId="170" fontId="70" fillId="0" borderId="71" xfId="14" applyNumberFormat="1" applyFont="1" applyFill="1" applyBorder="1" applyAlignment="1">
      <alignment shrinkToFit="1"/>
    </xf>
    <xf numFmtId="170" fontId="63" fillId="0" borderId="71" xfId="7" applyNumberFormat="1" applyFont="1" applyFill="1" applyBorder="1" applyAlignment="1">
      <alignment shrinkToFit="1"/>
    </xf>
    <xf numFmtId="170" fontId="66" fillId="19" borderId="71" xfId="14" applyNumberFormat="1" applyFont="1" applyFill="1" applyBorder="1" applyAlignment="1">
      <alignment shrinkToFit="1"/>
    </xf>
    <xf numFmtId="170" fontId="74" fillId="19" borderId="71" xfId="14" applyNumberFormat="1" applyFont="1" applyFill="1" applyBorder="1" applyAlignment="1">
      <alignment shrinkToFit="1"/>
    </xf>
    <xf numFmtId="170" fontId="80" fillId="19" borderId="71" xfId="14" applyNumberFormat="1" applyFont="1" applyFill="1" applyBorder="1" applyAlignment="1">
      <alignment shrinkToFit="1"/>
    </xf>
    <xf numFmtId="164" fontId="66" fillId="0" borderId="63" xfId="14" applyNumberFormat="1" applyFont="1" applyFill="1" applyBorder="1" applyAlignment="1">
      <alignment horizontal="left" vertical="center"/>
    </xf>
    <xf numFmtId="164" fontId="62" fillId="0" borderId="0" xfId="14" applyNumberFormat="1" applyFont="1" applyFill="1" applyBorder="1" applyAlignment="1">
      <alignment horizontal="left" vertical="center" indent="1"/>
    </xf>
    <xf numFmtId="164" fontId="62" fillId="0" borderId="0" xfId="14" applyNumberFormat="1" applyFont="1" applyFill="1" applyBorder="1" applyAlignment="1">
      <alignment horizontal="left" vertical="center"/>
    </xf>
    <xf numFmtId="164" fontId="66" fillId="0" borderId="0" xfId="14" applyNumberFormat="1" applyFont="1" applyFill="1" applyBorder="1" applyAlignment="1">
      <alignment vertical="center"/>
    </xf>
    <xf numFmtId="164" fontId="66" fillId="0" borderId="64" xfId="14" applyNumberFormat="1" applyFont="1" applyFill="1" applyBorder="1" applyAlignment="1">
      <alignment vertical="center"/>
    </xf>
    <xf numFmtId="164" fontId="74" fillId="0" borderId="0" xfId="14" applyNumberFormat="1" applyFont="1" applyFill="1" applyBorder="1" applyAlignment="1"/>
    <xf numFmtId="164" fontId="60" fillId="0" borderId="63" xfId="14" applyNumberFormat="1" applyFont="1" applyFill="1" applyBorder="1" applyAlignment="1">
      <alignment horizontal="left" vertical="center" indent="1"/>
    </xf>
    <xf numFmtId="164" fontId="60" fillId="0" borderId="0" xfId="14" applyNumberFormat="1" applyFont="1" applyFill="1" applyBorder="1" applyAlignment="1">
      <alignment horizontal="right" vertical="center"/>
    </xf>
    <xf numFmtId="164" fontId="61" fillId="0" borderId="0" xfId="14" applyNumberFormat="1" applyFont="1" applyFill="1" applyBorder="1" applyAlignment="1"/>
    <xf numFmtId="164" fontId="61" fillId="0" borderId="64" xfId="14" applyNumberFormat="1" applyFont="1" applyFill="1" applyBorder="1" applyAlignment="1"/>
    <xf numFmtId="164" fontId="62" fillId="0" borderId="63" xfId="14" applyNumberFormat="1" applyFont="1" applyFill="1" applyBorder="1" applyAlignment="1">
      <alignment horizontal="left" vertical="center"/>
    </xf>
    <xf numFmtId="164" fontId="63" fillId="0" borderId="0" xfId="14" applyNumberFormat="1" applyFont="1" applyFill="1" applyBorder="1" applyAlignment="1"/>
    <xf numFmtId="164" fontId="63" fillId="0" borderId="64" xfId="14" applyNumberFormat="1" applyFont="1" applyFill="1" applyBorder="1" applyAlignment="1"/>
    <xf numFmtId="170" fontId="62" fillId="19" borderId="71" xfId="14" applyNumberFormat="1" applyFont="1" applyFill="1" applyBorder="1" applyAlignment="1">
      <alignment shrinkToFit="1"/>
    </xf>
    <xf numFmtId="170" fontId="63" fillId="19" borderId="71" xfId="14" applyNumberFormat="1" applyFont="1" applyFill="1" applyBorder="1" applyAlignment="1">
      <alignment shrinkToFit="1"/>
    </xf>
    <xf numFmtId="170" fontId="70" fillId="19" borderId="71" xfId="14" applyNumberFormat="1" applyFont="1" applyFill="1" applyBorder="1" applyAlignment="1">
      <alignment shrinkToFit="1"/>
    </xf>
    <xf numFmtId="164" fontId="62" fillId="0" borderId="0" xfId="14" applyNumberFormat="1" applyFont="1" applyFill="1" applyBorder="1" applyAlignment="1"/>
    <xf numFmtId="164" fontId="62" fillId="0" borderId="64" xfId="14" applyNumberFormat="1" applyFont="1" applyFill="1" applyBorder="1" applyAlignment="1"/>
    <xf numFmtId="164" fontId="60" fillId="0" borderId="65" xfId="14" applyNumberFormat="1" applyFont="1" applyFill="1" applyBorder="1" applyAlignment="1">
      <alignment horizontal="left" vertical="center"/>
    </xf>
    <xf numFmtId="164" fontId="60" fillId="0" borderId="66" xfId="14" applyNumberFormat="1" applyFont="1" applyFill="1" applyBorder="1" applyAlignment="1">
      <alignment horizontal="right" vertical="center"/>
    </xf>
    <xf numFmtId="164" fontId="61" fillId="0" borderId="66" xfId="14" applyNumberFormat="1" applyFont="1" applyFill="1" applyBorder="1" applyAlignment="1"/>
    <xf numFmtId="164" fontId="61" fillId="0" borderId="67" xfId="14" applyNumberFormat="1" applyFont="1" applyFill="1" applyBorder="1" applyAlignment="1"/>
    <xf numFmtId="164" fontId="62" fillId="0" borderId="0" xfId="14" applyNumberFormat="1" applyFont="1" applyFill="1" applyBorder="1" applyAlignment="1">
      <alignment horizontal="right" vertical="center"/>
    </xf>
    <xf numFmtId="164" fontId="60" fillId="0" borderId="63" xfId="14" applyNumberFormat="1" applyFont="1" applyFill="1" applyBorder="1" applyAlignment="1">
      <alignment horizontal="left" vertical="center"/>
    </xf>
    <xf numFmtId="170" fontId="60" fillId="0" borderId="70" xfId="14" applyNumberFormat="1" applyFont="1" applyFill="1" applyBorder="1" applyAlignment="1"/>
    <xf numFmtId="170" fontId="61" fillId="0" borderId="70" xfId="14" applyNumberFormat="1" applyFont="1" applyFill="1" applyBorder="1" applyAlignment="1"/>
    <xf numFmtId="170" fontId="69" fillId="0" borderId="70" xfId="14" applyNumberFormat="1" applyFont="1" applyFill="1" applyBorder="1" applyAlignment="1"/>
    <xf numFmtId="164" fontId="60" fillId="0" borderId="70" xfId="14" applyNumberFormat="1" applyFont="1" applyFill="1" applyBorder="1" applyAlignment="1">
      <alignment horizontal="left" vertical="center"/>
    </xf>
    <xf numFmtId="164" fontId="60" fillId="0" borderId="70" xfId="14" applyNumberFormat="1" applyFont="1" applyFill="1" applyBorder="1" applyAlignment="1">
      <alignment horizontal="right" vertical="center"/>
    </xf>
    <xf numFmtId="164" fontId="61" fillId="0" borderId="70" xfId="14" applyNumberFormat="1" applyFont="1" applyFill="1" applyBorder="1" applyAlignment="1"/>
    <xf numFmtId="170" fontId="60" fillId="0" borderId="70" xfId="14" applyNumberFormat="1" applyFont="1" applyFill="1" applyBorder="1" applyAlignment="1">
      <alignment shrinkToFit="1"/>
    </xf>
    <xf numFmtId="170" fontId="61" fillId="0" borderId="70" xfId="14" applyNumberFormat="1" applyFont="1" applyFill="1" applyBorder="1" applyAlignment="1">
      <alignment shrinkToFit="1"/>
    </xf>
    <xf numFmtId="170" fontId="69" fillId="0" borderId="70" xfId="14" applyNumberFormat="1" applyFont="1" applyFill="1" applyBorder="1" applyAlignment="1">
      <alignment shrinkToFit="1"/>
    </xf>
    <xf numFmtId="164" fontId="59" fillId="21" borderId="60" xfId="14" applyNumberFormat="1" applyFont="1" applyFill="1" applyBorder="1" applyAlignment="1">
      <alignment vertical="center"/>
    </xf>
    <xf numFmtId="164" fontId="59" fillId="21" borderId="61" xfId="14" applyNumberFormat="1" applyFont="1" applyFill="1" applyBorder="1" applyAlignment="1"/>
    <xf numFmtId="164" fontId="59" fillId="21" borderId="62" xfId="14" applyNumberFormat="1" applyFont="1" applyFill="1" applyBorder="1" applyAlignment="1"/>
    <xf numFmtId="164" fontId="62" fillId="0" borderId="63" xfId="14" applyNumberFormat="1" applyFont="1" applyFill="1" applyBorder="1" applyAlignment="1">
      <alignment horizontal="left" vertical="center" indent="1"/>
    </xf>
    <xf numFmtId="164" fontId="60" fillId="0" borderId="0" xfId="14" applyNumberFormat="1" applyFont="1" applyFill="1" applyBorder="1" applyAlignment="1"/>
    <xf numFmtId="164" fontId="60" fillId="0" borderId="64" xfId="14" applyNumberFormat="1" applyFont="1" applyFill="1" applyBorder="1" applyAlignment="1"/>
    <xf numFmtId="164" fontId="64" fillId="0" borderId="63" xfId="14" applyNumberFormat="1" applyFont="1" applyFill="1" applyBorder="1" applyAlignment="1">
      <alignment horizontal="left" vertical="center"/>
    </xf>
    <xf numFmtId="164" fontId="64" fillId="0" borderId="0" xfId="14" applyNumberFormat="1" applyFont="1" applyFill="1" applyBorder="1" applyAlignment="1">
      <alignment horizontal="left" indent="1"/>
    </xf>
    <xf numFmtId="164" fontId="64" fillId="0" borderId="0" xfId="14" applyNumberFormat="1" applyFont="1" applyFill="1" applyBorder="1" applyAlignment="1"/>
    <xf numFmtId="164" fontId="64" fillId="0" borderId="0" xfId="14" applyNumberFormat="1" applyFont="1" applyFill="1" applyBorder="1" applyAlignment="1">
      <alignment vertical="center"/>
    </xf>
    <xf numFmtId="164" fontId="64" fillId="0" borderId="64" xfId="14" applyNumberFormat="1" applyFont="1" applyFill="1" applyBorder="1" applyAlignment="1">
      <alignment vertical="center"/>
    </xf>
    <xf numFmtId="164" fontId="65" fillId="0" borderId="0" xfId="14" applyNumberFormat="1" applyFont="1" applyFill="1" applyBorder="1" applyAlignment="1">
      <alignment horizontal="left" indent="1"/>
    </xf>
    <xf numFmtId="164" fontId="65" fillId="0" borderId="0" xfId="14" applyNumberFormat="1" applyFont="1" applyFill="1" applyBorder="1" applyAlignment="1"/>
    <xf numFmtId="164" fontId="67" fillId="0" borderId="68" xfId="14" applyNumberFormat="1" applyFont="1" applyFill="1" applyBorder="1" applyAlignment="1">
      <alignment horizontal="left" vertical="center"/>
    </xf>
    <xf numFmtId="164" fontId="68" fillId="0" borderId="69" xfId="14" applyNumberFormat="1" applyFont="1" applyFill="1" applyBorder="1" applyAlignment="1">
      <alignment horizontal="left" vertical="center"/>
    </xf>
    <xf numFmtId="164" fontId="68" fillId="0" borderId="69" xfId="14" applyNumberFormat="1" applyFont="1" applyFill="1" applyBorder="1" applyAlignment="1"/>
    <xf numFmtId="164" fontId="68" fillId="0" borderId="64" xfId="14" applyNumberFormat="1" applyFont="1" applyFill="1" applyBorder="1" applyAlignment="1"/>
    <xf numFmtId="164" fontId="60" fillId="0" borderId="71" xfId="14" applyNumberFormat="1" applyFont="1" applyFill="1" applyBorder="1" applyAlignment="1">
      <alignment shrinkToFit="1"/>
    </xf>
    <xf numFmtId="164" fontId="69" fillId="0" borderId="71" xfId="14" applyNumberFormat="1" applyFont="1" applyFill="1" applyBorder="1" applyAlignment="1">
      <alignment shrinkToFit="1"/>
    </xf>
    <xf numFmtId="164" fontId="62" fillId="0" borderId="71" xfId="14" applyNumberFormat="1" applyFont="1" applyFill="1" applyBorder="1" applyAlignment="1">
      <alignment shrinkToFit="1"/>
    </xf>
    <xf numFmtId="164" fontId="70" fillId="0" borderId="71" xfId="14" applyNumberFormat="1" applyFont="1" applyFill="1" applyBorder="1" applyAlignment="1">
      <alignment shrinkToFit="1"/>
    </xf>
    <xf numFmtId="164" fontId="64" fillId="0" borderId="71" xfId="14" applyNumberFormat="1" applyFont="1" applyFill="1" applyBorder="1" applyAlignment="1">
      <alignment shrinkToFit="1"/>
    </xf>
    <xf numFmtId="164" fontId="71" fillId="19" borderId="71" xfId="14" applyNumberFormat="1" applyFont="1" applyFill="1" applyBorder="1" applyAlignment="1">
      <alignment shrinkToFit="1"/>
    </xf>
    <xf numFmtId="164" fontId="70" fillId="19" borderId="71" xfId="14" applyNumberFormat="1" applyFont="1" applyFill="1" applyBorder="1" applyAlignment="1">
      <alignment shrinkToFit="1"/>
    </xf>
    <xf numFmtId="164" fontId="60" fillId="0" borderId="70" xfId="14" applyNumberFormat="1" applyFont="1" applyFill="1" applyBorder="1" applyAlignment="1"/>
    <xf numFmtId="164" fontId="69" fillId="0" borderId="70" xfId="14" applyNumberFormat="1" applyFont="1" applyFill="1" applyBorder="1" applyAlignment="1"/>
    <xf numFmtId="168" fontId="62" fillId="0" borderId="71" xfId="14" applyNumberFormat="1" applyFont="1" applyFill="1" applyBorder="1" applyAlignment="1">
      <alignment shrinkToFit="1"/>
    </xf>
    <xf numFmtId="168" fontId="70" fillId="0" borderId="71" xfId="14" applyNumberFormat="1" applyFont="1" applyFill="1" applyBorder="1" applyAlignment="1">
      <alignment shrinkToFit="1"/>
    </xf>
    <xf numFmtId="164" fontId="68" fillId="0" borderId="71" xfId="14" applyNumberFormat="1" applyFont="1" applyFill="1" applyBorder="1" applyAlignment="1">
      <alignment shrinkToFit="1"/>
    </xf>
    <xf numFmtId="164" fontId="60" fillId="0" borderId="70" xfId="14" applyNumberFormat="1" applyFont="1" applyFill="1" applyBorder="1" applyAlignment="1">
      <alignment shrinkToFit="1"/>
    </xf>
    <xf numFmtId="164" fontId="69" fillId="0" borderId="70" xfId="14" applyNumberFormat="1" applyFont="1" applyFill="1" applyBorder="1" applyAlignment="1">
      <alignment shrinkToFit="1"/>
    </xf>
    <xf numFmtId="0" fontId="81" fillId="0" borderId="7" xfId="4" applyFont="1" applyBorder="1" applyAlignment="1">
      <alignment horizontal="left" vertical="top" wrapText="1"/>
    </xf>
    <xf numFmtId="0" fontId="24" fillId="0" borderId="7" xfId="4" applyFont="1" applyBorder="1" applyAlignment="1">
      <alignment horizontal="left" vertical="top" wrapText="1" indent="1"/>
    </xf>
    <xf numFmtId="0" fontId="11" fillId="0" borderId="7" xfId="4" applyFont="1" applyBorder="1" applyAlignment="1">
      <alignment horizontal="left" vertical="top" wrapText="1" indent="2"/>
    </xf>
    <xf numFmtId="0" fontId="11" fillId="0" borderId="8" xfId="4" applyFont="1" applyBorder="1" applyAlignment="1">
      <alignment horizontal="left" vertical="top" wrapText="1" indent="2"/>
    </xf>
    <xf numFmtId="0" fontId="13" fillId="0" borderId="7" xfId="4" applyFont="1" applyBorder="1" applyAlignment="1">
      <alignment horizontal="left" vertical="top" wrapText="1" indent="2"/>
    </xf>
    <xf numFmtId="0" fontId="13" fillId="0" borderId="8" xfId="4" applyFont="1" applyBorder="1" applyAlignment="1">
      <alignment horizontal="left" vertical="top" wrapText="1" indent="2"/>
    </xf>
    <xf numFmtId="0" fontId="82" fillId="0" borderId="7" xfId="4" applyFont="1" applyBorder="1" applyAlignment="1">
      <alignment horizontal="left" vertical="top" wrapText="1"/>
    </xf>
    <xf numFmtId="0" fontId="9" fillId="0" borderId="7" xfId="4" applyFont="1" applyBorder="1" applyAlignment="1">
      <alignment horizontal="left" vertical="top" wrapText="1" indent="1"/>
    </xf>
    <xf numFmtId="0" fontId="9" fillId="0" borderId="7" xfId="4" applyFont="1" applyBorder="1" applyAlignment="1">
      <alignment horizontal="left" vertical="top" wrapText="1" indent="2"/>
    </xf>
    <xf numFmtId="164" fontId="11" fillId="0" borderId="7" xfId="6" applyNumberFormat="1" applyFont="1" applyFill="1" applyBorder="1" applyAlignment="1" applyProtection="1">
      <alignment horizontal="left" vertical="top" wrapText="1" indent="3"/>
    </xf>
    <xf numFmtId="164" fontId="11" fillId="0" borderId="7" xfId="6" applyNumberFormat="1" applyFont="1" applyFill="1" applyBorder="1" applyAlignment="1" applyProtection="1">
      <alignment horizontal="left" vertical="top" wrapText="1" indent="2"/>
    </xf>
    <xf numFmtId="164" fontId="11" fillId="0" borderId="7" xfId="6" applyNumberFormat="1" applyFont="1" applyFill="1" applyBorder="1" applyAlignment="1" applyProtection="1">
      <alignment horizontal="left" vertical="top" wrapText="1" indent="5"/>
    </xf>
    <xf numFmtId="0" fontId="9" fillId="0" borderId="8" xfId="4" applyFont="1" applyBorder="1" applyAlignment="1">
      <alignment horizontal="left" vertical="top" wrapText="1" indent="1"/>
    </xf>
    <xf numFmtId="0" fontId="8" fillId="0" borderId="8" xfId="4" applyFont="1" applyBorder="1" applyAlignment="1">
      <alignment horizontal="left" vertical="top" wrapText="1" indent="1"/>
    </xf>
    <xf numFmtId="0" fontId="83" fillId="9" borderId="7" xfId="4" applyFont="1" applyFill="1" applyBorder="1" applyAlignment="1">
      <alignment horizontal="center" vertical="top" wrapText="1"/>
    </xf>
    <xf numFmtId="0" fontId="13" fillId="0" borderId="7" xfId="4" applyFont="1" applyBorder="1" applyAlignment="1">
      <alignment horizontal="left" vertical="top" wrapText="1" indent="1"/>
    </xf>
    <xf numFmtId="0" fontId="13" fillId="0" borderId="8" xfId="4" applyFont="1" applyBorder="1" applyAlignment="1">
      <alignment horizontal="left" vertical="top" wrapText="1" indent="1"/>
    </xf>
    <xf numFmtId="0" fontId="84" fillId="0" borderId="7" xfId="4" applyFont="1" applyBorder="1" applyAlignment="1">
      <alignment horizontal="left" vertical="top" wrapText="1" indent="1"/>
    </xf>
    <xf numFmtId="0" fontId="85" fillId="0" borderId="7" xfId="4" applyFont="1" applyBorder="1" applyAlignment="1">
      <alignment horizontal="left" vertical="top" wrapText="1" indent="1"/>
    </xf>
    <xf numFmtId="0" fontId="86" fillId="9" borderId="8" xfId="4" applyFont="1" applyFill="1" applyBorder="1" applyAlignment="1">
      <alignment horizontal="center" vertical="center" wrapText="1"/>
    </xf>
    <xf numFmtId="0" fontId="9" fillId="10" borderId="72" xfId="4" applyFont="1" applyFill="1" applyBorder="1" applyAlignment="1">
      <alignment horizontal="left" vertical="center" wrapText="1"/>
    </xf>
    <xf numFmtId="0" fontId="82" fillId="0" borderId="8" xfId="5" applyNumberFormat="1" applyFont="1" applyFill="1" applyBorder="1" applyAlignment="1" applyProtection="1">
      <alignment horizontal="center" vertical="top" wrapText="1"/>
    </xf>
    <xf numFmtId="0" fontId="9" fillId="0" borderId="8" xfId="5" applyNumberFormat="1" applyFont="1" applyFill="1" applyBorder="1" applyAlignment="1" applyProtection="1">
      <alignment horizontal="center" vertical="top" wrapText="1"/>
    </xf>
    <xf numFmtId="3" fontId="11" fillId="0" borderId="8" xfId="4" applyNumberFormat="1" applyFont="1" applyBorder="1" applyAlignment="1">
      <alignment horizontal="center" vertical="top" wrapText="1"/>
    </xf>
    <xf numFmtId="3" fontId="82" fillId="0" borderId="8" xfId="4" applyNumberFormat="1" applyFont="1" applyBorder="1" applyAlignment="1">
      <alignment horizontal="center" vertical="top" wrapText="1"/>
    </xf>
    <xf numFmtId="3" fontId="86" fillId="9" borderId="8" xfId="4" applyNumberFormat="1" applyFont="1" applyFill="1" applyBorder="1" applyAlignment="1">
      <alignment horizontal="center" vertical="top" wrapText="1"/>
    </xf>
    <xf numFmtId="3" fontId="11" fillId="0" borderId="8" xfId="0" applyNumberFormat="1" applyFont="1" applyBorder="1" applyAlignment="1">
      <alignment horizontal="center" vertical="top" wrapText="1"/>
    </xf>
    <xf numFmtId="3" fontId="15" fillId="9" borderId="8" xfId="4" applyNumberFormat="1" applyFont="1" applyFill="1" applyBorder="1" applyAlignment="1">
      <alignment horizontal="center" vertical="center" wrapText="1"/>
    </xf>
    <xf numFmtId="0" fontId="8" fillId="9" borderId="74" xfId="4" applyFont="1" applyFill="1" applyBorder="1" applyAlignment="1">
      <alignment horizontal="center" vertical="center" wrapText="1"/>
    </xf>
    <xf numFmtId="164" fontId="82" fillId="0" borderId="8" xfId="1" applyNumberFormat="1" applyFont="1" applyBorder="1" applyAlignment="1" applyProtection="1">
      <alignment vertical="top" wrapText="1"/>
      <protection locked="0"/>
    </xf>
    <xf numFmtId="164" fontId="86" fillId="9" borderId="8" xfId="1" applyNumberFormat="1" applyFont="1" applyFill="1" applyBorder="1" applyAlignment="1" applyProtection="1">
      <alignment vertical="top" wrapText="1"/>
      <protection locked="0"/>
    </xf>
    <xf numFmtId="164" fontId="15" fillId="9" borderId="8" xfId="1" applyNumberFormat="1" applyFont="1" applyFill="1" applyBorder="1" applyAlignment="1" applyProtection="1">
      <alignment vertical="center" wrapText="1"/>
      <protection locked="0"/>
    </xf>
    <xf numFmtId="164" fontId="82" fillId="0" borderId="76" xfId="1" applyNumberFormat="1" applyFont="1" applyBorder="1" applyAlignment="1" applyProtection="1">
      <alignment vertical="top" wrapText="1"/>
      <protection locked="0"/>
    </xf>
    <xf numFmtId="164" fontId="82" fillId="0" borderId="77" xfId="1" applyNumberFormat="1" applyFont="1" applyBorder="1" applyAlignment="1" applyProtection="1">
      <alignment vertical="top" wrapText="1"/>
      <protection locked="0"/>
    </xf>
    <xf numFmtId="164" fontId="9" fillId="0" borderId="76" xfId="1" applyNumberFormat="1" applyFont="1" applyBorder="1" applyAlignment="1" applyProtection="1">
      <alignment vertical="top" wrapText="1"/>
      <protection locked="0"/>
    </xf>
    <xf numFmtId="164" fontId="9" fillId="0" borderId="77" xfId="1" applyNumberFormat="1" applyFont="1" applyBorder="1" applyAlignment="1" applyProtection="1">
      <alignment vertical="top" wrapText="1"/>
      <protection locked="0"/>
    </xf>
    <xf numFmtId="164" fontId="10" fillId="0" borderId="76" xfId="1" applyNumberFormat="1" applyFont="1" applyBorder="1" applyAlignment="1" applyProtection="1">
      <alignment vertical="top" wrapText="1"/>
      <protection locked="0"/>
    </xf>
    <xf numFmtId="164" fontId="10" fillId="0" borderId="77" xfId="1" applyNumberFormat="1" applyFont="1" applyBorder="1" applyAlignment="1" applyProtection="1">
      <alignment vertical="top" wrapText="1"/>
      <protection locked="0"/>
    </xf>
    <xf numFmtId="164" fontId="12" fillId="0" borderId="76" xfId="1" applyNumberFormat="1" applyFont="1" applyBorder="1" applyAlignment="1" applyProtection="1">
      <alignment vertical="top" wrapText="1"/>
      <protection locked="0"/>
    </xf>
    <xf numFmtId="164" fontId="12" fillId="0" borderId="77" xfId="1" applyNumberFormat="1" applyFont="1" applyBorder="1" applyAlignment="1" applyProtection="1">
      <alignment vertical="top" wrapText="1"/>
      <protection locked="0"/>
    </xf>
    <xf numFmtId="164" fontId="86" fillId="9" borderId="76" xfId="1" applyNumberFormat="1" applyFont="1" applyFill="1" applyBorder="1" applyAlignment="1" applyProtection="1">
      <alignment vertical="top" wrapText="1"/>
      <protection locked="0"/>
    </xf>
    <xf numFmtId="164" fontId="86" fillId="9" borderId="77" xfId="1" applyNumberFormat="1" applyFont="1" applyFill="1" applyBorder="1" applyAlignment="1" applyProtection="1">
      <alignment vertical="top" wrapText="1"/>
      <protection locked="0"/>
    </xf>
    <xf numFmtId="164" fontId="15" fillId="9" borderId="76" xfId="1" applyNumberFormat="1" applyFont="1" applyFill="1" applyBorder="1" applyAlignment="1" applyProtection="1">
      <alignment vertical="center" wrapText="1"/>
      <protection locked="0"/>
    </xf>
    <xf numFmtId="164" fontId="15" fillId="9" borderId="77" xfId="1" applyNumberFormat="1" applyFont="1" applyFill="1" applyBorder="1" applyAlignment="1" applyProtection="1">
      <alignment vertical="center" wrapText="1"/>
      <protection locked="0"/>
    </xf>
    <xf numFmtId="0" fontId="0" fillId="0" borderId="56" xfId="0" applyBorder="1"/>
    <xf numFmtId="0" fontId="0" fillId="0" borderId="57" xfId="0" applyBorder="1"/>
    <xf numFmtId="0" fontId="0" fillId="0" borderId="58" xfId="0" applyBorder="1"/>
    <xf numFmtId="164" fontId="27" fillId="0" borderId="0" xfId="1" applyNumberFormat="1" applyFont="1"/>
    <xf numFmtId="164" fontId="35" fillId="0" borderId="0" xfId="1" applyNumberFormat="1" applyFont="1"/>
    <xf numFmtId="170" fontId="80" fillId="0" borderId="71" xfId="14" applyNumberFormat="1" applyFont="1" applyFill="1" applyBorder="1" applyAlignment="1">
      <alignment shrinkToFit="1"/>
    </xf>
    <xf numFmtId="164" fontId="70" fillId="22" borderId="71" xfId="14" applyNumberFormat="1" applyFont="1" applyFill="1" applyBorder="1" applyAlignment="1">
      <alignment shrinkToFit="1"/>
    </xf>
    <xf numFmtId="182" fontId="87" fillId="4" borderId="0" xfId="0" applyNumberFormat="1" applyFont="1" applyFill="1" applyAlignment="1">
      <alignment vertical="top"/>
    </xf>
    <xf numFmtId="0" fontId="87" fillId="23" borderId="0" xfId="0" applyFont="1" applyFill="1" applyAlignment="1">
      <alignment vertical="top"/>
    </xf>
    <xf numFmtId="0" fontId="88" fillId="0" borderId="0" xfId="0" applyFont="1" applyAlignment="1">
      <alignment vertical="top"/>
    </xf>
    <xf numFmtId="0" fontId="88" fillId="0" borderId="3" xfId="0" applyFont="1" applyBorder="1" applyAlignment="1">
      <alignment vertical="top"/>
    </xf>
    <xf numFmtId="0" fontId="89" fillId="0" borderId="0" xfId="0" applyFont="1" applyAlignment="1">
      <alignment vertical="top"/>
    </xf>
    <xf numFmtId="0" fontId="89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88" fillId="0" borderId="1" xfId="0" applyFont="1" applyBorder="1" applyAlignment="1">
      <alignment vertical="top"/>
    </xf>
    <xf numFmtId="0" fontId="90" fillId="0" borderId="0" xfId="0" applyFont="1" applyAlignment="1">
      <alignment vertical="top"/>
    </xf>
    <xf numFmtId="0" fontId="90" fillId="0" borderId="1" xfId="0" applyFont="1" applyBorder="1" applyAlignment="1">
      <alignment vertical="top"/>
    </xf>
    <xf numFmtId="0" fontId="47" fillId="0" borderId="1" xfId="0" applyFont="1" applyBorder="1" applyAlignment="1">
      <alignment horizontal="center" vertical="top"/>
    </xf>
    <xf numFmtId="0" fontId="0" fillId="0" borderId="78" xfId="0" applyBorder="1" applyAlignment="1">
      <alignment vertical="top"/>
    </xf>
    <xf numFmtId="0" fontId="91" fillId="7" borderId="79" xfId="0" applyFont="1" applyFill="1" applyBorder="1" applyAlignment="1">
      <alignment vertical="top"/>
    </xf>
    <xf numFmtId="0" fontId="88" fillId="0" borderId="80" xfId="0" applyFont="1" applyBorder="1" applyAlignment="1">
      <alignment vertical="top"/>
    </xf>
    <xf numFmtId="182" fontId="87" fillId="24" borderId="0" xfId="0" applyNumberFormat="1" applyFont="1" applyFill="1" applyAlignment="1">
      <alignment vertical="top"/>
    </xf>
    <xf numFmtId="182" fontId="87" fillId="24" borderId="0" xfId="0" quotePrefix="1" applyNumberFormat="1" applyFont="1" applyFill="1" applyAlignment="1">
      <alignment vertical="top"/>
    </xf>
    <xf numFmtId="164" fontId="88" fillId="0" borderId="3" xfId="5" applyNumberFormat="1" applyFont="1" applyFill="1" applyBorder="1" applyAlignment="1">
      <alignment horizontal="right" vertical="top"/>
    </xf>
    <xf numFmtId="164" fontId="88" fillId="0" borderId="3" xfId="5" applyNumberFormat="1" applyFont="1" applyBorder="1" applyAlignment="1">
      <alignment horizontal="right" vertical="top"/>
    </xf>
    <xf numFmtId="164" fontId="89" fillId="0" borderId="1" xfId="5" applyNumberFormat="1" applyFont="1" applyFill="1" applyBorder="1" applyAlignment="1">
      <alignment horizontal="right" vertical="top"/>
    </xf>
    <xf numFmtId="164" fontId="89" fillId="0" borderId="1" xfId="5" applyNumberFormat="1" applyFont="1" applyBorder="1" applyAlignment="1">
      <alignment horizontal="right" vertical="top"/>
    </xf>
    <xf numFmtId="164" fontId="0" fillId="0" borderId="1" xfId="5" applyNumberFormat="1" applyFont="1" applyFill="1" applyBorder="1" applyAlignment="1">
      <alignment horizontal="right" vertical="top"/>
    </xf>
    <xf numFmtId="164" fontId="0" fillId="0" borderId="1" xfId="5" applyNumberFormat="1" applyFont="1" applyBorder="1" applyAlignment="1">
      <alignment horizontal="right" vertical="top"/>
    </xf>
    <xf numFmtId="164" fontId="88" fillId="0" borderId="1" xfId="5" applyNumberFormat="1" applyFont="1" applyFill="1" applyBorder="1" applyAlignment="1">
      <alignment horizontal="right" vertical="top"/>
    </xf>
    <xf numFmtId="164" fontId="88" fillId="0" borderId="1" xfId="5" applyNumberFormat="1" applyFont="1" applyBorder="1" applyAlignment="1">
      <alignment horizontal="right" vertical="top"/>
    </xf>
    <xf numFmtId="164" fontId="90" fillId="0" borderId="1" xfId="5" applyNumberFormat="1" applyFont="1" applyFill="1" applyBorder="1" applyAlignment="1">
      <alignment horizontal="right" vertical="top"/>
    </xf>
    <xf numFmtId="164" fontId="90" fillId="0" borderId="1" xfId="5" applyNumberFormat="1" applyFont="1" applyBorder="1" applyAlignment="1">
      <alignment horizontal="right" vertical="top"/>
    </xf>
    <xf numFmtId="164" fontId="0" fillId="0" borderId="78" xfId="5" applyNumberFormat="1" applyFont="1" applyFill="1" applyBorder="1" applyAlignment="1">
      <alignment horizontal="right" vertical="top"/>
    </xf>
    <xf numFmtId="164" fontId="0" fillId="0" borderId="78" xfId="5" applyNumberFormat="1" applyFont="1" applyBorder="1" applyAlignment="1">
      <alignment horizontal="right" vertical="top"/>
    </xf>
    <xf numFmtId="164" fontId="91" fillId="7" borderId="79" xfId="5" applyNumberFormat="1" applyFont="1" applyFill="1" applyBorder="1" applyAlignment="1">
      <alignment horizontal="right" vertical="top"/>
    </xf>
    <xf numFmtId="164" fontId="88" fillId="0" borderId="80" xfId="5" applyNumberFormat="1" applyFont="1" applyFill="1" applyBorder="1" applyAlignment="1">
      <alignment horizontal="right" vertical="top"/>
    </xf>
    <xf numFmtId="164" fontId="88" fillId="0" borderId="80" xfId="5" applyNumberFormat="1" applyFont="1" applyBorder="1" applyAlignment="1">
      <alignment horizontal="right" vertical="top"/>
    </xf>
    <xf numFmtId="0" fontId="87" fillId="23" borderId="0" xfId="0" applyFont="1" applyFill="1" applyAlignment="1">
      <alignment horizontal="center" vertical="top"/>
    </xf>
    <xf numFmtId="0" fontId="88" fillId="0" borderId="3" xfId="0" applyFont="1" applyBorder="1" applyAlignment="1">
      <alignment horizontal="center" vertical="top"/>
    </xf>
    <xf numFmtId="0" fontId="89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88" fillId="0" borderId="1" xfId="0" applyFont="1" applyBorder="1" applyAlignment="1">
      <alignment horizontal="center" vertical="top"/>
    </xf>
    <xf numFmtId="0" fontId="90" fillId="0" borderId="1" xfId="0" applyFont="1" applyBorder="1" applyAlignment="1">
      <alignment horizontal="center" vertical="top"/>
    </xf>
    <xf numFmtId="0" fontId="0" fillId="0" borderId="78" xfId="0" applyBorder="1" applyAlignment="1">
      <alignment horizontal="center" vertical="top"/>
    </xf>
    <xf numFmtId="0" fontId="91" fillId="7" borderId="79" xfId="0" applyFont="1" applyFill="1" applyBorder="1" applyAlignment="1">
      <alignment horizontal="center" vertical="top"/>
    </xf>
    <xf numFmtId="0" fontId="88" fillId="0" borderId="80" xfId="0" applyFont="1" applyBorder="1" applyAlignment="1">
      <alignment horizontal="center" vertical="top"/>
    </xf>
    <xf numFmtId="164" fontId="10" fillId="5" borderId="8" xfId="1" applyNumberFormat="1" applyFont="1" applyFill="1" applyBorder="1" applyAlignment="1" applyProtection="1">
      <alignment vertical="top" wrapText="1"/>
      <protection locked="0"/>
    </xf>
    <xf numFmtId="164" fontId="92" fillId="5" borderId="8" xfId="1" applyNumberFormat="1" applyFont="1" applyFill="1" applyBorder="1" applyAlignment="1" applyProtection="1">
      <alignment vertical="top" wrapText="1"/>
      <protection locked="0"/>
    </xf>
    <xf numFmtId="0" fontId="0" fillId="0" borderId="0" xfId="0" applyAlignment="1">
      <alignment horizontal="center"/>
    </xf>
    <xf numFmtId="0" fontId="18" fillId="4" borderId="33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32" fillId="0" borderId="0" xfId="0" applyFont="1" applyAlignment="1">
      <alignment horizontal="center"/>
    </xf>
    <xf numFmtId="0" fontId="18" fillId="3" borderId="0" xfId="0" applyFont="1" applyFill="1" applyAlignment="1">
      <alignment horizontal="center" vertical="center"/>
    </xf>
    <xf numFmtId="0" fontId="18" fillId="20" borderId="35" xfId="0" applyFont="1" applyFill="1" applyBorder="1" applyAlignment="1">
      <alignment horizontal="center" vertical="center"/>
    </xf>
    <xf numFmtId="0" fontId="18" fillId="20" borderId="0" xfId="0" applyFont="1" applyFill="1" applyAlignment="1">
      <alignment horizontal="center" vertical="center"/>
    </xf>
    <xf numFmtId="0" fontId="18" fillId="20" borderId="36" xfId="0" applyFont="1" applyFill="1" applyBorder="1" applyAlignment="1">
      <alignment horizontal="center" vertical="center"/>
    </xf>
    <xf numFmtId="0" fontId="18" fillId="4" borderId="34" xfId="0" applyFont="1" applyFill="1" applyBorder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56" fillId="25" borderId="0" xfId="0" applyFont="1" applyFill="1" applyAlignment="1">
      <alignment horizontal="center"/>
    </xf>
    <xf numFmtId="0" fontId="56" fillId="3" borderId="0" xfId="0" applyFont="1" applyFill="1" applyAlignment="1">
      <alignment horizontal="center"/>
    </xf>
    <xf numFmtId="0" fontId="57" fillId="0" borderId="0" xfId="0" applyFont="1"/>
    <xf numFmtId="164" fontId="17" fillId="0" borderId="3" xfId="1" applyNumberFormat="1" applyFont="1" applyFill="1" applyBorder="1" applyAlignment="1" applyProtection="1">
      <alignment horizontal="right" vertical="top" wrapText="1"/>
      <protection locked="0"/>
    </xf>
    <xf numFmtId="164" fontId="94" fillId="0" borderId="1" xfId="1" applyNumberFormat="1" applyFont="1" applyBorder="1" applyAlignment="1" applyProtection="1">
      <alignment vertical="top" wrapText="1"/>
      <protection locked="0"/>
    </xf>
    <xf numFmtId="164" fontId="95" fillId="0" borderId="1" xfId="1" applyNumberFormat="1" applyFont="1" applyBorder="1" applyAlignment="1" applyProtection="1">
      <alignment vertical="top" wrapText="1"/>
      <protection locked="0"/>
    </xf>
    <xf numFmtId="164" fontId="96" fillId="0" borderId="1" xfId="1" applyNumberFormat="1" applyFont="1" applyFill="1" applyBorder="1" applyAlignment="1" applyProtection="1">
      <alignment horizontal="right" vertical="top" wrapText="1"/>
      <protection locked="0"/>
    </xf>
    <xf numFmtId="164" fontId="97" fillId="7" borderId="1" xfId="1" applyNumberFormat="1" applyFont="1" applyFill="1" applyBorder="1" applyAlignment="1" applyProtection="1">
      <alignment horizontal="center" vertical="top" wrapText="1"/>
      <protection locked="0"/>
    </xf>
    <xf numFmtId="164" fontId="94" fillId="7" borderId="1" xfId="1" applyNumberFormat="1" applyFont="1" applyFill="1" applyBorder="1" applyAlignment="1" applyProtection="1">
      <alignment vertical="top" wrapText="1"/>
      <protection locked="0"/>
    </xf>
    <xf numFmtId="164" fontId="12" fillId="0" borderId="1" xfId="1" applyNumberFormat="1" applyFont="1" applyBorder="1" applyAlignment="1" applyProtection="1">
      <alignment vertical="top" wrapText="1"/>
      <protection locked="0"/>
    </xf>
    <xf numFmtId="164" fontId="12" fillId="0" borderId="12" xfId="1" applyNumberFormat="1" applyFont="1" applyBorder="1" applyAlignment="1" applyProtection="1">
      <alignment vertical="top" wrapText="1"/>
      <protection locked="0"/>
    </xf>
    <xf numFmtId="164" fontId="98" fillId="0" borderId="3" xfId="1" applyNumberFormat="1" applyFont="1" applyFill="1" applyBorder="1" applyAlignment="1" applyProtection="1">
      <alignment horizontal="right" vertical="top" wrapText="1"/>
      <protection locked="0"/>
    </xf>
    <xf numFmtId="164" fontId="8" fillId="0" borderId="2" xfId="1" applyNumberFormat="1" applyFont="1" applyBorder="1" applyAlignment="1" applyProtection="1">
      <alignment vertical="top" wrapText="1"/>
      <protection locked="0"/>
    </xf>
    <xf numFmtId="0" fontId="99" fillId="0" borderId="0" xfId="0" applyFont="1"/>
    <xf numFmtId="164" fontId="99" fillId="0" borderId="0" xfId="0" applyNumberFormat="1" applyFont="1"/>
    <xf numFmtId="43" fontId="0" fillId="0" borderId="0" xfId="1" applyFont="1"/>
    <xf numFmtId="0" fontId="56" fillId="25" borderId="0" xfId="0" applyFont="1" applyFill="1"/>
    <xf numFmtId="0" fontId="54" fillId="11" borderId="9" xfId="6" applyNumberFormat="1" applyFont="1" applyFill="1" applyBorder="1" applyAlignment="1" applyProtection="1">
      <alignment horizontal="center" vertical="center" wrapText="1"/>
    </xf>
    <xf numFmtId="0" fontId="8" fillId="26" borderId="9" xfId="6" applyNumberFormat="1" applyFont="1" applyFill="1" applyBorder="1" applyAlignment="1" applyProtection="1">
      <alignment horizontal="center" vertical="center" wrapText="1"/>
    </xf>
    <xf numFmtId="0" fontId="57" fillId="0" borderId="3" xfId="0" applyFont="1" applyBorder="1"/>
    <xf numFmtId="0" fontId="57" fillId="0" borderId="1" xfId="0" applyFont="1" applyBorder="1"/>
    <xf numFmtId="183" fontId="57" fillId="0" borderId="1" xfId="1" applyNumberFormat="1" applyFont="1" applyBorder="1"/>
    <xf numFmtId="0" fontId="57" fillId="27" borderId="1" xfId="0" applyFont="1" applyFill="1" applyBorder="1"/>
    <xf numFmtId="183" fontId="57" fillId="27" borderId="1" xfId="1" applyNumberFormat="1" applyFont="1" applyFill="1" applyBorder="1"/>
    <xf numFmtId="0" fontId="5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83" fontId="0" fillId="0" borderId="1" xfId="1" applyNumberFormat="1" applyFont="1" applyBorder="1"/>
    <xf numFmtId="0" fontId="57" fillId="27" borderId="1" xfId="0" applyFont="1" applyFill="1" applyBorder="1" applyAlignment="1">
      <alignment horizontal="center"/>
    </xf>
    <xf numFmtId="170" fontId="0" fillId="0" borderId="0" xfId="0" applyNumberFormat="1"/>
    <xf numFmtId="164" fontId="33" fillId="0" borderId="0" xfId="14" applyNumberFormat="1" applyFont="1" applyFill="1" applyBorder="1" applyAlignment="1">
      <alignment vertical="center"/>
    </xf>
    <xf numFmtId="164" fontId="37" fillId="0" borderId="0" xfId="14" applyNumberFormat="1" applyFont="1" applyAlignment="1">
      <alignment horizontal="left" vertical="center"/>
    </xf>
    <xf numFmtId="164" fontId="33" fillId="0" borderId="0" xfId="14" applyNumberFormat="1" applyFont="1" applyAlignment="1">
      <alignment vertical="center" wrapText="1"/>
    </xf>
    <xf numFmtId="169" fontId="33" fillId="0" borderId="0" xfId="14" applyNumberFormat="1" applyFont="1" applyFill="1" applyAlignment="1">
      <alignment vertical="center"/>
    </xf>
    <xf numFmtId="169" fontId="33" fillId="0" borderId="0" xfId="14" applyNumberFormat="1" applyFont="1" applyAlignment="1">
      <alignment vertical="center"/>
    </xf>
    <xf numFmtId="169" fontId="33" fillId="0" borderId="0" xfId="14" applyNumberFormat="1" applyFont="1" applyAlignment="1">
      <alignment vertical="center" wrapText="1"/>
    </xf>
    <xf numFmtId="164" fontId="33" fillId="0" borderId="0" xfId="14" applyNumberFormat="1" applyFont="1" applyAlignment="1">
      <alignment horizontal="left" vertical="center"/>
    </xf>
    <xf numFmtId="176" fontId="33" fillId="0" borderId="0" xfId="14" applyNumberFormat="1" applyFont="1" applyAlignment="1">
      <alignment vertical="center"/>
    </xf>
    <xf numFmtId="164" fontId="33" fillId="0" borderId="0" xfId="14" applyNumberFormat="1" applyFont="1" applyAlignment="1">
      <alignment horizontal="right"/>
    </xf>
    <xf numFmtId="164" fontId="33" fillId="0" borderId="0" xfId="14" applyNumberFormat="1" applyFont="1" applyAlignment="1">
      <alignment horizontal="right" wrapText="1"/>
    </xf>
    <xf numFmtId="49" fontId="6" fillId="0" borderId="0" xfId="14" applyNumberFormat="1" applyFont="1" applyFill="1" applyBorder="1" applyAlignment="1">
      <alignment vertical="center"/>
    </xf>
    <xf numFmtId="37" fontId="46" fillId="0" borderId="0" xfId="14" applyNumberFormat="1" applyFont="1" applyFill="1" applyBorder="1" applyAlignment="1">
      <alignment horizontal="center" vertical="center"/>
    </xf>
    <xf numFmtId="171" fontId="6" fillId="0" borderId="13" xfId="14" applyNumberFormat="1" applyFont="1" applyBorder="1" applyAlignment="1" applyProtection="1">
      <alignment horizontal="left" vertical="center"/>
    </xf>
    <xf numFmtId="171" fontId="6" fillId="0" borderId="13" xfId="14" applyNumberFormat="1" applyFont="1" applyBorder="1" applyAlignment="1" applyProtection="1">
      <alignment horizontal="left" vertical="center" wrapText="1"/>
    </xf>
    <xf numFmtId="172" fontId="6" fillId="0" borderId="13" xfId="14" applyNumberFormat="1" applyFont="1" applyFill="1" applyBorder="1" applyAlignment="1">
      <alignment horizontal="right" vertical="center"/>
    </xf>
    <xf numFmtId="171" fontId="6" fillId="0" borderId="0" xfId="14" applyNumberFormat="1" applyFont="1" applyFill="1" applyBorder="1" applyAlignment="1">
      <alignment horizontal="right" vertical="center"/>
    </xf>
    <xf numFmtId="10" fontId="6" fillId="0" borderId="13" xfId="7" applyNumberFormat="1" applyFont="1" applyFill="1" applyBorder="1" applyAlignment="1">
      <alignment horizontal="right" vertical="center"/>
    </xf>
    <xf numFmtId="171" fontId="6" fillId="0" borderId="0" xfId="14" applyNumberFormat="1" applyFont="1" applyFill="1" applyBorder="1" applyAlignment="1">
      <alignment vertical="center"/>
    </xf>
    <xf numFmtId="172" fontId="6" fillId="0" borderId="13" xfId="14" applyNumberFormat="1" applyFont="1" applyFill="1" applyBorder="1" applyAlignment="1">
      <alignment horizontal="right" vertical="center" wrapText="1"/>
    </xf>
    <xf numFmtId="171" fontId="33" fillId="0" borderId="13" xfId="14" applyNumberFormat="1" applyFont="1" applyBorder="1" applyAlignment="1" applyProtection="1">
      <alignment horizontal="left" vertical="center"/>
    </xf>
    <xf numFmtId="171" fontId="33" fillId="0" borderId="13" xfId="14" applyNumberFormat="1" applyFont="1" applyBorder="1" applyAlignment="1" applyProtection="1">
      <alignment horizontal="left" vertical="center" wrapText="1"/>
    </xf>
    <xf numFmtId="172" fontId="33" fillId="0" borderId="13" xfId="14" applyNumberFormat="1" applyFont="1" applyFill="1" applyBorder="1" applyAlignment="1">
      <alignment horizontal="right" vertical="center"/>
    </xf>
    <xf numFmtId="171" fontId="33" fillId="0" borderId="0" xfId="14" applyNumberFormat="1" applyFont="1" applyFill="1" applyBorder="1" applyAlignment="1">
      <alignment horizontal="right" vertical="center"/>
    </xf>
    <xf numFmtId="10" fontId="33" fillId="0" borderId="13" xfId="7" applyNumberFormat="1" applyFont="1" applyFill="1" applyBorder="1" applyAlignment="1">
      <alignment horizontal="right" vertical="center"/>
    </xf>
    <xf numFmtId="171" fontId="33" fillId="0" borderId="0" xfId="14" applyNumberFormat="1" applyFont="1" applyFill="1" applyBorder="1" applyAlignment="1">
      <alignment vertical="center"/>
    </xf>
    <xf numFmtId="172" fontId="33" fillId="0" borderId="13" xfId="14" applyNumberFormat="1" applyFont="1" applyFill="1" applyBorder="1" applyAlignment="1">
      <alignment horizontal="right" vertical="center" wrapText="1"/>
    </xf>
    <xf numFmtId="0" fontId="6" fillId="13" borderId="13" xfId="14" applyNumberFormat="1" applyFont="1" applyFill="1" applyBorder="1" applyAlignment="1" applyProtection="1">
      <alignment horizontal="left" vertical="center"/>
    </xf>
    <xf numFmtId="0" fontId="6" fillId="13" borderId="13" xfId="14" applyNumberFormat="1" applyFont="1" applyFill="1" applyBorder="1" applyAlignment="1" applyProtection="1">
      <alignment horizontal="left" vertical="center" wrapText="1"/>
    </xf>
    <xf numFmtId="169" fontId="6" fillId="13" borderId="13" xfId="14" applyNumberFormat="1" applyFont="1" applyFill="1" applyBorder="1" applyAlignment="1" applyProtection="1">
      <alignment vertical="center"/>
    </xf>
    <xf numFmtId="164" fontId="6" fillId="0" borderId="0" xfId="14" applyNumberFormat="1" applyFont="1" applyFill="1" applyBorder="1" applyAlignment="1">
      <alignment vertical="center"/>
    </xf>
    <xf numFmtId="10" fontId="6" fillId="13" borderId="13" xfId="7" applyNumberFormat="1" applyFont="1" applyFill="1" applyBorder="1" applyAlignment="1" applyProtection="1">
      <alignment vertical="center"/>
    </xf>
    <xf numFmtId="169" fontId="6" fillId="13" borderId="13" xfId="14" applyNumberFormat="1" applyFont="1" applyFill="1" applyBorder="1" applyAlignment="1" applyProtection="1">
      <alignment vertical="center" wrapText="1"/>
    </xf>
    <xf numFmtId="169" fontId="41" fillId="0" borderId="13" xfId="14" applyNumberFormat="1" applyFont="1" applyFill="1" applyBorder="1" applyAlignment="1" applyProtection="1">
      <alignment vertical="center"/>
    </xf>
    <xf numFmtId="10" fontId="41" fillId="0" borderId="13" xfId="7" applyNumberFormat="1" applyFont="1" applyFill="1" applyBorder="1" applyAlignment="1" applyProtection="1">
      <alignment vertical="center"/>
    </xf>
    <xf numFmtId="169" fontId="41" fillId="0" borderId="13" xfId="14" applyNumberFormat="1" applyFont="1" applyFill="1" applyBorder="1" applyAlignment="1" applyProtection="1">
      <alignment vertical="center" wrapText="1"/>
    </xf>
    <xf numFmtId="0" fontId="33" fillId="0" borderId="13" xfId="14" applyNumberFormat="1" applyFont="1" applyFill="1" applyBorder="1" applyAlignment="1" applyProtection="1">
      <alignment horizontal="left" vertical="center" wrapText="1"/>
    </xf>
    <xf numFmtId="0" fontId="6" fillId="0" borderId="13" xfId="14" applyNumberFormat="1" applyFont="1" applyFill="1" applyBorder="1" applyAlignment="1" applyProtection="1">
      <alignment horizontal="left" vertical="center"/>
    </xf>
    <xf numFmtId="0" fontId="6" fillId="0" borderId="13" xfId="14" applyNumberFormat="1" applyFont="1" applyFill="1" applyBorder="1" applyAlignment="1" applyProtection="1">
      <alignment horizontal="left" vertical="center" wrapText="1"/>
    </xf>
    <xf numFmtId="169" fontId="6" fillId="0" borderId="13" xfId="14" applyNumberFormat="1" applyFont="1" applyFill="1" applyBorder="1" applyAlignment="1" applyProtection="1">
      <alignment vertical="center"/>
    </xf>
    <xf numFmtId="10" fontId="6" fillId="0" borderId="13" xfId="7" applyNumberFormat="1" applyFont="1" applyFill="1" applyBorder="1" applyAlignment="1" applyProtection="1">
      <alignment vertical="center"/>
    </xf>
    <xf numFmtId="169" fontId="6" fillId="0" borderId="13" xfId="14" applyNumberFormat="1" applyFont="1" applyFill="1" applyBorder="1" applyAlignment="1" applyProtection="1">
      <alignment vertical="center" wrapText="1"/>
    </xf>
    <xf numFmtId="0" fontId="6" fillId="0" borderId="13" xfId="14" applyNumberFormat="1" applyFont="1" applyBorder="1" applyAlignment="1" applyProtection="1">
      <alignment horizontal="left" vertical="center"/>
    </xf>
    <xf numFmtId="0" fontId="6" fillId="0" borderId="13" xfId="14" applyNumberFormat="1" applyFont="1" applyBorder="1" applyAlignment="1" applyProtection="1">
      <alignment horizontal="left" vertical="center" wrapText="1"/>
    </xf>
    <xf numFmtId="0" fontId="33" fillId="0" borderId="13" xfId="14" applyNumberFormat="1" applyFont="1" applyBorder="1" applyAlignment="1" applyProtection="1">
      <alignment horizontal="left" vertical="center"/>
    </xf>
    <xf numFmtId="0" fontId="33" fillId="0" borderId="13" xfId="14" applyNumberFormat="1" applyFont="1" applyBorder="1" applyAlignment="1" applyProtection="1">
      <alignment horizontal="left" vertical="center" wrapText="1"/>
    </xf>
    <xf numFmtId="169" fontId="33" fillId="0" borderId="13" xfId="14" applyNumberFormat="1" applyFont="1" applyFill="1" applyBorder="1" applyAlignment="1" applyProtection="1">
      <alignment vertical="center"/>
    </xf>
    <xf numFmtId="10" fontId="33" fillId="0" borderId="13" xfId="7" applyNumberFormat="1" applyFont="1" applyFill="1" applyBorder="1" applyAlignment="1" applyProtection="1">
      <alignment vertical="center"/>
    </xf>
    <xf numFmtId="169" fontId="33" fillId="0" borderId="13" xfId="14" applyNumberFormat="1" applyFont="1" applyFill="1" applyBorder="1" applyAlignment="1" applyProtection="1">
      <alignment vertical="center" wrapText="1"/>
    </xf>
    <xf numFmtId="0" fontId="41" fillId="0" borderId="13" xfId="14" applyNumberFormat="1" applyFont="1" applyBorder="1" applyAlignment="1" applyProtection="1">
      <alignment horizontal="left" vertical="center"/>
    </xf>
    <xf numFmtId="0" fontId="41" fillId="0" borderId="13" xfId="14" applyNumberFormat="1" applyFont="1" applyBorder="1" applyAlignment="1" applyProtection="1">
      <alignment horizontal="left" vertical="center" wrapText="1"/>
    </xf>
    <xf numFmtId="164" fontId="41" fillId="0" borderId="0" xfId="14" applyNumberFormat="1" applyFont="1" applyFill="1" applyBorder="1" applyAlignment="1">
      <alignment vertical="center"/>
    </xf>
    <xf numFmtId="0" fontId="42" fillId="0" borderId="13" xfId="14" applyNumberFormat="1" applyFont="1" applyBorder="1" applyAlignment="1" applyProtection="1">
      <alignment horizontal="left" vertical="center"/>
    </xf>
    <xf numFmtId="10" fontId="42" fillId="0" borderId="13" xfId="7" applyNumberFormat="1" applyFont="1" applyFill="1" applyBorder="1" applyAlignment="1" applyProtection="1">
      <alignment vertical="center"/>
    </xf>
    <xf numFmtId="175" fontId="42" fillId="0" borderId="13" xfId="7" applyNumberFormat="1" applyFont="1" applyFill="1" applyBorder="1" applyAlignment="1" applyProtection="1">
      <alignment vertical="center" wrapText="1"/>
    </xf>
    <xf numFmtId="175" fontId="42" fillId="5" borderId="13" xfId="7" applyNumberFormat="1" applyFont="1" applyFill="1" applyBorder="1" applyAlignment="1" applyProtection="1">
      <alignment vertical="center"/>
    </xf>
    <xf numFmtId="9" fontId="6" fillId="13" borderId="13" xfId="7" applyFont="1" applyFill="1" applyBorder="1" applyAlignment="1" applyProtection="1">
      <alignment vertical="center"/>
    </xf>
    <xf numFmtId="168" fontId="45" fillId="0" borderId="13" xfId="7" applyNumberFormat="1" applyFont="1" applyFill="1" applyBorder="1" applyAlignment="1" applyProtection="1">
      <alignment vertical="center"/>
    </xf>
    <xf numFmtId="10" fontId="45" fillId="0" borderId="13" xfId="7" applyNumberFormat="1" applyFont="1" applyFill="1" applyBorder="1" applyAlignment="1" applyProtection="1">
      <alignment vertical="center"/>
    </xf>
    <xf numFmtId="9" fontId="45" fillId="0" borderId="13" xfId="7" applyFont="1" applyFill="1" applyBorder="1" applyAlignment="1" applyProtection="1">
      <alignment vertical="center" wrapText="1"/>
    </xf>
    <xf numFmtId="164" fontId="6" fillId="0" borderId="0" xfId="14" applyNumberFormat="1" applyFont="1" applyAlignment="1">
      <alignment horizontal="left" vertical="center"/>
    </xf>
    <xf numFmtId="164" fontId="6" fillId="0" borderId="0" xfId="14" applyNumberFormat="1" applyFont="1" applyAlignment="1">
      <alignment vertical="center" wrapText="1"/>
    </xf>
    <xf numFmtId="164" fontId="33" fillId="0" borderId="0" xfId="14" applyNumberFormat="1" applyFont="1" applyAlignment="1">
      <alignment vertical="center"/>
    </xf>
    <xf numFmtId="172" fontId="33" fillId="0" borderId="0" xfId="14" applyNumberFormat="1" applyFont="1" applyAlignment="1">
      <alignment vertical="center"/>
    </xf>
    <xf numFmtId="172" fontId="33" fillId="0" borderId="0" xfId="14" applyNumberFormat="1" applyFont="1" applyAlignment="1">
      <alignment vertical="center" wrapText="1"/>
    </xf>
    <xf numFmtId="164" fontId="6" fillId="0" borderId="0" xfId="14" applyNumberFormat="1" applyFont="1" applyAlignment="1">
      <alignment horizontal="centerContinuous" vertical="center" wrapText="1"/>
    </xf>
    <xf numFmtId="164" fontId="6" fillId="0" borderId="0" xfId="14" applyNumberFormat="1" applyFont="1" applyFill="1" applyBorder="1" applyAlignment="1">
      <alignment horizontal="center" vertical="center" wrapText="1"/>
    </xf>
    <xf numFmtId="164" fontId="6" fillId="0" borderId="0" xfId="14" applyNumberFormat="1" applyFont="1" applyFill="1" applyBorder="1" applyAlignment="1">
      <alignment horizontal="center" vertical="center"/>
    </xf>
    <xf numFmtId="169" fontId="47" fillId="0" borderId="0" xfId="14" applyNumberFormat="1" applyFont="1" applyAlignment="1">
      <alignment vertical="center"/>
    </xf>
    <xf numFmtId="169" fontId="47" fillId="0" borderId="0" xfId="14" applyNumberFormat="1" applyFont="1" applyAlignment="1">
      <alignment vertical="center" wrapText="1"/>
    </xf>
    <xf numFmtId="43" fontId="0" fillId="0" borderId="1" xfId="1" applyFont="1" applyBorder="1"/>
    <xf numFmtId="164" fontId="0" fillId="0" borderId="1" xfId="1" applyNumberFormat="1" applyFont="1" applyBorder="1"/>
    <xf numFmtId="164" fontId="0" fillId="0" borderId="1" xfId="0" applyNumberFormat="1" applyBorder="1"/>
    <xf numFmtId="0" fontId="57" fillId="28" borderId="1" xfId="0" applyFont="1" applyFill="1" applyBorder="1" applyAlignment="1">
      <alignment horizontal="center"/>
    </xf>
    <xf numFmtId="0" fontId="57" fillId="28" borderId="1" xfId="0" applyFont="1" applyFill="1" applyBorder="1"/>
    <xf numFmtId="164" fontId="57" fillId="28" borderId="1" xfId="1" applyNumberFormat="1" applyFont="1" applyFill="1" applyBorder="1"/>
    <xf numFmtId="168" fontId="0" fillId="0" borderId="1" xfId="0" applyNumberFormat="1" applyBorder="1"/>
    <xf numFmtId="0" fontId="100" fillId="0" borderId="1" xfId="0" applyFont="1" applyBorder="1" applyAlignment="1">
      <alignment horizontal="center"/>
    </xf>
    <xf numFmtId="0" fontId="100" fillId="0" borderId="1" xfId="0" applyFont="1" applyBorder="1"/>
    <xf numFmtId="0" fontId="100" fillId="0" borderId="0" xfId="0" applyFont="1"/>
    <xf numFmtId="168" fontId="100" fillId="0" borderId="1" xfId="0" applyNumberFormat="1" applyFont="1" applyBorder="1"/>
    <xf numFmtId="164" fontId="29" fillId="0" borderId="0" xfId="1" applyNumberFormat="1" applyFont="1"/>
    <xf numFmtId="164" fontId="57" fillId="0" borderId="3" xfId="0" applyNumberFormat="1" applyFont="1" applyBorder="1"/>
    <xf numFmtId="0" fontId="57" fillId="29" borderId="1" xfId="0" applyFont="1" applyFill="1" applyBorder="1" applyAlignment="1">
      <alignment horizontal="center"/>
    </xf>
    <xf numFmtId="0" fontId="57" fillId="29" borderId="1" xfId="0" applyFont="1" applyFill="1" applyBorder="1"/>
    <xf numFmtId="168" fontId="57" fillId="29" borderId="1" xfId="1" applyNumberFormat="1" applyFont="1" applyFill="1" applyBorder="1"/>
    <xf numFmtId="0" fontId="57" fillId="18" borderId="1" xfId="0" applyFont="1" applyFill="1" applyBorder="1" applyAlignment="1">
      <alignment horizontal="center"/>
    </xf>
    <xf numFmtId="0" fontId="57" fillId="18" borderId="1" xfId="0" applyFont="1" applyFill="1" applyBorder="1"/>
    <xf numFmtId="0" fontId="18" fillId="2" borderId="0" xfId="0" applyFont="1" applyFill="1" applyAlignment="1">
      <alignment horizontal="center" vertical="center"/>
    </xf>
    <xf numFmtId="0" fontId="18" fillId="4" borderId="27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/>
    </xf>
    <xf numFmtId="0" fontId="18" fillId="4" borderId="29" xfId="0" applyFont="1" applyFill="1" applyBorder="1" applyAlignment="1">
      <alignment horizontal="center" vertical="center"/>
    </xf>
    <xf numFmtId="0" fontId="30" fillId="9" borderId="0" xfId="6" applyNumberFormat="1" applyFont="1" applyFill="1" applyAlignment="1">
      <alignment horizontal="center" vertical="center" wrapText="1"/>
    </xf>
    <xf numFmtId="0" fontId="31" fillId="10" borderId="0" xfId="4" applyFont="1" applyFill="1" applyAlignment="1">
      <alignment horizontal="left" vertical="center" wrapText="1"/>
    </xf>
    <xf numFmtId="0" fontId="18" fillId="6" borderId="24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30" fillId="9" borderId="0" xfId="6" applyNumberFormat="1" applyFont="1" applyFill="1" applyBorder="1" applyAlignment="1" applyProtection="1">
      <alignment horizontal="center" vertical="center" wrapText="1"/>
    </xf>
    <xf numFmtId="0" fontId="18" fillId="3" borderId="24" xfId="0" applyFont="1" applyFill="1" applyBorder="1" applyAlignment="1">
      <alignment horizontal="center" vertical="center"/>
    </xf>
    <xf numFmtId="0" fontId="18" fillId="20" borderId="30" xfId="0" applyFont="1" applyFill="1" applyBorder="1" applyAlignment="1">
      <alignment horizontal="center" vertical="center"/>
    </xf>
    <xf numFmtId="0" fontId="18" fillId="20" borderId="31" xfId="0" applyFont="1" applyFill="1" applyBorder="1" applyAlignment="1">
      <alignment horizontal="center" vertical="center"/>
    </xf>
    <xf numFmtId="0" fontId="18" fillId="20" borderId="32" xfId="0" applyFont="1" applyFill="1" applyBorder="1" applyAlignment="1">
      <alignment horizontal="center" vertical="center"/>
    </xf>
    <xf numFmtId="0" fontId="18" fillId="11" borderId="24" xfId="0" applyFont="1" applyFill="1" applyBorder="1" applyAlignment="1">
      <alignment horizontal="center" vertical="center"/>
    </xf>
    <xf numFmtId="0" fontId="31" fillId="10" borderId="0" xfId="4" applyFont="1" applyFill="1" applyAlignment="1">
      <alignment horizontal="left" vertical="top" wrapText="1"/>
    </xf>
    <xf numFmtId="0" fontId="9" fillId="10" borderId="72" xfId="4" applyFont="1" applyFill="1" applyBorder="1" applyAlignment="1">
      <alignment horizontal="left" vertical="center" wrapText="1"/>
    </xf>
    <xf numFmtId="0" fontId="9" fillId="10" borderId="73" xfId="4" applyFont="1" applyFill="1" applyBorder="1" applyAlignment="1">
      <alignment horizontal="left" vertical="center" wrapText="1"/>
    </xf>
    <xf numFmtId="0" fontId="8" fillId="9" borderId="74" xfId="4" applyFont="1" applyFill="1" applyBorder="1" applyAlignment="1">
      <alignment horizontal="center" vertical="center" wrapText="1"/>
    </xf>
    <xf numFmtId="0" fontId="8" fillId="9" borderId="75" xfId="4" applyFont="1" applyFill="1" applyBorder="1" applyAlignment="1">
      <alignment horizontal="center" vertical="center" wrapText="1"/>
    </xf>
  </cellXfs>
  <cellStyles count="15">
    <cellStyle name="Comma" xfId="1" builtinId="3"/>
    <cellStyle name="Comma 2" xfId="11" xr:uid="{6711FA86-C298-4254-AC2D-FFDD9A4E49AF}"/>
    <cellStyle name="Comma 3" xfId="6" xr:uid="{5E4AD9E7-C5AA-4CB7-A8A2-3651201B25C9}"/>
    <cellStyle name="Comma 3 2" xfId="3" xr:uid="{DCFD55FB-4C70-4D41-9D9B-CEF8B9F4783D}"/>
    <cellStyle name="Comma 4 11" xfId="14" xr:uid="{8C90A30D-C7E5-425E-9196-C56A2AAE9756}"/>
    <cellStyle name="Comma 5" xfId="10" xr:uid="{F75A7981-727E-4DCA-A250-CB0A5EC750FE}"/>
    <cellStyle name="Comma 5 2" xfId="5" xr:uid="{43F31BCC-4751-447F-8210-737984DAB746}"/>
    <cellStyle name="Normal" xfId="0" builtinId="0"/>
    <cellStyle name="Normal 2" xfId="4" xr:uid="{6C18828F-72D5-4CA2-944F-45E5526A836A}"/>
    <cellStyle name="Normal 3" xfId="8" xr:uid="{032133E0-229B-4A1A-8D68-9EC9CE8145B5}"/>
    <cellStyle name="Normal 4" xfId="2" xr:uid="{E9D53ED2-D093-4558-8C68-04FE7CE0AF41}"/>
    <cellStyle name="Normal 7" xfId="12" xr:uid="{52F94881-403F-4BEB-B7B5-CF0B4FAC68BF}"/>
    <cellStyle name="Percent" xfId="7" builtinId="5"/>
    <cellStyle name="Percent 2 2" xfId="9" xr:uid="{7EFF99AB-5CA4-41DD-BCF4-4EDF314D37D9}"/>
    <cellStyle name="標準 10" xfId="13" xr:uid="{E423A0DA-29A2-4552-8A4C-2D74B29050CE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CC"/>
      <color rgb="FF0000FF"/>
      <color rgb="FF2F6364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68580</xdr:colOff>
      <xdr:row>52</xdr:row>
      <xdr:rowOff>121920</xdr:rowOff>
    </xdr:from>
    <xdr:to>
      <xdr:col>29</xdr:col>
      <xdr:colOff>114300</xdr:colOff>
      <xdr:row>59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CED780A-5C18-EC46-74EB-6E06663C5CE1}"/>
            </a:ext>
          </a:extLst>
        </xdr:cNvPr>
        <xdr:cNvSpPr/>
      </xdr:nvSpPr>
      <xdr:spPr>
        <a:xfrm>
          <a:off x="6484620" y="5402580"/>
          <a:ext cx="9433560" cy="1112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300" b="1" u="sng"/>
            <a:t>GHI CHÚ:</a:t>
          </a:r>
        </a:p>
        <a:p>
          <a:pPr algn="l"/>
          <a:r>
            <a:rPr lang="en-US" sz="1300"/>
            <a:t>Version</a:t>
          </a:r>
          <a:r>
            <a:rPr lang="en-US" sz="1300" baseline="0"/>
            <a:t> mới khác biệt so với Version cũ ở 3 trạm. DTR đã điều chỉnh lại ở cả 2 phiên bản</a:t>
          </a:r>
          <a:endParaRPr lang="en-US" sz="13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.sharepoint.com/sites/duytan-holding/fad/FIR/00.BI%20REPORT/DataFS/DTR%20Group/28_FS_DTR%20Group.xlsx" TargetMode="External"/><Relationship Id="rId1" Type="http://schemas.openxmlformats.org/officeDocument/2006/relationships/externalLinkPath" Target="https://dtg.sharepoint.com/sites/duytan-holding/fad/FIR/00.BI%20REPORT/DataFS/DTR%20Group/28_FS_DTR%20Gro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ong tin"/>
      <sheetName val="BIA"/>
      <sheetName val="Index"/>
      <sheetName val="THTC in"/>
      <sheetName val="KQKD in"/>
      <sheetName val="LCTT_GT in"/>
      <sheetName val="Tinh hinh tai chinh"/>
      <sheetName val="Ket qua kinh doanh"/>
      <sheetName val="Luu chuyen tien te"/>
      <sheetName val="KQKD theo yeu to"/>
      <sheetName val="No vay"/>
      <sheetName val="Giao dich voi BLQ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AN6">
            <v>39793249760</v>
          </cell>
          <cell r="AO6">
            <v>29011802774</v>
          </cell>
          <cell r="AP6">
            <v>21563055917</v>
          </cell>
          <cell r="AQ6">
            <v>25763153167</v>
          </cell>
          <cell r="AR6">
            <v>24369136312</v>
          </cell>
          <cell r="AS6">
            <v>14808634542</v>
          </cell>
          <cell r="AT6">
            <v>48441006190</v>
          </cell>
          <cell r="AU6">
            <v>27599490170</v>
          </cell>
          <cell r="AV6">
            <v>41429525475</v>
          </cell>
          <cell r="AW6">
            <v>71014775934</v>
          </cell>
          <cell r="AX6">
            <v>74105192016</v>
          </cell>
          <cell r="AY6">
            <v>61515947311</v>
          </cell>
          <cell r="AZ6">
            <v>98917458297</v>
          </cell>
          <cell r="BA6">
            <v>53207560922</v>
          </cell>
          <cell r="BB6">
            <v>49746333332</v>
          </cell>
          <cell r="BC6">
            <v>64981093895</v>
          </cell>
          <cell r="BD6">
            <v>46850392378</v>
          </cell>
          <cell r="BE6">
            <v>40310681042</v>
          </cell>
          <cell r="BF6">
            <v>40943683940</v>
          </cell>
          <cell r="BG6">
            <v>46060383890</v>
          </cell>
          <cell r="BH6">
            <v>88049581700</v>
          </cell>
          <cell r="BI6">
            <v>51636513720</v>
          </cell>
          <cell r="BJ6">
            <v>50114145673</v>
          </cell>
          <cell r="BK6">
            <v>48026156404</v>
          </cell>
        </row>
        <row r="7">
          <cell r="AN7">
            <v>6840000000</v>
          </cell>
          <cell r="AO7">
            <v>6840000000</v>
          </cell>
          <cell r="AP7">
            <v>4830000000</v>
          </cell>
          <cell r="AQ7">
            <v>8830000000</v>
          </cell>
          <cell r="AR7">
            <v>8830000000</v>
          </cell>
          <cell r="AS7">
            <v>4830000000</v>
          </cell>
          <cell r="AT7">
            <v>7830000000</v>
          </cell>
          <cell r="AU7">
            <v>7830000000</v>
          </cell>
          <cell r="AV7">
            <v>7000000000</v>
          </cell>
          <cell r="AW7">
            <v>7000000000</v>
          </cell>
          <cell r="AX7">
            <v>7000000000</v>
          </cell>
          <cell r="AY7">
            <v>17000000000</v>
          </cell>
          <cell r="AZ7">
            <v>9840000000</v>
          </cell>
          <cell r="BA7">
            <v>9840000000</v>
          </cell>
          <cell r="BB7">
            <v>7800000000</v>
          </cell>
          <cell r="BC7">
            <v>7800000000</v>
          </cell>
          <cell r="BD7">
            <v>7000000000</v>
          </cell>
          <cell r="BE7">
            <v>7000000000</v>
          </cell>
          <cell r="BF7">
            <v>6000000000</v>
          </cell>
          <cell r="BG7">
            <v>6700000000</v>
          </cell>
          <cell r="BH7">
            <v>6700000000</v>
          </cell>
          <cell r="BI7">
            <v>34700000000</v>
          </cell>
          <cell r="BJ7">
            <v>32700000000</v>
          </cell>
          <cell r="BK7">
            <v>15700000000</v>
          </cell>
        </row>
        <row r="9"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</row>
        <row r="10"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</row>
        <row r="11">
          <cell r="AN11">
            <v>108051581921</v>
          </cell>
          <cell r="AO11">
            <v>108041861921</v>
          </cell>
          <cell r="AP11">
            <v>108032141921</v>
          </cell>
          <cell r="AQ11">
            <v>97522421921</v>
          </cell>
          <cell r="AR11">
            <v>97512701921</v>
          </cell>
          <cell r="AS11">
            <v>77502981921</v>
          </cell>
          <cell r="AT11">
            <v>57993261921</v>
          </cell>
          <cell r="AU11">
            <v>57983541921</v>
          </cell>
          <cell r="AV11">
            <v>58813541921</v>
          </cell>
          <cell r="AW11">
            <v>58794101921</v>
          </cell>
          <cell r="AX11">
            <v>98794101921</v>
          </cell>
          <cell r="AY11">
            <v>78774661921</v>
          </cell>
          <cell r="AZ11">
            <v>2202000000</v>
          </cell>
          <cell r="BA11">
            <v>202000000</v>
          </cell>
          <cell r="BB11">
            <v>23042000000</v>
          </cell>
          <cell r="BC11">
            <v>23042000000</v>
          </cell>
          <cell r="BD11">
            <v>23042000000</v>
          </cell>
          <cell r="BE11">
            <v>23042000000</v>
          </cell>
          <cell r="BF11">
            <v>23042000000</v>
          </cell>
          <cell r="BG11">
            <v>23042000000</v>
          </cell>
          <cell r="BH11">
            <v>23042000000</v>
          </cell>
          <cell r="BI11">
            <v>33042000000</v>
          </cell>
          <cell r="BJ11">
            <v>33042000000</v>
          </cell>
          <cell r="BK11">
            <v>38542000000</v>
          </cell>
        </row>
        <row r="12"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</row>
        <row r="13"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</row>
        <row r="14"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</row>
        <row r="16">
          <cell r="AN16">
            <v>139866573147</v>
          </cell>
          <cell r="AO16">
            <v>145639317187</v>
          </cell>
          <cell r="AP16">
            <v>145029363992</v>
          </cell>
          <cell r="AQ16">
            <v>158990592845</v>
          </cell>
          <cell r="AR16">
            <v>169879811667</v>
          </cell>
          <cell r="AS16">
            <v>169929811366</v>
          </cell>
          <cell r="AT16">
            <v>102331112462</v>
          </cell>
          <cell r="AU16">
            <v>127587662576</v>
          </cell>
          <cell r="AV16">
            <v>161236707683</v>
          </cell>
          <cell r="AW16">
            <v>156193512518</v>
          </cell>
          <cell r="AX16">
            <v>158918995344</v>
          </cell>
          <cell r="AY16">
            <v>159389289311</v>
          </cell>
          <cell r="AZ16">
            <v>105980494877</v>
          </cell>
          <cell r="BA16">
            <v>159524871557</v>
          </cell>
          <cell r="BB16">
            <v>200045097235</v>
          </cell>
          <cell r="BC16">
            <v>155380145983</v>
          </cell>
          <cell r="BD16">
            <v>167509298140</v>
          </cell>
          <cell r="BE16">
            <v>154486175751</v>
          </cell>
          <cell r="BF16">
            <v>153095689903</v>
          </cell>
          <cell r="BG16">
            <v>190031772805</v>
          </cell>
          <cell r="BH16">
            <v>157982845758</v>
          </cell>
          <cell r="BI16">
            <v>151626732436</v>
          </cell>
          <cell r="BJ16">
            <v>154563122279</v>
          </cell>
          <cell r="BK16">
            <v>154220517132</v>
          </cell>
        </row>
        <row r="17">
          <cell r="AN17">
            <v>19848285706</v>
          </cell>
          <cell r="AO17">
            <v>18001368927</v>
          </cell>
          <cell r="AP17">
            <v>17409185425</v>
          </cell>
          <cell r="AQ17">
            <v>18980934468</v>
          </cell>
          <cell r="AR17">
            <v>18972917626</v>
          </cell>
          <cell r="AS17">
            <v>16946912554</v>
          </cell>
          <cell r="AT17">
            <v>15624304617</v>
          </cell>
          <cell r="AU17">
            <v>15352055458</v>
          </cell>
          <cell r="AV17">
            <v>12264421488</v>
          </cell>
          <cell r="AW17">
            <v>10758004465</v>
          </cell>
          <cell r="AX17">
            <v>12010431039</v>
          </cell>
          <cell r="AY17">
            <v>24401454639</v>
          </cell>
          <cell r="AZ17">
            <v>18219388431</v>
          </cell>
          <cell r="BA17">
            <v>22646304860</v>
          </cell>
          <cell r="BB17">
            <v>20708830735</v>
          </cell>
          <cell r="BC17">
            <v>26192684967</v>
          </cell>
          <cell r="BD17">
            <v>62897284043</v>
          </cell>
          <cell r="BE17">
            <v>65291388780</v>
          </cell>
          <cell r="BF17">
            <v>54584222857</v>
          </cell>
          <cell r="BG17">
            <v>69767861908</v>
          </cell>
          <cell r="BH17">
            <v>76188674935</v>
          </cell>
          <cell r="BI17">
            <v>71648142604</v>
          </cell>
          <cell r="BJ17">
            <v>61105796375</v>
          </cell>
          <cell r="BK17">
            <v>60848470883</v>
          </cell>
        </row>
        <row r="18"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</row>
        <row r="19"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</row>
        <row r="20">
          <cell r="AN20">
            <v>49691047547.139999</v>
          </cell>
          <cell r="AO20">
            <v>30919005346.139999</v>
          </cell>
          <cell r="AP20">
            <v>30825313041</v>
          </cell>
          <cell r="AQ20">
            <v>32782410538</v>
          </cell>
          <cell r="AR20">
            <v>33344780187.748001</v>
          </cell>
          <cell r="AS20">
            <v>61447478581.748001</v>
          </cell>
          <cell r="AT20">
            <v>35510919235.517998</v>
          </cell>
          <cell r="AU20">
            <v>35511786216.517998</v>
          </cell>
          <cell r="AV20">
            <v>36150353212.517998</v>
          </cell>
          <cell r="AW20">
            <v>36519079938.517998</v>
          </cell>
          <cell r="AX20">
            <v>72633112041.518005</v>
          </cell>
          <cell r="AY20">
            <v>42505816398</v>
          </cell>
          <cell r="AZ20">
            <v>98206311140</v>
          </cell>
          <cell r="BA20">
            <v>84174609019.518005</v>
          </cell>
          <cell r="BB20">
            <v>89534955845</v>
          </cell>
          <cell r="BC20">
            <v>115325354293.51801</v>
          </cell>
          <cell r="BD20">
            <v>123800674483.51801</v>
          </cell>
          <cell r="BE20">
            <v>145793917520</v>
          </cell>
          <cell r="BF20">
            <v>131379011373</v>
          </cell>
          <cell r="BG20">
            <v>165313601539</v>
          </cell>
          <cell r="BH20">
            <v>123260682203</v>
          </cell>
          <cell r="BI20">
            <v>91777665852</v>
          </cell>
          <cell r="BJ20">
            <v>81832090257</v>
          </cell>
          <cell r="BK20">
            <v>96000050435</v>
          </cell>
        </row>
        <row r="21">
          <cell r="AN21">
            <v>-120525864</v>
          </cell>
          <cell r="AO21">
            <v>-120525864</v>
          </cell>
          <cell r="AP21">
            <v>-120525864</v>
          </cell>
          <cell r="AQ21">
            <v>-120525864</v>
          </cell>
          <cell r="AR21">
            <v>-120525864</v>
          </cell>
          <cell r="AS21">
            <v>-120525864</v>
          </cell>
          <cell r="AT21">
            <v>-120525864</v>
          </cell>
          <cell r="AU21">
            <v>-120525864</v>
          </cell>
          <cell r="AV21">
            <v>-120525864</v>
          </cell>
          <cell r="AW21">
            <v>-120525864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-609095700</v>
          </cell>
        </row>
        <row r="22">
          <cell r="AN22">
            <v>-524609275</v>
          </cell>
          <cell r="AO22">
            <v>-524609275</v>
          </cell>
          <cell r="AP22">
            <v>7901392144</v>
          </cell>
          <cell r="AQ22">
            <v>7901392144</v>
          </cell>
          <cell r="AR22">
            <v>-524609275</v>
          </cell>
          <cell r="AS22">
            <v>-524609275</v>
          </cell>
          <cell r="AT22">
            <v>-524609275</v>
          </cell>
          <cell r="AU22">
            <v>-524609275</v>
          </cell>
          <cell r="AV22">
            <v>-524609275</v>
          </cell>
          <cell r="AW22">
            <v>-524609275</v>
          </cell>
          <cell r="AX22">
            <v>-524609275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</row>
        <row r="24">
          <cell r="AN24">
            <v>430096484178.85999</v>
          </cell>
          <cell r="AO24">
            <v>437301765372.85999</v>
          </cell>
          <cell r="AP24">
            <v>477162060831.85999</v>
          </cell>
          <cell r="AQ24">
            <v>517614404978.88202</v>
          </cell>
          <cell r="AR24">
            <v>557633015691.25195</v>
          </cell>
          <cell r="AS24">
            <v>613742905725.25195</v>
          </cell>
          <cell r="AT24">
            <v>630876783389.48206</v>
          </cell>
          <cell r="AU24">
            <v>571035083187.48206</v>
          </cell>
          <cell r="AV24">
            <v>562348665912.48206</v>
          </cell>
          <cell r="AW24">
            <v>558117702257.48206</v>
          </cell>
          <cell r="AX24">
            <v>599902987900.48206</v>
          </cell>
          <cell r="AY24">
            <v>614300196665.48206</v>
          </cell>
          <cell r="AZ24">
            <v>580289170770</v>
          </cell>
          <cell r="BA24">
            <v>500507106354.48199</v>
          </cell>
          <cell r="BB24">
            <v>480641555258.48199</v>
          </cell>
          <cell r="BC24">
            <v>534948091340.48199</v>
          </cell>
          <cell r="BD24">
            <v>540062379851.48199</v>
          </cell>
          <cell r="BE24">
            <v>559774086836.48206</v>
          </cell>
          <cell r="BF24">
            <v>574368996605.48206</v>
          </cell>
          <cell r="BG24">
            <v>572758965444.48206</v>
          </cell>
          <cell r="BH24">
            <v>576109442562.48206</v>
          </cell>
          <cell r="BI24">
            <v>555856951749.48206</v>
          </cell>
          <cell r="BJ24">
            <v>558085932410.48206</v>
          </cell>
          <cell r="BK24">
            <v>570584514136.48206</v>
          </cell>
        </row>
        <row r="25"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</row>
        <row r="27"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</row>
        <row r="28"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</row>
        <row r="29"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</row>
        <row r="31">
          <cell r="AN31">
            <v>7035999486</v>
          </cell>
          <cell r="AO31">
            <v>8848304154</v>
          </cell>
          <cell r="AP31">
            <v>7783371139</v>
          </cell>
          <cell r="AQ31">
            <v>8731138492</v>
          </cell>
          <cell r="AR31">
            <v>8451404044</v>
          </cell>
          <cell r="AS31">
            <v>9556103747</v>
          </cell>
          <cell r="AT31">
            <v>11050173464</v>
          </cell>
          <cell r="AU31">
            <v>11388113648</v>
          </cell>
          <cell r="AV31">
            <v>12602861919</v>
          </cell>
          <cell r="AW31">
            <v>11727591383</v>
          </cell>
          <cell r="AX31">
            <v>10973880534</v>
          </cell>
          <cell r="AY31">
            <v>10657489774</v>
          </cell>
          <cell r="AZ31">
            <v>11395924021</v>
          </cell>
          <cell r="BA31">
            <v>11989589155</v>
          </cell>
          <cell r="BB31">
            <v>11598601196</v>
          </cell>
          <cell r="BC31">
            <v>10468261049</v>
          </cell>
          <cell r="BD31">
            <v>9171782469</v>
          </cell>
          <cell r="BE31">
            <v>14684835555</v>
          </cell>
          <cell r="BF31">
            <v>15885866296</v>
          </cell>
          <cell r="BG31">
            <v>16474015139</v>
          </cell>
          <cell r="BH31">
            <v>13849463748</v>
          </cell>
          <cell r="BI31">
            <v>11763139600</v>
          </cell>
          <cell r="BJ31">
            <v>9200737004</v>
          </cell>
          <cell r="BK31">
            <v>9528997722</v>
          </cell>
        </row>
        <row r="32">
          <cell r="AN32">
            <v>41926900930</v>
          </cell>
          <cell r="AO32">
            <v>43981339223</v>
          </cell>
          <cell r="AP32">
            <v>46171681706</v>
          </cell>
          <cell r="AQ32">
            <v>51636650946</v>
          </cell>
          <cell r="AR32">
            <v>56579510013</v>
          </cell>
          <cell r="AS32">
            <v>32789088899</v>
          </cell>
          <cell r="AT32">
            <v>36250538837</v>
          </cell>
          <cell r="AU32">
            <v>37779643794</v>
          </cell>
          <cell r="AV32">
            <v>44831223018</v>
          </cell>
          <cell r="AW32">
            <v>48983963098</v>
          </cell>
          <cell r="AX32">
            <v>22259084600</v>
          </cell>
          <cell r="AY32">
            <v>20876632684</v>
          </cell>
          <cell r="AZ32">
            <v>22966343202</v>
          </cell>
          <cell r="BA32">
            <v>23255035548</v>
          </cell>
          <cell r="BB32">
            <v>28905149579</v>
          </cell>
          <cell r="BC32">
            <v>38710515253</v>
          </cell>
          <cell r="BD32">
            <v>48749610960</v>
          </cell>
          <cell r="BE32">
            <v>52990657034</v>
          </cell>
          <cell r="BF32">
            <v>59140177682</v>
          </cell>
          <cell r="BG32">
            <v>29653593690</v>
          </cell>
          <cell r="BH32">
            <v>33622380567</v>
          </cell>
          <cell r="BI32">
            <v>34888533217</v>
          </cell>
          <cell r="BJ32">
            <v>35266277080</v>
          </cell>
          <cell r="BK32">
            <v>13603756376</v>
          </cell>
        </row>
        <row r="33">
          <cell r="AN33">
            <v>0</v>
          </cell>
          <cell r="AO33">
            <v>88589162</v>
          </cell>
          <cell r="AP33">
            <v>55097709</v>
          </cell>
          <cell r="AQ33">
            <v>31197496</v>
          </cell>
          <cell r="AR33">
            <v>44321343</v>
          </cell>
          <cell r="AS33">
            <v>68824795</v>
          </cell>
          <cell r="AT33">
            <v>46083769</v>
          </cell>
          <cell r="AU33">
            <v>95495670</v>
          </cell>
          <cell r="AV33">
            <v>49020929</v>
          </cell>
          <cell r="AW33">
            <v>51867679</v>
          </cell>
          <cell r="AX33">
            <v>45050425</v>
          </cell>
          <cell r="AY33">
            <v>0</v>
          </cell>
          <cell r="AZ33">
            <v>0</v>
          </cell>
          <cell r="BA33">
            <v>3870033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11662258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</row>
        <row r="34"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</row>
        <row r="35"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</row>
        <row r="38"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</row>
        <row r="39"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</row>
        <row r="40"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</row>
        <row r="41"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</row>
        <row r="42">
          <cell r="AN42">
            <v>240000000</v>
          </cell>
          <cell r="AO42">
            <v>240000000</v>
          </cell>
          <cell r="AP42">
            <v>240000000</v>
          </cell>
          <cell r="AQ42">
            <v>240000000</v>
          </cell>
          <cell r="AR42">
            <v>240000000</v>
          </cell>
          <cell r="AS42">
            <v>1140000000</v>
          </cell>
          <cell r="AT42">
            <v>930823092</v>
          </cell>
          <cell r="AU42">
            <v>930823092</v>
          </cell>
          <cell r="AV42">
            <v>930823092</v>
          </cell>
          <cell r="AW42">
            <v>930823092</v>
          </cell>
          <cell r="AX42">
            <v>930823092</v>
          </cell>
          <cell r="AY42">
            <v>6530823092</v>
          </cell>
          <cell r="AZ42">
            <v>6530823092</v>
          </cell>
          <cell r="BA42">
            <v>6530823092</v>
          </cell>
          <cell r="BB42">
            <v>6530823092</v>
          </cell>
          <cell r="BC42">
            <v>6530823092</v>
          </cell>
          <cell r="BD42">
            <v>6530823092</v>
          </cell>
          <cell r="BE42">
            <v>6530823092</v>
          </cell>
          <cell r="BF42">
            <v>6530823092</v>
          </cell>
          <cell r="BG42">
            <v>6530823092</v>
          </cell>
          <cell r="BH42">
            <v>6530823092</v>
          </cell>
          <cell r="BI42">
            <v>6530823092</v>
          </cell>
          <cell r="BJ42">
            <v>6530823092</v>
          </cell>
          <cell r="BK42">
            <v>5600000000</v>
          </cell>
        </row>
        <row r="43"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</row>
        <row r="46">
          <cell r="AN46">
            <v>320763061585</v>
          </cell>
          <cell r="AO46">
            <v>320763061585</v>
          </cell>
          <cell r="AP46">
            <v>354111019751</v>
          </cell>
          <cell r="AQ46">
            <v>360410194088</v>
          </cell>
          <cell r="AR46">
            <v>362896921284</v>
          </cell>
          <cell r="AS46">
            <v>362777184617</v>
          </cell>
          <cell r="AT46">
            <v>364651866569</v>
          </cell>
          <cell r="AU46">
            <v>374855872549</v>
          </cell>
          <cell r="AV46">
            <v>376024168845</v>
          </cell>
          <cell r="AW46">
            <v>380073671166</v>
          </cell>
          <cell r="AX46">
            <v>358508874510</v>
          </cell>
          <cell r="AY46">
            <v>359916452008</v>
          </cell>
          <cell r="AZ46">
            <v>361070968177</v>
          </cell>
          <cell r="BA46">
            <v>371841366827</v>
          </cell>
          <cell r="BB46">
            <v>380424978133</v>
          </cell>
          <cell r="BC46">
            <v>382236063184</v>
          </cell>
          <cell r="BD46">
            <v>382230780224</v>
          </cell>
          <cell r="BE46">
            <v>382070975608</v>
          </cell>
          <cell r="BF46">
            <v>384541494580</v>
          </cell>
          <cell r="BG46">
            <v>406915782897</v>
          </cell>
          <cell r="BH46">
            <v>407229367127</v>
          </cell>
          <cell r="BI46">
            <v>410101780731</v>
          </cell>
          <cell r="BJ46">
            <v>419369408793</v>
          </cell>
          <cell r="BK46">
            <v>423259856618</v>
          </cell>
        </row>
        <row r="47">
          <cell r="AN47">
            <v>-73076749723</v>
          </cell>
          <cell r="AO47">
            <v>-76974008118</v>
          </cell>
          <cell r="AP47">
            <v>-80867720017</v>
          </cell>
          <cell r="AQ47">
            <v>-84844901651</v>
          </cell>
          <cell r="AR47">
            <v>-89050159389</v>
          </cell>
          <cell r="AS47">
            <v>-93201822118</v>
          </cell>
          <cell r="AT47">
            <v>-97426343797</v>
          </cell>
          <cell r="AU47">
            <v>-101501034618</v>
          </cell>
          <cell r="AV47">
            <v>-105888501919</v>
          </cell>
          <cell r="AW47">
            <v>-110153310422</v>
          </cell>
          <cell r="AX47">
            <v>-98611108200</v>
          </cell>
          <cell r="AY47">
            <v>-102827771403</v>
          </cell>
          <cell r="AZ47">
            <v>-106897425668</v>
          </cell>
          <cell r="BA47">
            <v>-111163971598</v>
          </cell>
          <cell r="BB47">
            <v>-115633068285</v>
          </cell>
          <cell r="BC47">
            <v>-119617265512</v>
          </cell>
          <cell r="BD47">
            <v>-124175986054</v>
          </cell>
          <cell r="BE47">
            <v>-128054697758</v>
          </cell>
          <cell r="BF47">
            <v>-132382005181</v>
          </cell>
          <cell r="BG47">
            <v>-136578368006</v>
          </cell>
          <cell r="BH47">
            <v>-141516073237</v>
          </cell>
          <cell r="BI47">
            <v>-146266749826</v>
          </cell>
          <cell r="BJ47">
            <v>-151182454107</v>
          </cell>
          <cell r="BK47">
            <v>-156024076017</v>
          </cell>
        </row>
        <row r="49">
          <cell r="AN49">
            <v>55000000</v>
          </cell>
          <cell r="AO49">
            <v>55000000</v>
          </cell>
          <cell r="AP49">
            <v>55000000</v>
          </cell>
          <cell r="AQ49">
            <v>55000000</v>
          </cell>
          <cell r="AR49">
            <v>55000000</v>
          </cell>
          <cell r="AS49">
            <v>55000000</v>
          </cell>
          <cell r="AT49">
            <v>55000000</v>
          </cell>
          <cell r="AU49">
            <v>55000000</v>
          </cell>
          <cell r="AV49">
            <v>55000000</v>
          </cell>
          <cell r="AW49">
            <v>55000000</v>
          </cell>
          <cell r="AX49">
            <v>25509545455</v>
          </cell>
          <cell r="AY49">
            <v>25509545455</v>
          </cell>
          <cell r="AZ49">
            <v>25454545455</v>
          </cell>
          <cell r="BA49">
            <v>25454545455</v>
          </cell>
          <cell r="BB49">
            <v>25454545455</v>
          </cell>
          <cell r="BC49">
            <v>25454545455</v>
          </cell>
          <cell r="BD49">
            <v>25454545455</v>
          </cell>
          <cell r="BE49">
            <v>25454545455</v>
          </cell>
          <cell r="BF49">
            <v>25454545455</v>
          </cell>
          <cell r="BG49">
            <v>25454545455</v>
          </cell>
          <cell r="BH49">
            <v>25454545455</v>
          </cell>
          <cell r="BI49">
            <v>25454545455</v>
          </cell>
          <cell r="BJ49">
            <v>25454545455</v>
          </cell>
          <cell r="BK49">
            <v>25454545455</v>
          </cell>
        </row>
        <row r="50">
          <cell r="AN50">
            <v>-33456416</v>
          </cell>
          <cell r="AO50">
            <v>-34652068</v>
          </cell>
          <cell r="AP50">
            <v>-35847720</v>
          </cell>
          <cell r="AQ50">
            <v>-37043372</v>
          </cell>
          <cell r="AR50">
            <v>-38239024</v>
          </cell>
          <cell r="AS50">
            <v>-39434676</v>
          </cell>
          <cell r="AT50">
            <v>-40630328</v>
          </cell>
          <cell r="AU50">
            <v>-41825980</v>
          </cell>
          <cell r="AV50">
            <v>-43021632</v>
          </cell>
          <cell r="AW50">
            <v>-44217284</v>
          </cell>
          <cell r="AX50">
            <v>-45412936</v>
          </cell>
          <cell r="AY50">
            <v>-580263728</v>
          </cell>
          <cell r="AZ50">
            <v>-1067310280</v>
          </cell>
          <cell r="BA50">
            <v>-1600965427</v>
          </cell>
          <cell r="BB50">
            <v>-2134620569</v>
          </cell>
          <cell r="BC50">
            <v>-2668275712</v>
          </cell>
          <cell r="BD50">
            <v>-3201930856</v>
          </cell>
          <cell r="BE50">
            <v>-3735586000</v>
          </cell>
          <cell r="BF50">
            <v>-4269241141</v>
          </cell>
          <cell r="BG50">
            <v>-4802896284</v>
          </cell>
          <cell r="BH50">
            <v>-5336551425</v>
          </cell>
          <cell r="BI50">
            <v>-5870206567</v>
          </cell>
          <cell r="BJ50">
            <v>-6403861711</v>
          </cell>
          <cell r="BK50">
            <v>-6937516854</v>
          </cell>
        </row>
        <row r="52">
          <cell r="AN52">
            <v>3076542391</v>
          </cell>
          <cell r="AO52">
            <v>3076542391</v>
          </cell>
          <cell r="AP52">
            <v>3507842430</v>
          </cell>
          <cell r="AQ52">
            <v>3507842430</v>
          </cell>
          <cell r="AR52">
            <v>3507842430</v>
          </cell>
          <cell r="AS52">
            <v>3507842430</v>
          </cell>
          <cell r="AT52">
            <v>3507842430</v>
          </cell>
          <cell r="AU52">
            <v>3507842430</v>
          </cell>
          <cell r="AV52">
            <v>3507842430</v>
          </cell>
          <cell r="AW52">
            <v>3507842430</v>
          </cell>
          <cell r="AX52">
            <v>3507842430</v>
          </cell>
          <cell r="AY52">
            <v>4036965329</v>
          </cell>
          <cell r="AZ52">
            <v>4091965329</v>
          </cell>
          <cell r="BA52">
            <v>4091965329</v>
          </cell>
          <cell r="BB52">
            <v>4579576112</v>
          </cell>
          <cell r="BC52">
            <v>4579576112</v>
          </cell>
          <cell r="BD52">
            <v>4579576112</v>
          </cell>
          <cell r="BE52">
            <v>4579576112</v>
          </cell>
          <cell r="BF52">
            <v>4579576112</v>
          </cell>
          <cell r="BG52">
            <v>4579576112</v>
          </cell>
          <cell r="BH52">
            <v>6518070070</v>
          </cell>
          <cell r="BI52">
            <v>6518070070</v>
          </cell>
          <cell r="BJ52">
            <v>6518070070</v>
          </cell>
          <cell r="BK52">
            <v>6518070070</v>
          </cell>
        </row>
        <row r="53">
          <cell r="AN53">
            <v>-1128609639</v>
          </cell>
          <cell r="AO53">
            <v>-1169578788</v>
          </cell>
          <cell r="AP53">
            <v>-1210547938</v>
          </cell>
          <cell r="AQ53">
            <v>-1263497644</v>
          </cell>
          <cell r="AR53">
            <v>-1316447350</v>
          </cell>
          <cell r="AS53">
            <v>-1369397059</v>
          </cell>
          <cell r="AT53">
            <v>-1422346765</v>
          </cell>
          <cell r="AU53">
            <v>-1475296470</v>
          </cell>
          <cell r="AV53">
            <v>-1528246177</v>
          </cell>
          <cell r="AW53">
            <v>-1581195884</v>
          </cell>
          <cell r="AX53">
            <v>-1634145589</v>
          </cell>
          <cell r="AY53">
            <v>-1687095295</v>
          </cell>
          <cell r="AZ53">
            <v>-1802547100</v>
          </cell>
          <cell r="BA53">
            <v>-1871390316</v>
          </cell>
          <cell r="BB53">
            <v>-1940233533</v>
          </cell>
          <cell r="BC53">
            <v>-2022621495</v>
          </cell>
          <cell r="BD53">
            <v>-2105009455</v>
          </cell>
          <cell r="BE53">
            <v>-2187397417</v>
          </cell>
          <cell r="BF53">
            <v>-2269785376</v>
          </cell>
          <cell r="BG53">
            <v>-2350999532</v>
          </cell>
          <cell r="BH53">
            <v>-2430730663</v>
          </cell>
          <cell r="BI53">
            <v>-2550847084</v>
          </cell>
          <cell r="BJ53">
            <v>-2670963505</v>
          </cell>
          <cell r="BK53">
            <v>-2791079926</v>
          </cell>
        </row>
        <row r="56"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</row>
        <row r="58"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</row>
        <row r="59"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</row>
        <row r="60"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</row>
        <row r="61"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</row>
        <row r="62"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</row>
        <row r="64"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</row>
        <row r="65"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</row>
        <row r="67">
          <cell r="AN67">
            <v>419846709</v>
          </cell>
          <cell r="AO67">
            <v>408674531</v>
          </cell>
          <cell r="AP67">
            <v>403047661</v>
          </cell>
          <cell r="AQ67">
            <v>390879241</v>
          </cell>
          <cell r="AR67">
            <v>460263307</v>
          </cell>
          <cell r="AS67">
            <v>598268760</v>
          </cell>
          <cell r="AT67">
            <v>546898463</v>
          </cell>
          <cell r="AU67">
            <v>461756176</v>
          </cell>
          <cell r="AV67">
            <v>440940331</v>
          </cell>
          <cell r="AW67">
            <v>412338743</v>
          </cell>
          <cell r="AX67">
            <v>361348558</v>
          </cell>
          <cell r="AY67">
            <v>344917157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10176000</v>
          </cell>
          <cell r="BK67">
            <v>10176000</v>
          </cell>
        </row>
        <row r="68">
          <cell r="AN68">
            <v>76909737409</v>
          </cell>
          <cell r="AO68">
            <v>77354925740</v>
          </cell>
          <cell r="AP68">
            <v>44549282580</v>
          </cell>
          <cell r="AQ68">
            <v>40726666324</v>
          </cell>
          <cell r="AR68">
            <v>41138022198</v>
          </cell>
          <cell r="AS68">
            <v>45235750845</v>
          </cell>
          <cell r="AT68">
            <v>45073258774</v>
          </cell>
          <cell r="AU68">
            <v>42833855401</v>
          </cell>
          <cell r="AV68">
            <v>44122843903</v>
          </cell>
          <cell r="AW68">
            <v>44458406517</v>
          </cell>
          <cell r="AX68">
            <v>29542079466</v>
          </cell>
          <cell r="AY68">
            <v>37757397980</v>
          </cell>
          <cell r="AZ68">
            <v>47351685312</v>
          </cell>
          <cell r="BA68">
            <v>33270243294</v>
          </cell>
          <cell r="BB68">
            <v>28917153034</v>
          </cell>
          <cell r="BC68">
            <v>39983110298</v>
          </cell>
          <cell r="BD68">
            <v>48611974769</v>
          </cell>
          <cell r="BE68">
            <v>52991191597</v>
          </cell>
          <cell r="BF68">
            <v>54380932320</v>
          </cell>
          <cell r="BG68">
            <v>36472336589</v>
          </cell>
          <cell r="BH68">
            <v>46588311385</v>
          </cell>
          <cell r="BI68">
            <v>59728156173</v>
          </cell>
          <cell r="BJ68">
            <v>55485924548</v>
          </cell>
          <cell r="BK68">
            <v>64584000344</v>
          </cell>
        </row>
        <row r="70"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</row>
        <row r="71"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</row>
        <row r="72"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</row>
        <row r="73"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</row>
        <row r="74"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</row>
        <row r="75"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</row>
        <row r="77">
          <cell r="AN77">
            <v>5400042499</v>
          </cell>
          <cell r="AO77">
            <v>5122374256</v>
          </cell>
          <cell r="AP77">
            <v>6108142400</v>
          </cell>
          <cell r="AQ77">
            <v>6691697581</v>
          </cell>
          <cell r="AR77">
            <v>6073217039</v>
          </cell>
          <cell r="AS77">
            <v>5922983520</v>
          </cell>
          <cell r="AT77">
            <v>6293381718</v>
          </cell>
          <cell r="AU77">
            <v>7144685884</v>
          </cell>
          <cell r="AV77">
            <v>6789281721</v>
          </cell>
          <cell r="AW77">
            <v>6545884719</v>
          </cell>
          <cell r="AX77">
            <v>6744136746</v>
          </cell>
          <cell r="AY77">
            <v>7473903734</v>
          </cell>
          <cell r="AZ77">
            <v>7486377052</v>
          </cell>
          <cell r="BA77">
            <v>10902239544</v>
          </cell>
          <cell r="BB77">
            <v>10938837524</v>
          </cell>
          <cell r="BC77">
            <v>10690512521</v>
          </cell>
          <cell r="BD77">
            <v>11176019127</v>
          </cell>
          <cell r="BE77">
            <v>11587008407</v>
          </cell>
          <cell r="BF77">
            <v>11200435089</v>
          </cell>
          <cell r="BG77">
            <v>11375608560</v>
          </cell>
          <cell r="BH77">
            <v>11484782005</v>
          </cell>
          <cell r="BI77">
            <v>11895438934</v>
          </cell>
          <cell r="BJ77">
            <v>11714919536</v>
          </cell>
          <cell r="BK77">
            <v>11187207755</v>
          </cell>
        </row>
        <row r="78"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-1838941310</v>
          </cell>
          <cell r="BA78">
            <v>-1830898310</v>
          </cell>
          <cell r="BB78">
            <v>29361690</v>
          </cell>
          <cell r="BC78">
            <v>29361690</v>
          </cell>
          <cell r="BD78">
            <v>29361690</v>
          </cell>
          <cell r="BE78">
            <v>29361690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</row>
        <row r="79"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</row>
        <row r="80"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</row>
        <row r="84">
          <cell r="AN84">
            <v>82949409956</v>
          </cell>
          <cell r="AO84">
            <v>85403340041</v>
          </cell>
          <cell r="AP84">
            <v>89847500656</v>
          </cell>
          <cell r="AQ84">
            <v>92084070378</v>
          </cell>
          <cell r="AR84">
            <v>97185029412</v>
          </cell>
          <cell r="AS84">
            <v>129200888383</v>
          </cell>
          <cell r="AT84">
            <v>101456785709</v>
          </cell>
          <cell r="AU84">
            <v>115528799746</v>
          </cell>
          <cell r="AV84">
            <v>154591767517</v>
          </cell>
          <cell r="AW84">
            <v>155116256899</v>
          </cell>
          <cell r="AX84">
            <v>163705606191</v>
          </cell>
          <cell r="AY84">
            <v>51214283090</v>
          </cell>
          <cell r="AZ84">
            <v>24816615843</v>
          </cell>
          <cell r="BA84">
            <v>20606927353</v>
          </cell>
          <cell r="BB84">
            <v>40828775779</v>
          </cell>
          <cell r="BC84">
            <v>43887723430</v>
          </cell>
          <cell r="BD84">
            <v>42033194457</v>
          </cell>
          <cell r="BE84">
            <v>59295501625</v>
          </cell>
          <cell r="BF84">
            <v>19562723494</v>
          </cell>
          <cell r="BG84">
            <v>28765117740</v>
          </cell>
          <cell r="BH84">
            <v>35900353394</v>
          </cell>
          <cell r="BI84">
            <v>42762502755</v>
          </cell>
          <cell r="BJ84">
            <v>34584894012</v>
          </cell>
          <cell r="BK84">
            <v>28643819309</v>
          </cell>
        </row>
        <row r="85">
          <cell r="AN85">
            <v>4031903040</v>
          </cell>
          <cell r="AO85">
            <v>0</v>
          </cell>
          <cell r="AP85">
            <v>-540918440</v>
          </cell>
          <cell r="AQ85">
            <v>4278155246</v>
          </cell>
          <cell r="AR85">
            <v>14753134850</v>
          </cell>
          <cell r="AS85">
            <v>36030101433</v>
          </cell>
          <cell r="AT85">
            <v>34757495667</v>
          </cell>
          <cell r="AU85">
            <v>16991723009</v>
          </cell>
          <cell r="AV85">
            <v>39469513</v>
          </cell>
          <cell r="AW85">
            <v>10373831336</v>
          </cell>
          <cell r="AX85">
            <v>37975916928</v>
          </cell>
          <cell r="AY85">
            <v>41546475913</v>
          </cell>
          <cell r="AZ85">
            <v>37388020046</v>
          </cell>
          <cell r="BA85">
            <v>23937907310</v>
          </cell>
          <cell r="BB85">
            <v>15058088135</v>
          </cell>
          <cell r="BC85">
            <v>4008722750</v>
          </cell>
          <cell r="BD85">
            <v>75365353</v>
          </cell>
          <cell r="BE85">
            <v>14926125753</v>
          </cell>
          <cell r="BF85">
            <v>23360719857</v>
          </cell>
          <cell r="BG85">
            <v>21001775533</v>
          </cell>
          <cell r="BH85">
            <v>14685336667</v>
          </cell>
          <cell r="BI85">
            <v>8914886658</v>
          </cell>
          <cell r="BJ85">
            <v>5997845638</v>
          </cell>
          <cell r="BK85">
            <v>17509392514</v>
          </cell>
        </row>
        <row r="86"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</row>
        <row r="87">
          <cell r="AN87">
            <v>10498883610</v>
          </cell>
          <cell r="AO87">
            <v>3689814164</v>
          </cell>
          <cell r="AP87">
            <v>4062755871</v>
          </cell>
          <cell r="AQ87">
            <v>1384290807</v>
          </cell>
          <cell r="AR87">
            <v>2308850961</v>
          </cell>
          <cell r="AS87">
            <v>3118570444</v>
          </cell>
          <cell r="AT87">
            <v>1058457452</v>
          </cell>
          <cell r="AU87">
            <v>1211020482</v>
          </cell>
          <cell r="AV87">
            <v>2139521500</v>
          </cell>
          <cell r="AW87">
            <v>1189419782</v>
          </cell>
          <cell r="AX87">
            <v>1509849868</v>
          </cell>
          <cell r="AY87">
            <v>9527733939</v>
          </cell>
          <cell r="AZ87">
            <v>3269238961</v>
          </cell>
          <cell r="BA87">
            <v>5753987528</v>
          </cell>
          <cell r="BB87">
            <v>9117684571</v>
          </cell>
          <cell r="BC87">
            <v>9695857514</v>
          </cell>
          <cell r="BD87">
            <v>14897920840</v>
          </cell>
          <cell r="BE87">
            <v>12417210865</v>
          </cell>
          <cell r="BF87">
            <v>8626660891</v>
          </cell>
          <cell r="BG87">
            <v>9156127696</v>
          </cell>
          <cell r="BH87">
            <v>7002659285</v>
          </cell>
          <cell r="BI87">
            <v>6028567487</v>
          </cell>
          <cell r="BJ87">
            <v>4386912961</v>
          </cell>
          <cell r="BK87">
            <v>8223438377</v>
          </cell>
        </row>
        <row r="88">
          <cell r="AN88">
            <v>11362712285</v>
          </cell>
          <cell r="AO88">
            <v>7261112290</v>
          </cell>
          <cell r="AP88">
            <v>7584838673</v>
          </cell>
          <cell r="AQ88">
            <v>8802335330</v>
          </cell>
          <cell r="AR88">
            <v>8252419463</v>
          </cell>
          <cell r="AS88">
            <v>8124186029</v>
          </cell>
          <cell r="AT88">
            <v>7811815324</v>
          </cell>
          <cell r="AU88">
            <v>457937876</v>
          </cell>
          <cell r="AV88">
            <v>8485574144</v>
          </cell>
          <cell r="AW88">
            <v>8401248944</v>
          </cell>
          <cell r="AX88">
            <v>8616270563</v>
          </cell>
          <cell r="AY88">
            <v>12882678899</v>
          </cell>
          <cell r="AZ88">
            <v>8655764617</v>
          </cell>
          <cell r="BA88">
            <v>9095727516</v>
          </cell>
          <cell r="BB88">
            <v>9239322502</v>
          </cell>
          <cell r="BC88">
            <v>519338426</v>
          </cell>
          <cell r="BD88">
            <v>10493661520</v>
          </cell>
          <cell r="BE88">
            <v>10746467156</v>
          </cell>
          <cell r="BF88">
            <v>10421088708</v>
          </cell>
          <cell r="BG88">
            <v>10791732094</v>
          </cell>
          <cell r="BH88">
            <v>11366691930</v>
          </cell>
          <cell r="BI88">
            <v>10525542918</v>
          </cell>
          <cell r="BJ88">
            <v>10283351512</v>
          </cell>
          <cell r="BK88">
            <v>10866562186</v>
          </cell>
        </row>
        <row r="89">
          <cell r="AN89">
            <v>16153446903</v>
          </cell>
          <cell r="AO89">
            <v>22420169080</v>
          </cell>
          <cell r="AP89">
            <v>7052345407</v>
          </cell>
          <cell r="AQ89">
            <v>17025705880</v>
          </cell>
          <cell r="AR89">
            <v>26551396101</v>
          </cell>
          <cell r="AS89">
            <v>9643768625</v>
          </cell>
          <cell r="AT89">
            <v>19498083536</v>
          </cell>
          <cell r="AU89">
            <v>32054507492</v>
          </cell>
          <cell r="AV89">
            <v>17871987185</v>
          </cell>
          <cell r="AW89">
            <v>25354416886</v>
          </cell>
          <cell r="AX89">
            <v>33287993453</v>
          </cell>
          <cell r="AY89">
            <v>17891877693</v>
          </cell>
          <cell r="AZ89">
            <v>12873679613</v>
          </cell>
          <cell r="BA89">
            <v>18374210204</v>
          </cell>
          <cell r="BB89">
            <v>-5606260254</v>
          </cell>
          <cell r="BC89">
            <v>-3804295862</v>
          </cell>
          <cell r="BD89">
            <v>98594660</v>
          </cell>
          <cell r="BE89">
            <v>1515541421</v>
          </cell>
          <cell r="BF89">
            <v>17721365268</v>
          </cell>
          <cell r="BG89">
            <v>23723350128</v>
          </cell>
          <cell r="BH89">
            <v>16832372739</v>
          </cell>
          <cell r="BI89">
            <v>22569568619</v>
          </cell>
          <cell r="BJ89">
            <v>27478663520</v>
          </cell>
          <cell r="BK89">
            <v>20102188452</v>
          </cell>
        </row>
        <row r="90"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</row>
        <row r="91"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</row>
        <row r="92"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</row>
        <row r="93">
          <cell r="AN93">
            <v>20696481661</v>
          </cell>
          <cell r="AO93">
            <v>20595840087</v>
          </cell>
          <cell r="AP93">
            <v>26813125892.860001</v>
          </cell>
          <cell r="AQ93">
            <v>27765488547.882</v>
          </cell>
          <cell r="AR93">
            <v>20403961843</v>
          </cell>
          <cell r="AS93">
            <v>8973254724</v>
          </cell>
          <cell r="AT93">
            <v>9334621417</v>
          </cell>
          <cell r="AU93">
            <v>12038191666</v>
          </cell>
          <cell r="AV93">
            <v>14568081439</v>
          </cell>
          <cell r="AW93">
            <v>9244155132</v>
          </cell>
          <cell r="AX93">
            <v>12004819534</v>
          </cell>
          <cell r="AY93">
            <v>11216627279.482</v>
          </cell>
          <cell r="AZ93">
            <v>11890639716</v>
          </cell>
          <cell r="BA93">
            <v>15214207492</v>
          </cell>
          <cell r="BB93">
            <v>13274237856.482</v>
          </cell>
          <cell r="BC93">
            <v>23351476909</v>
          </cell>
          <cell r="BD93">
            <v>33444587733</v>
          </cell>
          <cell r="BE93">
            <v>19043714839.482002</v>
          </cell>
          <cell r="BF93">
            <v>17481729946.482101</v>
          </cell>
          <cell r="BG93">
            <v>19912766033.482101</v>
          </cell>
          <cell r="BH93">
            <v>9977435941.4820004</v>
          </cell>
          <cell r="BI93">
            <v>10333921176.482</v>
          </cell>
          <cell r="BJ93">
            <v>11722247952.482</v>
          </cell>
          <cell r="BK93">
            <v>9558710068.4820004</v>
          </cell>
        </row>
        <row r="94">
          <cell r="AN94">
            <v>62822745245</v>
          </cell>
          <cell r="AO94">
            <v>57847834995</v>
          </cell>
          <cell r="AP94">
            <v>101832582537</v>
          </cell>
          <cell r="AQ94">
            <v>144977288403</v>
          </cell>
          <cell r="AR94">
            <v>178905916168</v>
          </cell>
          <cell r="AS94">
            <v>190748518955</v>
          </cell>
          <cell r="AT94">
            <v>168894814805</v>
          </cell>
          <cell r="AU94">
            <v>126048766562</v>
          </cell>
          <cell r="AV94">
            <v>139654417984</v>
          </cell>
          <cell r="AW94">
            <v>155306260478</v>
          </cell>
          <cell r="AX94">
            <v>165536679982</v>
          </cell>
          <cell r="AY94">
            <v>192629821718</v>
          </cell>
          <cell r="AZ94">
            <v>134925554251</v>
          </cell>
          <cell r="BA94">
            <v>43611829278</v>
          </cell>
          <cell r="BB94">
            <v>98003020481</v>
          </cell>
          <cell r="BC94">
            <v>172928907420</v>
          </cell>
          <cell r="BD94">
            <v>200666324688</v>
          </cell>
          <cell r="BE94">
            <v>238388679271</v>
          </cell>
          <cell r="BF94">
            <v>250573370780</v>
          </cell>
          <cell r="BG94">
            <v>294832243750</v>
          </cell>
          <cell r="BH94">
            <v>309616499760</v>
          </cell>
          <cell r="BI94">
            <v>263334816592</v>
          </cell>
          <cell r="BJ94">
            <v>254700704679</v>
          </cell>
          <cell r="BK94">
            <v>262225979238</v>
          </cell>
        </row>
        <row r="95"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</row>
        <row r="96">
          <cell r="AN96">
            <v>376893824</v>
          </cell>
          <cell r="AO96">
            <v>246893824</v>
          </cell>
          <cell r="AP96">
            <v>246893824</v>
          </cell>
          <cell r="AQ96">
            <v>246893824</v>
          </cell>
          <cell r="AR96">
            <v>246893824</v>
          </cell>
          <cell r="AS96">
            <v>246893824</v>
          </cell>
          <cell r="AT96">
            <v>230393824</v>
          </cell>
          <cell r="AU96">
            <v>226143824</v>
          </cell>
          <cell r="AV96">
            <v>695903824</v>
          </cell>
          <cell r="AW96">
            <v>1411463824</v>
          </cell>
          <cell r="AX96">
            <v>1397629380</v>
          </cell>
          <cell r="AY96">
            <v>1222249720</v>
          </cell>
          <cell r="AZ96">
            <v>937249720</v>
          </cell>
          <cell r="BA96">
            <v>927249720</v>
          </cell>
          <cell r="BB96">
            <v>914665720</v>
          </cell>
          <cell r="BC96">
            <v>909665720</v>
          </cell>
          <cell r="BD96">
            <v>906665720</v>
          </cell>
          <cell r="BE96">
            <v>906665720</v>
          </cell>
          <cell r="BF96">
            <v>899772466</v>
          </cell>
          <cell r="BG96">
            <v>680992466</v>
          </cell>
          <cell r="BH96">
            <v>1436632466</v>
          </cell>
          <cell r="BI96">
            <v>1436632466</v>
          </cell>
          <cell r="BJ96">
            <v>1436632466</v>
          </cell>
          <cell r="BK96">
            <v>1434532466</v>
          </cell>
        </row>
        <row r="97"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</row>
        <row r="98"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</row>
        <row r="100"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</row>
        <row r="101"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</row>
        <row r="102"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</row>
        <row r="103"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</row>
        <row r="104"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</row>
        <row r="105"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</row>
        <row r="106"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</row>
        <row r="107"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</row>
        <row r="108">
          <cell r="AN108">
            <v>110386411070</v>
          </cell>
          <cell r="AO108">
            <v>110292351070</v>
          </cell>
          <cell r="AP108">
            <v>110233351070</v>
          </cell>
          <cell r="AQ108">
            <v>109938157678</v>
          </cell>
          <cell r="AR108">
            <v>107984867678</v>
          </cell>
          <cell r="AS108">
            <v>109314035678</v>
          </cell>
          <cell r="AT108">
            <v>109426842286</v>
          </cell>
          <cell r="AU108">
            <v>108769782286</v>
          </cell>
          <cell r="AV108">
            <v>109364782286</v>
          </cell>
          <cell r="AW108">
            <v>109588588894</v>
          </cell>
          <cell r="AX108">
            <v>136214528894</v>
          </cell>
          <cell r="AY108">
            <v>115668404212</v>
          </cell>
          <cell r="AZ108">
            <v>141180341946</v>
          </cell>
          <cell r="BA108">
            <v>136932504168</v>
          </cell>
          <cell r="BB108">
            <v>136095726390</v>
          </cell>
          <cell r="BC108">
            <v>135022755220</v>
          </cell>
          <cell r="BD108">
            <v>130774917442</v>
          </cell>
          <cell r="BE108">
            <v>109891791394</v>
          </cell>
          <cell r="BF108">
            <v>108818820224</v>
          </cell>
          <cell r="BG108">
            <v>107233510446</v>
          </cell>
          <cell r="BH108">
            <v>106396732668</v>
          </cell>
          <cell r="BI108">
            <v>101343133942</v>
          </cell>
          <cell r="BJ108">
            <v>102401372942</v>
          </cell>
          <cell r="BK108">
            <v>83152254354</v>
          </cell>
        </row>
        <row r="109"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</row>
        <row r="110"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</row>
        <row r="111"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1838941310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</row>
        <row r="112"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</row>
        <row r="113"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</row>
        <row r="116">
          <cell r="AN116">
            <v>752000000000</v>
          </cell>
          <cell r="AO116">
            <v>752000000000</v>
          </cell>
          <cell r="AP116">
            <v>752000000000</v>
          </cell>
          <cell r="AQ116">
            <v>752000000000</v>
          </cell>
          <cell r="AR116">
            <v>752000000000</v>
          </cell>
          <cell r="AS116">
            <v>752000000000</v>
          </cell>
          <cell r="AT116">
            <v>752000000000</v>
          </cell>
          <cell r="AU116">
            <v>752000000000</v>
          </cell>
          <cell r="AV116">
            <v>752000000000</v>
          </cell>
          <cell r="AW116">
            <v>752000000000</v>
          </cell>
          <cell r="AX116">
            <v>772000000000</v>
          </cell>
          <cell r="AY116">
            <v>772000000000</v>
          </cell>
          <cell r="AZ116">
            <v>772000000000</v>
          </cell>
          <cell r="BA116">
            <v>772000000000</v>
          </cell>
          <cell r="BB116">
            <v>772000000000</v>
          </cell>
          <cell r="BC116">
            <v>772000000000</v>
          </cell>
          <cell r="BD116">
            <v>772000000000</v>
          </cell>
          <cell r="BE116">
            <v>772000000000</v>
          </cell>
          <cell r="BF116">
            <v>772000000000</v>
          </cell>
          <cell r="BG116">
            <v>772000000000</v>
          </cell>
          <cell r="BH116">
            <v>772000000000</v>
          </cell>
          <cell r="BI116">
            <v>772000000000</v>
          </cell>
          <cell r="BJ116">
            <v>772500000000</v>
          </cell>
          <cell r="BK116">
            <v>778000000000</v>
          </cell>
        </row>
        <row r="117"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</row>
        <row r="118"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</row>
        <row r="119"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</row>
        <row r="120"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</row>
        <row r="121"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</row>
        <row r="122"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</row>
        <row r="123"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</row>
        <row r="124"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</row>
        <row r="125"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</row>
        <row r="127">
          <cell r="AN127">
            <v>106616032141</v>
          </cell>
          <cell r="AO127">
            <v>106089690091</v>
          </cell>
          <cell r="AP127">
            <v>99638196434</v>
          </cell>
          <cell r="AQ127">
            <v>96598905145</v>
          </cell>
          <cell r="AR127">
            <v>98504096257</v>
          </cell>
          <cell r="AS127">
            <v>93134079207</v>
          </cell>
          <cell r="AT127">
            <v>81298575935</v>
          </cell>
          <cell r="AU127">
            <v>66817200404</v>
          </cell>
          <cell r="AV127">
            <v>57599901812</v>
          </cell>
          <cell r="AW127">
            <v>66581916057</v>
          </cell>
          <cell r="AX127">
            <v>60563420421</v>
          </cell>
          <cell r="AY127">
            <v>55535997499</v>
          </cell>
          <cell r="AZ127">
            <v>138224470359</v>
          </cell>
          <cell r="BA127">
            <v>140460126084</v>
          </cell>
          <cell r="BB127">
            <v>154520354770</v>
          </cell>
          <cell r="BC127">
            <v>160264584003</v>
          </cell>
          <cell r="BD127">
            <v>163523383887</v>
          </cell>
          <cell r="BE127">
            <v>172822533016</v>
          </cell>
          <cell r="BF127">
            <v>173508627910</v>
          </cell>
          <cell r="BG127">
            <v>176751834230</v>
          </cell>
          <cell r="BH127">
            <v>179300987412</v>
          </cell>
          <cell r="BI127">
            <v>168112900432</v>
          </cell>
          <cell r="BJ127">
            <v>163231117543</v>
          </cell>
          <cell r="BK127">
            <v>155244834346</v>
          </cell>
        </row>
        <row r="128">
          <cell r="AN128">
            <v>-2764517383</v>
          </cell>
          <cell r="AO128">
            <v>-8976487185</v>
          </cell>
          <cell r="AP128">
            <v>-5268314816</v>
          </cell>
          <cell r="AQ128">
            <v>-560683110</v>
          </cell>
          <cell r="AR128">
            <v>-8157682396</v>
          </cell>
          <cell r="AS128">
            <v>-14930313991</v>
          </cell>
          <cell r="AT128">
            <v>-18289087053</v>
          </cell>
          <cell r="AU128">
            <v>-13854032381</v>
          </cell>
          <cell r="AV128">
            <v>3480909809</v>
          </cell>
          <cell r="AW128">
            <v>-11846851100</v>
          </cell>
          <cell r="AX128">
            <v>-11880505136</v>
          </cell>
          <cell r="AY128">
            <v>82721271760</v>
          </cell>
          <cell r="AZ128">
            <v>2235655725</v>
          </cell>
          <cell r="BA128">
            <v>14060228686</v>
          </cell>
          <cell r="BB128">
            <v>5744259883</v>
          </cell>
          <cell r="BC128">
            <v>3259240884</v>
          </cell>
          <cell r="BD128">
            <v>9298960129</v>
          </cell>
          <cell r="BE128">
            <v>685312244</v>
          </cell>
          <cell r="BF128">
            <v>3243206320</v>
          </cell>
          <cell r="BG128">
            <v>2549153182</v>
          </cell>
          <cell r="BH128">
            <v>-11188086980</v>
          </cell>
          <cell r="BI128">
            <v>-4881782889</v>
          </cell>
          <cell r="BJ128">
            <v>-7987053976</v>
          </cell>
          <cell r="BK128">
            <v>2344839523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E0BD7-3092-473D-9476-8B3B7C9FD5E9}">
  <sheetPr>
    <tabColor rgb="FF0000FF"/>
  </sheetPr>
  <dimension ref="A2:S35"/>
  <sheetViews>
    <sheetView showGridLines="0" tabSelected="1" zoomScaleNormal="100" workbookViewId="0">
      <pane xSplit="4" ySplit="3" topLeftCell="E20" activePane="bottomRight" state="frozen"/>
      <selection pane="topRight" activeCell="C1" sqref="C1"/>
      <selection pane="bottomLeft" activeCell="A4" sqref="A4"/>
      <selection pane="bottomRight" activeCell="E29" sqref="E29"/>
    </sheetView>
  </sheetViews>
  <sheetFormatPr defaultRowHeight="14.5" outlineLevelCol="1"/>
  <cols>
    <col min="1" max="1" width="4.08203125" style="704" bestFit="1" customWidth="1"/>
    <col min="2" max="2" width="21.75" customWidth="1"/>
    <col min="3" max="3" width="5.08203125" style="704" customWidth="1"/>
    <col min="4" max="4" width="2.58203125" customWidth="1"/>
    <col min="5" max="6" width="12.58203125" bestFit="1" customWidth="1"/>
    <col min="7" max="18" width="9.58203125" hidden="1" customWidth="1" outlineLevel="1"/>
    <col min="19" max="19" width="12.75" bestFit="1" customWidth="1" collapsed="1"/>
  </cols>
  <sheetData>
    <row r="2" spans="1:19" s="717" customFormat="1">
      <c r="A2" s="715" t="s">
        <v>80</v>
      </c>
      <c r="B2" s="731" t="s">
        <v>405</v>
      </c>
      <c r="C2" s="715" t="s">
        <v>540</v>
      </c>
      <c r="E2" s="715">
        <v>2024</v>
      </c>
      <c r="F2" s="715">
        <v>2025</v>
      </c>
      <c r="G2" s="716" t="s">
        <v>521</v>
      </c>
      <c r="H2" s="716" t="s">
        <v>522</v>
      </c>
      <c r="I2" s="716" t="s">
        <v>523</v>
      </c>
      <c r="J2" s="716" t="s">
        <v>524</v>
      </c>
      <c r="K2" s="716" t="s">
        <v>525</v>
      </c>
      <c r="L2" s="716" t="s">
        <v>526</v>
      </c>
      <c r="M2" s="716" t="s">
        <v>527</v>
      </c>
      <c r="N2" s="716" t="s">
        <v>528</v>
      </c>
      <c r="O2" s="716" t="s">
        <v>529</v>
      </c>
      <c r="P2" s="716" t="s">
        <v>530</v>
      </c>
      <c r="Q2" s="716" t="s">
        <v>531</v>
      </c>
      <c r="R2" s="716" t="s">
        <v>532</v>
      </c>
      <c r="S2" s="715" t="s">
        <v>519</v>
      </c>
    </row>
    <row r="3" spans="1:19" ht="2.4" customHeight="1"/>
    <row r="4" spans="1:19" s="717" customFormat="1">
      <c r="A4" s="739">
        <v>1</v>
      </c>
      <c r="B4" s="735" t="s">
        <v>533</v>
      </c>
      <c r="C4" s="739" t="s">
        <v>543</v>
      </c>
      <c r="E4" s="736">
        <f>SUM(PL!D16:O16)</f>
        <v>1454585730121</v>
      </c>
      <c r="F4" s="736">
        <f>SUM(PL!P16:AA16)</f>
        <v>1537887693083</v>
      </c>
      <c r="G4" s="736">
        <f>PL!AB16</f>
        <v>129505341136.8568</v>
      </c>
      <c r="H4" s="736">
        <f>PL!AC16</f>
        <v>127974441177.86678</v>
      </c>
      <c r="I4" s="736">
        <f>PL!AD16</f>
        <v>141599491827.82724</v>
      </c>
      <c r="J4" s="736">
        <f>PL!AE16</f>
        <v>131782266518.60179</v>
      </c>
      <c r="K4" s="736">
        <f>PL!AF16</f>
        <v>140244307484.73706</v>
      </c>
      <c r="L4" s="736">
        <f>PL!AG16</f>
        <v>141409300219.24365</v>
      </c>
      <c r="M4" s="736">
        <f>PL!AH16</f>
        <v>145404057387.95996</v>
      </c>
      <c r="N4" s="736">
        <f>PL!AI16</f>
        <v>141276361518.14462</v>
      </c>
      <c r="O4" s="736">
        <f>PL!AJ16</f>
        <v>148196499542.28259</v>
      </c>
      <c r="P4" s="736">
        <f>PL!AK16</f>
        <v>137984481243.16364</v>
      </c>
      <c r="Q4" s="736">
        <f>PL!AL16</f>
        <v>145929060338.8269</v>
      </c>
      <c r="R4" s="736">
        <f>PL!AM16</f>
        <v>147442013746.17145</v>
      </c>
      <c r="S4" s="736">
        <f>SUM(G4:R4)</f>
        <v>1678747622141.6824</v>
      </c>
    </row>
    <row r="5" spans="1:19">
      <c r="A5" s="740">
        <f>A4+1</f>
        <v>2</v>
      </c>
      <c r="B5" s="741" t="s">
        <v>534</v>
      </c>
      <c r="C5" s="740" t="s">
        <v>543</v>
      </c>
      <c r="E5" s="742">
        <f>SUM(PL!D20:O20)</f>
        <v>1266849611970</v>
      </c>
      <c r="F5" s="742">
        <f>SUM(PL!P20:AA20)</f>
        <v>1326796753020</v>
      </c>
      <c r="G5" s="742">
        <f ca="1">PL!AB20</f>
        <v>111212601628.50815</v>
      </c>
      <c r="H5" s="742">
        <f ca="1">PL!AC20</f>
        <v>114873436029.88548</v>
      </c>
      <c r="I5" s="742">
        <f ca="1">PL!AD20</f>
        <v>119776625428.51089</v>
      </c>
      <c r="J5" s="742">
        <f ca="1">PL!AE20</f>
        <v>112734712585.69229</v>
      </c>
      <c r="K5" s="742">
        <f ca="1">PL!AF20</f>
        <v>117873445499.87956</v>
      </c>
      <c r="L5" s="742">
        <f ca="1">PL!AG20</f>
        <v>120582645115.09016</v>
      </c>
      <c r="M5" s="742">
        <f ca="1">PL!AH20</f>
        <v>117808728768.74878</v>
      </c>
      <c r="N5" s="742">
        <f ca="1">PL!AI20</f>
        <v>113823626530.15967</v>
      </c>
      <c r="O5" s="742">
        <f ca="1">PL!AJ20</f>
        <v>120288847831.57895</v>
      </c>
      <c r="P5" s="742">
        <f ca="1">PL!AK20</f>
        <v>111590385881.41919</v>
      </c>
      <c r="Q5" s="742">
        <f ca="1">PL!AL20</f>
        <v>118503066388.11282</v>
      </c>
      <c r="R5" s="742">
        <f ca="1">PL!AM20</f>
        <v>120122559977.8511</v>
      </c>
      <c r="S5" s="742">
        <f ca="1">SUM(G5:R5)</f>
        <v>1399190681665.437</v>
      </c>
    </row>
    <row r="6" spans="1:19" s="717" customFormat="1">
      <c r="A6" s="743">
        <f t="shared" ref="A6:A30" si="0">A5+1</f>
        <v>3</v>
      </c>
      <c r="B6" s="737" t="s">
        <v>535</v>
      </c>
      <c r="C6" s="743" t="s">
        <v>543</v>
      </c>
      <c r="E6" s="738">
        <f>E4-E5</f>
        <v>187736118151</v>
      </c>
      <c r="F6" s="738">
        <f>F4-F5</f>
        <v>211090940063</v>
      </c>
      <c r="G6" s="738">
        <f ca="1">G4-G5</f>
        <v>18292739508.348648</v>
      </c>
      <c r="H6" s="738">
        <f t="shared" ref="H6:S6" ca="1" si="1">H4-H5</f>
        <v>13101005147.981293</v>
      </c>
      <c r="I6" s="738">
        <f t="shared" ca="1" si="1"/>
        <v>21822866399.316345</v>
      </c>
      <c r="J6" s="738">
        <f t="shared" ca="1" si="1"/>
        <v>19047553932.9095</v>
      </c>
      <c r="K6" s="738">
        <f t="shared" ca="1" si="1"/>
        <v>22370861984.857498</v>
      </c>
      <c r="L6" s="738">
        <f t="shared" ca="1" si="1"/>
        <v>20826655104.153488</v>
      </c>
      <c r="M6" s="738">
        <f t="shared" ca="1" si="1"/>
        <v>27595328619.211182</v>
      </c>
      <c r="N6" s="738">
        <f t="shared" ca="1" si="1"/>
        <v>27452734987.984955</v>
      </c>
      <c r="O6" s="738">
        <f t="shared" ca="1" si="1"/>
        <v>27907651710.703644</v>
      </c>
      <c r="P6" s="738">
        <f t="shared" ca="1" si="1"/>
        <v>26394095361.744446</v>
      </c>
      <c r="Q6" s="738">
        <f t="shared" ca="1" si="1"/>
        <v>27425993950.714081</v>
      </c>
      <c r="R6" s="738">
        <f t="shared" ca="1" si="1"/>
        <v>27319453768.320343</v>
      </c>
      <c r="S6" s="738">
        <f t="shared" ca="1" si="1"/>
        <v>279556940476.24536</v>
      </c>
    </row>
    <row r="7" spans="1:19" s="823" customFormat="1" ht="12">
      <c r="A7" s="821">
        <f t="shared" si="0"/>
        <v>4</v>
      </c>
      <c r="B7" s="822" t="s">
        <v>537</v>
      </c>
      <c r="C7" s="821"/>
      <c r="E7" s="824">
        <f t="shared" ref="E7:F7" si="2">IFERROR(E6/E$4,0)</f>
        <v>0.12906500748868419</v>
      </c>
      <c r="F7" s="824">
        <f t="shared" si="2"/>
        <v>0.13726030906705969</v>
      </c>
      <c r="G7" s="824">
        <f ca="1">IFERROR(G6/G$4,0)</f>
        <v>0.14125084994770609</v>
      </c>
      <c r="H7" s="824">
        <f t="shared" ref="H7:S7" ca="1" si="3">IFERROR(H6/H$4,0)</f>
        <v>0.1023720441941427</v>
      </c>
      <c r="I7" s="824">
        <f t="shared" ca="1" si="3"/>
        <v>0.15411684122320909</v>
      </c>
      <c r="J7" s="824">
        <f t="shared" ca="1" si="3"/>
        <v>0.14453806597886093</v>
      </c>
      <c r="K7" s="824">
        <f t="shared" ca="1" si="3"/>
        <v>0.15951351171449255</v>
      </c>
      <c r="L7" s="824">
        <f t="shared" ca="1" si="3"/>
        <v>0.14727924593264693</v>
      </c>
      <c r="M7" s="824">
        <f t="shared" ca="1" si="3"/>
        <v>0.1897837592357047</v>
      </c>
      <c r="N7" s="824">
        <f t="shared" ca="1" si="3"/>
        <v>0.19431938006457722</v>
      </c>
      <c r="O7" s="824">
        <f t="shared" ca="1" si="3"/>
        <v>0.18831518825949858</v>
      </c>
      <c r="P7" s="824">
        <f t="shared" ca="1" si="3"/>
        <v>0.19128307128416389</v>
      </c>
      <c r="Q7" s="824">
        <f t="shared" ca="1" si="3"/>
        <v>0.18794059173021982</v>
      </c>
      <c r="R7" s="824">
        <f t="shared" ca="1" si="3"/>
        <v>0.18528947804085275</v>
      </c>
      <c r="S7" s="824">
        <f t="shared" ca="1" si="3"/>
        <v>0.16652708053852505</v>
      </c>
    </row>
    <row r="8" spans="1:19" s="717" customFormat="1">
      <c r="A8" s="739">
        <f t="shared" si="0"/>
        <v>5</v>
      </c>
      <c r="B8" s="735" t="s">
        <v>549</v>
      </c>
      <c r="C8" s="739" t="s">
        <v>543</v>
      </c>
      <c r="E8" s="736">
        <f>SUM(PL!D43:O43)</f>
        <v>47029317688</v>
      </c>
      <c r="F8" s="736">
        <f>SUM(PL!P43:AA43)</f>
        <v>25026064408</v>
      </c>
      <c r="G8" s="736">
        <f ca="1">PL!AB43</f>
        <v>447470325.88600928</v>
      </c>
      <c r="H8" s="736">
        <f ca="1">PL!AC43</f>
        <v>-2876783527.5726547</v>
      </c>
      <c r="I8" s="736">
        <f ca="1">PL!AD43</f>
        <v>4539571197.8377552</v>
      </c>
      <c r="J8" s="736">
        <f ca="1">PL!AE43</f>
        <v>2279644475.6906605</v>
      </c>
      <c r="K8" s="736">
        <f ca="1">PL!AF43</f>
        <v>3545075192.5353489</v>
      </c>
      <c r="L8" s="736">
        <f ca="1">PL!AG43</f>
        <v>2094719330.5519695</v>
      </c>
      <c r="M8" s="736">
        <f ca="1">PL!AH43</f>
        <v>9003174133.2125645</v>
      </c>
      <c r="N8" s="736">
        <f ca="1">PL!AI43</f>
        <v>8404689528.1837769</v>
      </c>
      <c r="O8" s="736">
        <f ca="1">PL!AJ43</f>
        <v>7798959845.1768112</v>
      </c>
      <c r="P8" s="736">
        <f ca="1">PL!AK43</f>
        <v>8589038019.551857</v>
      </c>
      <c r="Q8" s="736">
        <f ca="1">PL!AL43</f>
        <v>9146349884.5066681</v>
      </c>
      <c r="R8" s="736">
        <f ca="1">PL!AM43</f>
        <v>6885732121.376236</v>
      </c>
      <c r="S8" s="736">
        <f ca="1">SUM(G8:R8)</f>
        <v>59857640526.937004</v>
      </c>
    </row>
    <row r="9" spans="1:19" s="823" customFormat="1" ht="12">
      <c r="A9" s="821">
        <f t="shared" si="0"/>
        <v>6</v>
      </c>
      <c r="B9" s="822" t="s">
        <v>547</v>
      </c>
      <c r="C9" s="821"/>
      <c r="E9" s="824">
        <f t="shared" ref="E9:S9" si="4">IFERROR(E8/E$4,0)</f>
        <v>3.2331760661565033E-2</v>
      </c>
      <c r="F9" s="824">
        <f t="shared" si="4"/>
        <v>1.6273011690359721E-2</v>
      </c>
      <c r="G9" s="824">
        <f t="shared" ca="1" si="4"/>
        <v>3.4552268034500448E-3</v>
      </c>
      <c r="H9" s="824">
        <f t="shared" ca="1" si="4"/>
        <v>-2.2479359949494317E-2</v>
      </c>
      <c r="I9" s="824">
        <f t="shared" ca="1" si="4"/>
        <v>3.2059233682543736E-2</v>
      </c>
      <c r="J9" s="824">
        <f t="shared" ca="1" si="4"/>
        <v>1.7298567826414459E-2</v>
      </c>
      <c r="K9" s="824">
        <f t="shared" ca="1" si="4"/>
        <v>2.527785445353041E-2</v>
      </c>
      <c r="L9" s="824">
        <f t="shared" ca="1" si="4"/>
        <v>1.4813165239515909E-2</v>
      </c>
      <c r="M9" s="824">
        <f t="shared" ca="1" si="4"/>
        <v>6.1918314350683748E-2</v>
      </c>
      <c r="N9" s="824">
        <f t="shared" ca="1" si="4"/>
        <v>5.9491123906842212E-2</v>
      </c>
      <c r="O9" s="824">
        <f t="shared" ca="1" si="4"/>
        <v>5.2625803370960567E-2</v>
      </c>
      <c r="P9" s="824">
        <f t="shared" ca="1" si="4"/>
        <v>6.2246405843391875E-2</v>
      </c>
      <c r="Q9" s="824">
        <f t="shared" ca="1" si="4"/>
        <v>6.2676685940895663E-2</v>
      </c>
      <c r="R9" s="824">
        <f t="shared" ca="1" si="4"/>
        <v>4.6701289180913909E-2</v>
      </c>
      <c r="S9" s="824">
        <f t="shared" ca="1" si="4"/>
        <v>3.5656128257428539E-2</v>
      </c>
    </row>
    <row r="10" spans="1:19" s="717" customFormat="1">
      <c r="A10" s="743">
        <f t="shared" si="0"/>
        <v>7</v>
      </c>
      <c r="B10" s="737" t="s">
        <v>539</v>
      </c>
      <c r="C10" s="743" t="s">
        <v>543</v>
      </c>
      <c r="E10" s="738">
        <f>SUM(PL!D46:O46)</f>
        <v>33662182592</v>
      </c>
      <c r="F10" s="738">
        <f>SUM(PL!P46:AA46)</f>
        <v>19364703510</v>
      </c>
      <c r="G10" s="738">
        <f ca="1">PL!AB46</f>
        <v>67196450.944738448</v>
      </c>
      <c r="H10" s="738">
        <f ca="1">PL!AC46</f>
        <v>-2876783527.5726547</v>
      </c>
      <c r="I10" s="738">
        <f ca="1">PL!AD46</f>
        <v>3604952155.4908915</v>
      </c>
      <c r="J10" s="738">
        <f ca="1">PL!AE46</f>
        <v>1532697541.676712</v>
      </c>
      <c r="K10" s="738">
        <f ca="1">PL!AF46</f>
        <v>2762502221.5892191</v>
      </c>
      <c r="L10" s="738">
        <f ca="1">PL!AG46</f>
        <v>1386776170.405735</v>
      </c>
      <c r="M10" s="738">
        <f ca="1">PL!AH46</f>
        <v>7165598532.4166641</v>
      </c>
      <c r="N10" s="738">
        <f ca="1">PL!AI46</f>
        <v>6724187523.1802187</v>
      </c>
      <c r="O10" s="738">
        <f ca="1">PL!AJ46</f>
        <v>6271647773.8832846</v>
      </c>
      <c r="P10" s="738">
        <f ca="1">PL!AK46</f>
        <v>6922622324.6141891</v>
      </c>
      <c r="Q10" s="738">
        <f ca="1">PL!AL46</f>
        <v>7365680402.0527401</v>
      </c>
      <c r="R10" s="738">
        <f ca="1">PL!AM46</f>
        <v>5562869869.5073376</v>
      </c>
      <c r="S10" s="738">
        <f ca="1">SUM(G10:R10)</f>
        <v>46489947438.189079</v>
      </c>
    </row>
    <row r="11" spans="1:19" s="823" customFormat="1" ht="12">
      <c r="A11" s="821">
        <f t="shared" si="0"/>
        <v>8</v>
      </c>
      <c r="B11" s="822" t="s">
        <v>210</v>
      </c>
      <c r="C11" s="821"/>
      <c r="E11" s="824">
        <f t="shared" ref="E11" si="5">IFERROR(E10/E$4,0)</f>
        <v>2.3142109739519998E-2</v>
      </c>
      <c r="F11" s="824">
        <f t="shared" ref="F11" si="6">IFERROR(F10/F$4,0)</f>
        <v>1.259175399939616E-2</v>
      </c>
      <c r="G11" s="824">
        <f ca="1">IFERROR(G10/G$4,0)</f>
        <v>5.1887011265216889E-4</v>
      </c>
      <c r="H11" s="824">
        <f t="shared" ref="H11" ca="1" si="7">IFERROR(H10/H$4,0)</f>
        <v>-2.2479359949494317E-2</v>
      </c>
      <c r="I11" s="824">
        <f t="shared" ref="I11" ca="1" si="8">IFERROR(I10/I$4,0)</f>
        <v>2.5458793029244781E-2</v>
      </c>
      <c r="J11" s="824">
        <f t="shared" ref="J11" ca="1" si="9">IFERROR(J10/J$4,0)</f>
        <v>1.163052952546057E-2</v>
      </c>
      <c r="K11" s="824">
        <f t="shared" ref="K11" ca="1" si="10">IFERROR(K10/K$4,0)</f>
        <v>1.9697785037655558E-2</v>
      </c>
      <c r="L11" s="824">
        <f t="shared" ref="L11" ca="1" si="11">IFERROR(L10/L$4,0)</f>
        <v>9.8068243620161553E-3</v>
      </c>
      <c r="M11" s="824">
        <f t="shared" ref="M11" ca="1" si="12">IFERROR(M10/M$4,0)</f>
        <v>4.928059547401601E-2</v>
      </c>
      <c r="N11" s="824">
        <f t="shared" ref="N11" ca="1" si="13">IFERROR(N10/N$4,0)</f>
        <v>4.7595984571818177E-2</v>
      </c>
      <c r="O11" s="824">
        <f t="shared" ref="O11" ca="1" si="14">IFERROR(O10/O$4,0)</f>
        <v>4.2319810476318928E-2</v>
      </c>
      <c r="P11" s="824">
        <f t="shared" ref="P11" ca="1" si="15">IFERROR(P10/P$4,0)</f>
        <v>5.0169571695637086E-2</v>
      </c>
      <c r="Q11" s="824">
        <f t="shared" ref="Q11" ca="1" si="16">IFERROR(Q10/Q$4,0)</f>
        <v>5.0474390672773872E-2</v>
      </c>
      <c r="R11" s="824">
        <f t="shared" ref="R11" ca="1" si="17">IFERROR(R10/R$4,0)</f>
        <v>3.7729204371042345E-2</v>
      </c>
      <c r="S11" s="824">
        <f t="shared" ref="S11" ca="1" si="18">IFERROR(S10/S$4,0)</f>
        <v>2.7693232040965736E-2</v>
      </c>
    </row>
    <row r="12" spans="1:19">
      <c r="A12" s="740">
        <f t="shared" si="0"/>
        <v>9</v>
      </c>
      <c r="B12" s="741" t="s">
        <v>559</v>
      </c>
      <c r="C12" s="740" t="s">
        <v>543</v>
      </c>
      <c r="E12" s="742">
        <f>SUM(PL!D37:O37)</f>
        <v>56679107574</v>
      </c>
      <c r="F12" s="742">
        <f>SUM(PL!P37:AA37)</f>
        <v>61741245592</v>
      </c>
      <c r="G12" s="742">
        <f>PL!AB37</f>
        <v>5715119840.7360201</v>
      </c>
      <c r="H12" s="742">
        <f>PL!AC37</f>
        <v>4532895339.4770603</v>
      </c>
      <c r="I12" s="742">
        <f>PL!AD37</f>
        <v>5354985942.632905</v>
      </c>
      <c r="J12" s="742">
        <f>PL!AE37</f>
        <v>4767228483.2620296</v>
      </c>
      <c r="K12" s="742">
        <f>PL!AF37</f>
        <v>6360624030.7155828</v>
      </c>
      <c r="L12" s="742">
        <f>PL!AG37</f>
        <v>5719886074.7977448</v>
      </c>
      <c r="M12" s="742">
        <f>PL!AH37</f>
        <v>5096889953.4197016</v>
      </c>
      <c r="N12" s="742">
        <f>PL!AI37</f>
        <v>4994444508.1737995</v>
      </c>
      <c r="O12" s="742">
        <f>PL!AJ37</f>
        <v>6990500871.4197016</v>
      </c>
      <c r="P12" s="742">
        <f>PL!AK37</f>
        <v>5117052699.2266226</v>
      </c>
      <c r="Q12" s="742">
        <f>PL!AL37</f>
        <v>5444984743.641923</v>
      </c>
      <c r="R12" s="742">
        <f>PL!AM37</f>
        <v>5540611374.603672</v>
      </c>
      <c r="S12" s="742">
        <f>SUM(G12:R12)</f>
        <v>65635223862.106766</v>
      </c>
    </row>
    <row r="13" spans="1:19" s="823" customFormat="1" ht="12">
      <c r="A13" s="821">
        <f t="shared" si="0"/>
        <v>10</v>
      </c>
      <c r="B13" s="822" t="s">
        <v>560</v>
      </c>
      <c r="C13" s="821"/>
      <c r="E13" s="824">
        <f t="shared" ref="E13:S13" si="19">IFERROR(E12/E$4,0)</f>
        <v>3.8965807515027068E-2</v>
      </c>
      <c r="F13" s="824">
        <f t="shared" si="19"/>
        <v>4.0146784365136225E-2</v>
      </c>
      <c r="G13" s="824">
        <f t="shared" si="19"/>
        <v>4.4130379415753034E-2</v>
      </c>
      <c r="H13" s="824">
        <f t="shared" si="19"/>
        <v>3.5420317508376244E-2</v>
      </c>
      <c r="I13" s="824">
        <f t="shared" si="19"/>
        <v>3.7817833055108031E-2</v>
      </c>
      <c r="J13" s="824">
        <f t="shared" si="19"/>
        <v>3.6175037880298633E-2</v>
      </c>
      <c r="K13" s="824">
        <f t="shared" si="19"/>
        <v>4.5353883838799063E-2</v>
      </c>
      <c r="L13" s="824">
        <f t="shared" si="19"/>
        <v>4.0449150557491799E-2</v>
      </c>
      <c r="M13" s="824">
        <f t="shared" si="19"/>
        <v>3.5053285616510894E-2</v>
      </c>
      <c r="N13" s="824">
        <f t="shared" si="19"/>
        <v>3.5352301365238273E-2</v>
      </c>
      <c r="O13" s="824">
        <f t="shared" si="19"/>
        <v>4.717048576053047E-2</v>
      </c>
      <c r="P13" s="824">
        <f t="shared" si="19"/>
        <v>3.7084262325189153E-2</v>
      </c>
      <c r="Q13" s="824">
        <f t="shared" si="19"/>
        <v>3.7312545773949539E-2</v>
      </c>
      <c r="R13" s="824">
        <f t="shared" si="19"/>
        <v>3.7578239972645124E-2</v>
      </c>
      <c r="S13" s="824">
        <f t="shared" si="19"/>
        <v>3.909773154488335E-2</v>
      </c>
    </row>
    <row r="14" spans="1:19">
      <c r="A14" s="740">
        <f t="shared" si="0"/>
        <v>11</v>
      </c>
      <c r="B14" s="741" t="s">
        <v>561</v>
      </c>
      <c r="C14" s="740" t="s">
        <v>543</v>
      </c>
      <c r="E14" s="742">
        <f>SUM(PL!D38:O38)</f>
        <v>78474020435</v>
      </c>
      <c r="F14" s="742">
        <f>SUM(PL!P38:AA38)</f>
        <v>116368592636</v>
      </c>
      <c r="G14" s="742">
        <f>PL!AB38</f>
        <v>10275860698.748386</v>
      </c>
      <c r="H14" s="742">
        <f>PL!AC38</f>
        <v>8716932392.5652218</v>
      </c>
      <c r="I14" s="742">
        <f>PL!AD38</f>
        <v>8759904698.1036587</v>
      </c>
      <c r="J14" s="742">
        <f>PL!AE38</f>
        <v>8918147544.1229057</v>
      </c>
      <c r="K14" s="742">
        <f>PL!AF38</f>
        <v>9057039452.0205288</v>
      </c>
      <c r="L14" s="742">
        <f>PL!AG38</f>
        <v>9504724354.2504253</v>
      </c>
      <c r="M14" s="742">
        <f>PL!AH38</f>
        <v>9932085922.03512</v>
      </c>
      <c r="N14" s="742">
        <f>PL!AI38</f>
        <v>10308460446.010513</v>
      </c>
      <c r="O14" s="742">
        <f>PL!AJ38</f>
        <v>9446289658.7034874</v>
      </c>
      <c r="P14" s="742">
        <f>PL!AK38</f>
        <v>9009712006.4009361</v>
      </c>
      <c r="Q14" s="742">
        <f>PL!AL38</f>
        <v>9149105409.7559357</v>
      </c>
      <c r="R14" s="742">
        <f>PL!AM38</f>
        <v>11367195758.417297</v>
      </c>
      <c r="S14" s="742">
        <f>SUM(G14:R14)</f>
        <v>114445458341.13443</v>
      </c>
    </row>
    <row r="15" spans="1:19" s="823" customFormat="1" ht="12">
      <c r="A15" s="821">
        <f t="shared" si="0"/>
        <v>12</v>
      </c>
      <c r="B15" s="822" t="s">
        <v>562</v>
      </c>
      <c r="C15" s="821"/>
      <c r="E15" s="824">
        <f t="shared" ref="E15:S15" si="20">IFERROR(E14/E$4,0)</f>
        <v>5.3949395219539328E-2</v>
      </c>
      <c r="F15" s="824">
        <f t="shared" si="20"/>
        <v>7.566780926812422E-2</v>
      </c>
      <c r="G15" s="824">
        <f t="shared" si="20"/>
        <v>7.9347003054408463E-2</v>
      </c>
      <c r="H15" s="824">
        <f t="shared" si="20"/>
        <v>6.8114635331361917E-2</v>
      </c>
      <c r="I15" s="824">
        <f t="shared" si="20"/>
        <v>6.1863955760201081E-2</v>
      </c>
      <c r="J15" s="824">
        <f t="shared" si="20"/>
        <v>6.7673350745292127E-2</v>
      </c>
      <c r="K15" s="824">
        <f t="shared" si="20"/>
        <v>6.4580442618009409E-2</v>
      </c>
      <c r="L15" s="824">
        <f t="shared" si="20"/>
        <v>6.7214280386891964E-2</v>
      </c>
      <c r="M15" s="824">
        <f t="shared" si="20"/>
        <v>6.8306800377205545E-2</v>
      </c>
      <c r="N15" s="824">
        <f t="shared" si="20"/>
        <v>7.296663316662895E-2</v>
      </c>
      <c r="O15" s="824">
        <f t="shared" si="20"/>
        <v>6.3741651711606895E-2</v>
      </c>
      <c r="P15" s="824">
        <f t="shared" si="20"/>
        <v>6.5295110908331344E-2</v>
      </c>
      <c r="Q15" s="824">
        <f t="shared" si="20"/>
        <v>6.2695568576354777E-2</v>
      </c>
      <c r="R15" s="824">
        <f t="shared" si="20"/>
        <v>7.709604250242047E-2</v>
      </c>
      <c r="S15" s="824">
        <f t="shared" si="20"/>
        <v>6.8173117168814967E-2</v>
      </c>
    </row>
    <row r="16" spans="1:19">
      <c r="A16" s="740">
        <f t="shared" si="0"/>
        <v>13</v>
      </c>
      <c r="B16" s="741" t="s">
        <v>538</v>
      </c>
      <c r="C16" s="740" t="s">
        <v>543</v>
      </c>
      <c r="E16" s="742">
        <f>SUM(PL!D36:O36)</f>
        <v>10328501137</v>
      </c>
      <c r="F16" s="742">
        <f>SUM(PL!P36:AA36)</f>
        <v>14266626254</v>
      </c>
      <c r="G16" s="742">
        <f>PL!AB36</f>
        <v>1440729191.0893345</v>
      </c>
      <c r="H16" s="742">
        <f>PL!AC36</f>
        <v>2314401491.6227865</v>
      </c>
      <c r="I16" s="742">
        <f>PL!AD36</f>
        <v>2754845108.8531456</v>
      </c>
      <c r="J16" s="742">
        <f>PL!AE36</f>
        <v>2658973977.945015</v>
      </c>
      <c r="K16" s="742">
        <f>PL!AF36</f>
        <v>2984563857.6971397</v>
      </c>
      <c r="L16" s="742">
        <f>PL!AG36</f>
        <v>3083765892.6644506</v>
      </c>
      <c r="M16" s="742">
        <f>PL!AH36</f>
        <v>3139619158.6549101</v>
      </c>
      <c r="N16" s="742">
        <f>PL!AI36</f>
        <v>3321581053.7279758</v>
      </c>
      <c r="O16" s="742">
        <f>PL!AJ36</f>
        <v>3248341883.5147653</v>
      </c>
      <c r="P16" s="742">
        <f>PL!AK36</f>
        <v>3254733184.6761322</v>
      </c>
      <c r="Q16" s="742">
        <f>PL!AL36</f>
        <v>3261994460.9206567</v>
      </c>
      <c r="R16" s="742">
        <f>PL!AM36</f>
        <v>3102355062.0342402</v>
      </c>
      <c r="S16" s="742">
        <f>SUM(G16:R16)</f>
        <v>34565904323.400558</v>
      </c>
    </row>
    <row r="17" spans="1:19" s="823" customFormat="1" ht="12">
      <c r="A17" s="821">
        <f t="shared" si="0"/>
        <v>14</v>
      </c>
      <c r="B17" s="822" t="s">
        <v>547</v>
      </c>
      <c r="C17" s="821"/>
      <c r="E17" s="824">
        <f t="shared" ref="E17:S17" si="21">IFERROR(E16/E$4,0)</f>
        <v>7.1006479185938536E-3</v>
      </c>
      <c r="F17" s="824">
        <f t="shared" si="21"/>
        <v>9.2767672946258688E-3</v>
      </c>
      <c r="G17" s="824">
        <f t="shared" si="21"/>
        <v>1.112486310172197E-2</v>
      </c>
      <c r="H17" s="824">
        <f t="shared" si="21"/>
        <v>1.8084872809923731E-2</v>
      </c>
      <c r="I17" s="824">
        <f t="shared" si="21"/>
        <v>1.9455190645760224E-2</v>
      </c>
      <c r="J17" s="824">
        <f t="shared" si="21"/>
        <v>2.0177024179271391E-2</v>
      </c>
      <c r="K17" s="824">
        <f t="shared" si="21"/>
        <v>2.1281176478567254E-2</v>
      </c>
      <c r="L17" s="824">
        <f t="shared" si="21"/>
        <v>2.1807376798296304E-2</v>
      </c>
      <c r="M17" s="824">
        <f t="shared" si="21"/>
        <v>2.1592376547498484E-2</v>
      </c>
      <c r="N17" s="824">
        <f t="shared" si="21"/>
        <v>2.3511230173501981E-2</v>
      </c>
      <c r="O17" s="824">
        <f t="shared" si="21"/>
        <v>2.1919153917586066E-2</v>
      </c>
      <c r="P17" s="824">
        <f t="shared" si="21"/>
        <v>2.3587675623757045E-2</v>
      </c>
      <c r="Q17" s="824">
        <f t="shared" si="21"/>
        <v>2.2353289011433096E-2</v>
      </c>
      <c r="R17" s="824">
        <f t="shared" si="21"/>
        <v>2.1041187536783745E-2</v>
      </c>
      <c r="S17" s="824">
        <f t="shared" si="21"/>
        <v>2.0590292350974527E-2</v>
      </c>
    </row>
    <row r="18" spans="1:19">
      <c r="A18" s="740">
        <f t="shared" si="0"/>
        <v>15</v>
      </c>
      <c r="B18" s="741" t="s">
        <v>546</v>
      </c>
      <c r="C18" s="740" t="s">
        <v>543</v>
      </c>
      <c r="E18" s="742">
        <f>SUM(PL!D48:O48)</f>
        <v>51297238188</v>
      </c>
      <c r="F18" s="742">
        <f>SUM(PL!P48:AA48)</f>
        <v>62523478612</v>
      </c>
      <c r="G18" s="742">
        <f>PL!AB48</f>
        <v>5992572584.4102192</v>
      </c>
      <c r="H18" s="742">
        <f>PL!AC48</f>
        <v>6371300002.0267067</v>
      </c>
      <c r="I18" s="742">
        <f>PL!AD48</f>
        <v>6478956446.2417603</v>
      </c>
      <c r="J18" s="742">
        <f>PL!AE48</f>
        <v>6554191383.7399693</v>
      </c>
      <c r="K18" s="742">
        <f>PL!AF48</f>
        <v>6570144439.7399693</v>
      </c>
      <c r="L18" s="742">
        <f>PL!AG48</f>
        <v>6712119577.7399693</v>
      </c>
      <c r="M18" s="742">
        <f>PL!AH48</f>
        <v>6712119577.7399693</v>
      </c>
      <c r="N18" s="742">
        <f>PL!AI48</f>
        <v>6712119577.7399693</v>
      </c>
      <c r="O18" s="742">
        <f>PL!AJ48</f>
        <v>6712119577.7399693</v>
      </c>
      <c r="P18" s="742">
        <f>PL!AK48</f>
        <v>6742300121.8510799</v>
      </c>
      <c r="Q18" s="742">
        <f>PL!AL48</f>
        <v>6742300121.8510799</v>
      </c>
      <c r="R18" s="742">
        <f>PL!AM48</f>
        <v>6748464010.8510799</v>
      </c>
      <c r="S18" s="742">
        <f>SUM(G18:R18)</f>
        <v>79048707421.671722</v>
      </c>
    </row>
    <row r="19" spans="1:19" s="823" customFormat="1" ht="12">
      <c r="A19" s="821">
        <f t="shared" si="0"/>
        <v>16</v>
      </c>
      <c r="B19" s="822" t="s">
        <v>548</v>
      </c>
      <c r="C19" s="821"/>
      <c r="E19" s="824">
        <f t="shared" ref="E19:S19" si="22">IFERROR(E18/E$4,0)</f>
        <v>3.526587476128535E-2</v>
      </c>
      <c r="F19" s="824">
        <f t="shared" si="22"/>
        <v>4.0655425551042235E-2</v>
      </c>
      <c r="G19" s="824">
        <f t="shared" si="22"/>
        <v>4.6272783282949502E-2</v>
      </c>
      <c r="H19" s="824">
        <f t="shared" si="22"/>
        <v>4.9785722394141821E-2</v>
      </c>
      <c r="I19" s="824">
        <f t="shared" si="22"/>
        <v>4.5755506341220574E-2</v>
      </c>
      <c r="J19" s="824">
        <f t="shared" si="22"/>
        <v>4.9735002719920658E-2</v>
      </c>
      <c r="K19" s="824">
        <f t="shared" si="22"/>
        <v>4.6847851136168253E-2</v>
      </c>
      <c r="L19" s="824">
        <f t="shared" si="22"/>
        <v>4.7465899112246308E-2</v>
      </c>
      <c r="M19" s="824">
        <f t="shared" si="22"/>
        <v>4.6161845125346275E-2</v>
      </c>
      <c r="N19" s="824">
        <f t="shared" si="22"/>
        <v>4.7510563732050162E-2</v>
      </c>
      <c r="O19" s="824">
        <f t="shared" si="22"/>
        <v>4.5292025104985055E-2</v>
      </c>
      <c r="P19" s="824">
        <f t="shared" si="22"/>
        <v>4.8862742107711646E-2</v>
      </c>
      <c r="Q19" s="824">
        <f t="shared" si="22"/>
        <v>4.6202587107711107E-2</v>
      </c>
      <c r="R19" s="824">
        <f t="shared" si="22"/>
        <v>4.5770291922822531E-2</v>
      </c>
      <c r="S19" s="824">
        <f t="shared" si="22"/>
        <v>4.7087904327646576E-2</v>
      </c>
    </row>
    <row r="20" spans="1:19" s="717" customFormat="1">
      <c r="A20" s="743">
        <f t="shared" si="0"/>
        <v>17</v>
      </c>
      <c r="B20" s="737" t="s">
        <v>557</v>
      </c>
      <c r="C20" s="743"/>
      <c r="E20" s="738">
        <f>E8+E16+E18</f>
        <v>108655057013</v>
      </c>
      <c r="F20" s="738">
        <f t="shared" ref="F20:S20" si="23">F8+F16+F18</f>
        <v>101816169274</v>
      </c>
      <c r="G20" s="738">
        <f t="shared" ca="1" si="23"/>
        <v>7880772101.3855629</v>
      </c>
      <c r="H20" s="738">
        <f t="shared" ca="1" si="23"/>
        <v>5808917966.0768385</v>
      </c>
      <c r="I20" s="738">
        <f t="shared" ca="1" si="23"/>
        <v>13773372752.932661</v>
      </c>
      <c r="J20" s="738">
        <f t="shared" ca="1" si="23"/>
        <v>11492809837.375645</v>
      </c>
      <c r="K20" s="738">
        <f t="shared" ca="1" si="23"/>
        <v>13099783489.972458</v>
      </c>
      <c r="L20" s="738">
        <f t="shared" ca="1" si="23"/>
        <v>11890604800.95639</v>
      </c>
      <c r="M20" s="738">
        <f t="shared" ca="1" si="23"/>
        <v>18854912869.607445</v>
      </c>
      <c r="N20" s="738">
        <f t="shared" ca="1" si="23"/>
        <v>18438390159.651722</v>
      </c>
      <c r="O20" s="738">
        <f t="shared" ca="1" si="23"/>
        <v>17759421306.431545</v>
      </c>
      <c r="P20" s="738">
        <f t="shared" ca="1" si="23"/>
        <v>18586071326.079071</v>
      </c>
      <c r="Q20" s="738">
        <f t="shared" ca="1" si="23"/>
        <v>19150644467.278404</v>
      </c>
      <c r="R20" s="738">
        <f t="shared" ca="1" si="23"/>
        <v>16736551194.261557</v>
      </c>
      <c r="S20" s="738">
        <f t="shared" ca="1" si="23"/>
        <v>173472252272.00928</v>
      </c>
    </row>
    <row r="21" spans="1:19" s="823" customFormat="1" ht="12">
      <c r="A21" s="821">
        <f t="shared" si="0"/>
        <v>18</v>
      </c>
      <c r="B21" s="822" t="s">
        <v>558</v>
      </c>
      <c r="C21" s="821"/>
      <c r="E21" s="824">
        <f t="shared" ref="E21:S21" si="24">IFERROR(E20/E$4,0)</f>
        <v>7.4698283341444238E-2</v>
      </c>
      <c r="F21" s="824">
        <f t="shared" si="24"/>
        <v>6.6205204536027823E-2</v>
      </c>
      <c r="G21" s="824">
        <f t="shared" ca="1" si="24"/>
        <v>6.0852873188121513E-2</v>
      </c>
      <c r="H21" s="824">
        <f t="shared" ca="1" si="24"/>
        <v>4.5391235254571227E-2</v>
      </c>
      <c r="I21" s="824">
        <f t="shared" ca="1" si="24"/>
        <v>9.7269930669524537E-2</v>
      </c>
      <c r="J21" s="824">
        <f t="shared" ca="1" si="24"/>
        <v>8.7210594725606508E-2</v>
      </c>
      <c r="K21" s="824">
        <f t="shared" ca="1" si="24"/>
        <v>9.3406882068265917E-2</v>
      </c>
      <c r="L21" s="824">
        <f t="shared" ca="1" si="24"/>
        <v>8.4086441150058533E-2</v>
      </c>
      <c r="M21" s="824">
        <f t="shared" ca="1" si="24"/>
        <v>0.12967253602352852</v>
      </c>
      <c r="N21" s="824">
        <f t="shared" ca="1" si="24"/>
        <v>0.13051291781239435</v>
      </c>
      <c r="O21" s="824">
        <f t="shared" ca="1" si="24"/>
        <v>0.11983698239353169</v>
      </c>
      <c r="P21" s="824">
        <f t="shared" ca="1" si="24"/>
        <v>0.13469682357486057</v>
      </c>
      <c r="Q21" s="824">
        <f t="shared" ca="1" si="24"/>
        <v>0.13123256206003986</v>
      </c>
      <c r="R21" s="824">
        <f t="shared" ca="1" si="24"/>
        <v>0.11351276864052019</v>
      </c>
      <c r="S21" s="824">
        <f t="shared" ca="1" si="24"/>
        <v>0.10333432493604963</v>
      </c>
    </row>
    <row r="22" spans="1:19" s="717" customFormat="1">
      <c r="A22" s="817">
        <f t="shared" si="0"/>
        <v>19</v>
      </c>
      <c r="B22" s="818" t="s">
        <v>545</v>
      </c>
      <c r="C22" s="817" t="s">
        <v>544</v>
      </c>
      <c r="E22" s="819">
        <f>E23+E24-E25</f>
        <v>164.25862010053424</v>
      </c>
      <c r="F22" s="819">
        <f t="shared" ref="F22:S22" si="25">F23+F24-F25</f>
        <v>189.67797783179392</v>
      </c>
      <c r="G22" s="819">
        <f t="shared" ca="1" si="25"/>
        <v>187.6969662175562</v>
      </c>
      <c r="H22" s="819">
        <f t="shared" ca="1" si="25"/>
        <v>196.38979400539179</v>
      </c>
      <c r="I22" s="819">
        <f t="shared" ca="1" si="25"/>
        <v>201.4884609241706</v>
      </c>
      <c r="J22" s="819">
        <f t="shared" ca="1" si="25"/>
        <v>205.64116225544129</v>
      </c>
      <c r="K22" s="819">
        <f t="shared" ca="1" si="25"/>
        <v>210.97934198686141</v>
      </c>
      <c r="L22" s="819">
        <f t="shared" ca="1" si="25"/>
        <v>211.2457990660694</v>
      </c>
      <c r="M22" s="819">
        <f t="shared" ca="1" si="25"/>
        <v>215.01003948648852</v>
      </c>
      <c r="N22" s="819">
        <f t="shared" ca="1" si="25"/>
        <v>223.19772480025102</v>
      </c>
      <c r="O22" s="819">
        <f t="shared" ca="1" si="25"/>
        <v>217.81256307499808</v>
      </c>
      <c r="P22" s="819">
        <f t="shared" ca="1" si="25"/>
        <v>217.17485831172411</v>
      </c>
      <c r="Q22" s="819">
        <f t="shared" ca="1" si="25"/>
        <v>213.16649258946643</v>
      </c>
      <c r="R22" s="819">
        <f t="shared" ca="1" si="25"/>
        <v>205.04247754473343</v>
      </c>
      <c r="S22" s="819">
        <f t="shared" ca="1" si="25"/>
        <v>219.2318121927</v>
      </c>
    </row>
    <row r="23" spans="1:19">
      <c r="A23" s="740">
        <f t="shared" si="0"/>
        <v>20</v>
      </c>
      <c r="B23" s="741" t="s">
        <v>536</v>
      </c>
      <c r="C23" s="740" t="s">
        <v>544</v>
      </c>
      <c r="E23" s="815" cm="1">
        <f t="array" ref="E23">AVERAGE(BS!D15:O15-BS!D84:O84)/SUM(PL!D16:O16)*365</f>
        <v>33.347739006342039</v>
      </c>
      <c r="F23" s="815" cm="1">
        <f t="array" ref="F23">AVERAGE(BS!O15:AA15-BS!O84:AA84)/SUM(PL!P16:AA16)*365</f>
        <v>33.509012231155353</v>
      </c>
      <c r="G23" s="815" cm="1">
        <f t="array" ref="G23">AVERAGE(BS!P15:AB15-BS!P84:AB84)/SUM(PL!Q16:AB16)*365</f>
        <v>33.924516670341319</v>
      </c>
      <c r="H23" s="815" cm="1">
        <f t="array" ref="H23">AVERAGE(BS!Q15:AC15-BS!Q84:AC84)/SUM(PL!R16:AC16)*365</f>
        <v>37.181785874028215</v>
      </c>
      <c r="I23" s="815" cm="1">
        <f t="array" ref="I23">AVERAGE(BS!R15:AD15-BS!R84:AD84)/SUM(PL!S16:AD16)*365</f>
        <v>37.261200916300226</v>
      </c>
      <c r="J23" s="815" cm="1">
        <f t="array" ref="J23">AVERAGE(BS!S15:AE15-BS!S84:AE84)/SUM(PL!T16:AE16)*365</f>
        <v>36.152565678821844</v>
      </c>
      <c r="K23" s="815" cm="1">
        <f t="array" ref="K23">AVERAGE(BS!T15:AF15-BS!T84:AF84)/SUM(PL!U16:AF16)*365</f>
        <v>36.133952502040984</v>
      </c>
      <c r="L23" s="815" cm="1">
        <f t="array" ref="L23">AVERAGE(BS!U15:AG15-BS!U84:AG84)/SUM(PL!V16:AG16)*365</f>
        <v>35.045838710424135</v>
      </c>
      <c r="M23" s="815" cm="1">
        <f t="array" ref="M23">AVERAGE(BS!V15:AH15-BS!V84:AH84)/SUM(PL!W16:AH16)*365</f>
        <v>35.215445129450885</v>
      </c>
      <c r="N23" s="815" cm="1">
        <f t="array" ref="N23">AVERAGE(BS!W15:AI15-BS!W84:AI84)/SUM(PL!X16:AI16)*365</f>
        <v>36.229721016892441</v>
      </c>
      <c r="O23" s="815" cm="1">
        <f t="array" ref="O23">AVERAGE(BS!X15:AJ15-BS!X84:AJ84)/SUM(PL!Y16:AJ16)*365</f>
        <v>33.834328008812932</v>
      </c>
      <c r="P23" s="815" cm="1">
        <f t="array" ref="P23">AVERAGE(BS!Y15:AK15-BS!Y84:AK84)/SUM(PL!Z16:AK16)*365</f>
        <v>33.848024040420363</v>
      </c>
      <c r="Q23" s="815" cm="1">
        <f t="array" ref="Q23">AVERAGE(BS!Z15:AL15-BS!Z84:AL84)/SUM(PL!AA16:AL16)*365</f>
        <v>32.542049926732354</v>
      </c>
      <c r="R23" s="815" cm="1">
        <f t="array" ref="R23">AVERAGE(BS!AA15:AM15-BS!AA84:AM84)/SUM(PL!AB16:AM16)*365</f>
        <v>31.376936895138019</v>
      </c>
      <c r="S23" s="815">
        <f>R23</f>
        <v>31.376936895138019</v>
      </c>
    </row>
    <row r="24" spans="1:19">
      <c r="A24" s="740">
        <f t="shared" si="0"/>
        <v>21</v>
      </c>
      <c r="B24" s="741" t="s">
        <v>520</v>
      </c>
      <c r="C24" s="740" t="s">
        <v>544</v>
      </c>
      <c r="E24" s="815">
        <f>AVERAGE(BS!D22:O22)/SUM(PL!D20:O20)*365</f>
        <v>157.7468349975386</v>
      </c>
      <c r="F24" s="815">
        <f>AVERAGE(BS!O22:AA22)/SUM(PL!P20:AA20)*365</f>
        <v>152.74931848789333</v>
      </c>
      <c r="G24" s="815">
        <f ca="1">AVERAGE(BS!P22:AB22)/SUM(PL!Q20:AB20)*365</f>
        <v>148.9864838751721</v>
      </c>
      <c r="H24" s="815">
        <f ca="1">AVERAGE(BS!Q22:AC22)/SUM(PL!R20:AC20)*365</f>
        <v>152.88160283399898</v>
      </c>
      <c r="I24" s="815">
        <f ca="1">AVERAGE(BS!R22:AD22)/SUM(PL!S20:AD20)*365</f>
        <v>156.78309207737811</v>
      </c>
      <c r="J24" s="815">
        <f ca="1">AVERAGE(BS!S22:AE22)/SUM(PL!T20:AE20)*365</f>
        <v>158.54169499630257</v>
      </c>
      <c r="K24" s="815">
        <f ca="1">AVERAGE(BS!T22:AF22)/SUM(PL!U20:AF20)*365</f>
        <v>161.55203795996118</v>
      </c>
      <c r="L24" s="815">
        <f ca="1">AVERAGE(BS!U22:AG22)/SUM(PL!V20:AG20)*365</f>
        <v>161.63379029241491</v>
      </c>
      <c r="M24" s="815">
        <f ca="1">AVERAGE(BS!V22:AH22)/SUM(PL!W20:AH20)*365</f>
        <v>163.42655446518935</v>
      </c>
      <c r="N24" s="815">
        <f ca="1">AVERAGE(BS!W22:AI22)/SUM(PL!X20:AI20)*365</f>
        <v>169.06044525151847</v>
      </c>
      <c r="O24" s="815">
        <f ca="1">AVERAGE(BS!X22:AJ22)/SUM(PL!Y20:AJ20)*365</f>
        <v>165.56578328845089</v>
      </c>
      <c r="P24" s="815">
        <f ca="1">AVERAGE(BS!Y22:AK22)/SUM(PL!Z20:AK20)*365</f>
        <v>164.25140102077555</v>
      </c>
      <c r="Q24" s="815">
        <f ca="1">AVERAGE(BS!Z22:AL22)/SUM(PL!AA20:AL20)*365</f>
        <v>160.89830188067876</v>
      </c>
      <c r="R24" s="815">
        <f ca="1">AVERAGE(BS!AA22:AM22)/SUM(PL!AB20:AM20)*365</f>
        <v>156.40465964750558</v>
      </c>
      <c r="S24" s="816">
        <f ca="1">AVERAGE(BS!AB22:AN22)/SUM(PL!AC20:AN20)*365</f>
        <v>170.59399429547216</v>
      </c>
    </row>
    <row r="25" spans="1:19">
      <c r="A25" s="740">
        <f t="shared" si="0"/>
        <v>22</v>
      </c>
      <c r="B25" s="741" t="s">
        <v>541</v>
      </c>
      <c r="C25" s="740" t="s">
        <v>544</v>
      </c>
      <c r="E25" s="815" cm="1">
        <f t="array" ref="E25">AVERAGE(BS!D83:O83-BS!D16:O16)/SUM(PL!D20:O20)*365</f>
        <v>26.835953903346379</v>
      </c>
      <c r="F25" s="815" cm="1">
        <f t="array" ref="F25">AVERAGE(BS!O83:AA83-BS!O16:AA16)/SUM(PL!P20:AA20)*365</f>
        <v>-3.4196471127452504</v>
      </c>
      <c r="G25" s="815" cm="1">
        <f t="array" aca="1" ref="G25" ca="1">AVERAGE(BS!P83:AB83-BS!P16:AB16)/SUM(PL!Q20:AB20)*365</f>
        <v>-4.7859656720427708</v>
      </c>
      <c r="H25" s="815" cm="1">
        <f t="array" aca="1" ref="H25" ca="1">AVERAGE(BS!Q83:AC83-BS!Q16:AC16)/SUM(PL!R20:AC20)*365</f>
        <v>-6.3264052973646088</v>
      </c>
      <c r="I25" s="815" cm="1">
        <f t="array" aca="1" ref="I25" ca="1">AVERAGE(BS!R83:AD83-BS!R16:AD16)/SUM(PL!S20:AD20)*365</f>
        <v>-7.4441679304922594</v>
      </c>
      <c r="J25" s="815" cm="1">
        <f t="array" aca="1" ref="J25" ca="1">AVERAGE(BS!S83:AE83-BS!S16:AE16)/SUM(PL!T20:AE20)*365</f>
        <v>-10.946901580316871</v>
      </c>
      <c r="K25" s="815" cm="1">
        <f t="array" aca="1" ref="K25" ca="1">AVERAGE(BS!T83:AF83-BS!T16:AF16)/SUM(PL!U20:AF20)*365</f>
        <v>-13.29335152485926</v>
      </c>
      <c r="L25" s="815" cm="1">
        <f t="array" aca="1" ref="L25" ca="1">AVERAGE(BS!U83:AG83-BS!U16:AG16)/SUM(PL!V20:AG20)*365</f>
        <v>-14.566170063230334</v>
      </c>
      <c r="M25" s="815" cm="1">
        <f t="array" aca="1" ref="M25" ca="1">AVERAGE(BS!V83:AH83-BS!V16:AH16)/SUM(PL!W20:AH20)*365</f>
        <v>-16.36803989184828</v>
      </c>
      <c r="N25" s="815" cm="1">
        <f t="array" aca="1" ref="N25" ca="1">AVERAGE(BS!W83:AI83-BS!W16:AI16)/SUM(PL!X20:AI20)*365</f>
        <v>-17.907558531840081</v>
      </c>
      <c r="O25" s="815" cm="1">
        <f t="array" aca="1" ref="O25" ca="1">AVERAGE(BS!X83:AJ83-BS!X16:AJ16)/SUM(PL!Y20:AJ20)*365</f>
        <v>-18.412451777734244</v>
      </c>
      <c r="P25" s="815" cm="1">
        <f t="array" aca="1" ref="P25" ca="1">AVERAGE(BS!Y83:AK83-BS!Y16:AK16)/SUM(PL!Z20:AK20)*365</f>
        <v>-19.075433250528178</v>
      </c>
      <c r="Q25" s="815" cm="1">
        <f t="array" aca="1" ref="Q25" ca="1">AVERAGE(BS!Z83:AL83-BS!Z16:AL16)/SUM(PL!AA20:AL20)*365</f>
        <v>-19.726140782055339</v>
      </c>
      <c r="R25" s="815" cm="1">
        <f t="array" aca="1" ref="R25" ca="1">AVERAGE(BS!AA83:AM83-BS!AA16:AM16)/SUM(PL!AB20:AM20)*365</f>
        <v>-17.260881002089828</v>
      </c>
      <c r="S25" s="816">
        <f ca="1">R25</f>
        <v>-17.260881002089828</v>
      </c>
    </row>
    <row r="26" spans="1:19" s="717" customFormat="1">
      <c r="A26" s="827">
        <f t="shared" si="0"/>
        <v>23</v>
      </c>
      <c r="B26" s="828" t="s">
        <v>551</v>
      </c>
      <c r="C26" s="827" t="s">
        <v>553</v>
      </c>
      <c r="E26" s="829">
        <f>E27*E28*E29</f>
        <v>4.0223060843885584E-2</v>
      </c>
      <c r="F26" s="829">
        <f t="shared" ref="F26" si="26">F27*F28*F29</f>
        <v>2.0726110931225995E-2</v>
      </c>
      <c r="G26" s="829"/>
      <c r="H26" s="829"/>
      <c r="I26" s="829"/>
      <c r="J26" s="829"/>
      <c r="K26" s="829"/>
      <c r="L26" s="829"/>
      <c r="M26" s="829"/>
      <c r="N26" s="829"/>
      <c r="O26" s="829"/>
      <c r="P26" s="829"/>
      <c r="Q26" s="829"/>
      <c r="R26" s="829"/>
      <c r="S26" s="829">
        <f t="shared" ref="S26" ca="1" si="27">S27*S28*S29</f>
        <v>4.9161012596251823E-2</v>
      </c>
    </row>
    <row r="27" spans="1:19">
      <c r="A27" s="740">
        <f t="shared" si="0"/>
        <v>24</v>
      </c>
      <c r="B27" s="741" t="s">
        <v>552</v>
      </c>
      <c r="C27" s="740" t="s">
        <v>553</v>
      </c>
      <c r="E27" s="820">
        <f>E11</f>
        <v>2.3142109739519998E-2</v>
      </c>
      <c r="F27" s="820">
        <f t="shared" ref="F27" si="28">F11</f>
        <v>1.259175399939616E-2</v>
      </c>
      <c r="G27" s="820"/>
      <c r="H27" s="820"/>
      <c r="I27" s="820"/>
      <c r="J27" s="820"/>
      <c r="K27" s="820"/>
      <c r="L27" s="820"/>
      <c r="M27" s="820"/>
      <c r="N27" s="820"/>
      <c r="O27" s="820"/>
      <c r="P27" s="820"/>
      <c r="Q27" s="820"/>
      <c r="R27" s="820"/>
      <c r="S27" s="820">
        <f t="shared" ref="S27" ca="1" si="29">S11</f>
        <v>2.7693232040965736E-2</v>
      </c>
    </row>
    <row r="28" spans="1:19">
      <c r="A28" s="740">
        <f t="shared" si="0"/>
        <v>25</v>
      </c>
      <c r="B28" s="741" t="s">
        <v>555</v>
      </c>
      <c r="C28" s="740" t="s">
        <v>554</v>
      </c>
      <c r="E28" s="814">
        <f>SUM(PL!D16:O16)/AVERAGE(BS!D80:O80)</f>
        <v>1.1498401006838217</v>
      </c>
      <c r="F28" s="814">
        <f>SUM(PL!P16:AA16)/AVERAGE(BS!O80:AA80)</f>
        <v>1.1292142944914374</v>
      </c>
      <c r="G28" s="741"/>
      <c r="H28" s="741"/>
      <c r="I28" s="741"/>
      <c r="J28" s="741"/>
      <c r="K28" s="741"/>
      <c r="L28" s="741"/>
      <c r="M28" s="741"/>
      <c r="N28" s="741"/>
      <c r="O28" s="741"/>
      <c r="P28" s="741"/>
      <c r="Q28" s="741"/>
      <c r="R28" s="741"/>
      <c r="S28" s="814">
        <f ca="1">SUM(PL!AB16:AM16)/AVERAGE(BS!AA80:AM80)</f>
        <v>0.88616469938116993</v>
      </c>
    </row>
    <row r="29" spans="1:19">
      <c r="A29" s="740">
        <f t="shared" si="0"/>
        <v>26</v>
      </c>
      <c r="B29" s="741" t="s">
        <v>556</v>
      </c>
      <c r="C29" s="740" t="s">
        <v>554</v>
      </c>
      <c r="E29" s="814">
        <f>AVERAGE(BS!D80:O80)/AVERAGE(BS!D113:O113)</f>
        <v>1.5115924589714864</v>
      </c>
      <c r="F29" s="814">
        <f>AVERAGE(BS!O80:AA80)/AVERAGE(BS!O113:AA113)</f>
        <v>1.4576565909660837</v>
      </c>
      <c r="G29" s="741"/>
      <c r="H29" s="741"/>
      <c r="I29" s="741"/>
      <c r="J29" s="741"/>
      <c r="K29" s="741"/>
      <c r="L29" s="741"/>
      <c r="M29" s="741"/>
      <c r="N29" s="741"/>
      <c r="O29" s="741"/>
      <c r="P29" s="741"/>
      <c r="Q29" s="741"/>
      <c r="R29" s="741"/>
      <c r="S29" s="814">
        <f ca="1">AVERAGE(BS!AA80:AM80)/AVERAGE(BS!AA113:AM113)</f>
        <v>2.003238827495641</v>
      </c>
    </row>
    <row r="30" spans="1:19">
      <c r="A30" s="740">
        <f t="shared" si="0"/>
        <v>27</v>
      </c>
      <c r="B30" s="741" t="s">
        <v>550</v>
      </c>
      <c r="C30" s="740" t="s">
        <v>553</v>
      </c>
      <c r="E30" s="820">
        <f>E27*E28</f>
        <v>2.6609725792925726E-2</v>
      </c>
      <c r="F30" s="820">
        <f t="shared" ref="F30" si="30">F27*F28</f>
        <v>1.421878860883787E-2</v>
      </c>
      <c r="G30" s="741"/>
      <c r="H30" s="741"/>
      <c r="I30" s="741"/>
      <c r="J30" s="741"/>
      <c r="K30" s="741"/>
      <c r="L30" s="741"/>
      <c r="M30" s="741"/>
      <c r="N30" s="741"/>
      <c r="O30" s="741"/>
      <c r="P30" s="741"/>
      <c r="Q30" s="741"/>
      <c r="R30" s="741"/>
      <c r="S30" s="820">
        <f t="shared" ref="S30" ca="1" si="31">S27*S28</f>
        <v>2.4540764646475383E-2</v>
      </c>
    </row>
    <row r="31" spans="1:19">
      <c r="A31" s="740"/>
      <c r="B31" s="741"/>
      <c r="C31" s="740"/>
      <c r="E31" s="741"/>
      <c r="F31" s="741"/>
      <c r="G31" s="741"/>
      <c r="H31" s="741"/>
      <c r="I31" s="741"/>
      <c r="J31" s="741"/>
      <c r="K31" s="741"/>
      <c r="L31" s="741"/>
      <c r="M31" s="741"/>
      <c r="N31" s="741"/>
      <c r="O31" s="741"/>
      <c r="P31" s="741"/>
      <c r="Q31" s="741"/>
      <c r="R31" s="741"/>
      <c r="S31" s="741"/>
    </row>
    <row r="32" spans="1:19" s="717" customFormat="1">
      <c r="A32" s="830"/>
      <c r="B32" s="831" t="s">
        <v>563</v>
      </c>
      <c r="C32" s="830"/>
      <c r="E32" s="831"/>
      <c r="F32" s="831"/>
      <c r="G32" s="831"/>
      <c r="H32" s="831"/>
      <c r="I32" s="831"/>
      <c r="J32" s="831"/>
      <c r="K32" s="831"/>
      <c r="L32" s="831"/>
      <c r="M32" s="831"/>
      <c r="N32" s="831"/>
      <c r="O32" s="831"/>
      <c r="P32" s="831"/>
      <c r="Q32" s="831"/>
      <c r="R32" s="831"/>
      <c r="S32" s="831"/>
    </row>
    <row r="33" spans="1:19">
      <c r="A33" s="740"/>
      <c r="B33" s="741" t="s">
        <v>564</v>
      </c>
      <c r="C33" s="740" t="s">
        <v>553</v>
      </c>
      <c r="E33" s="820" cm="1">
        <f t="array" ref="E33">AVERAGE(BS!D93:O93+BS!D107:O107)/E4</f>
        <v>0.17372573785903922</v>
      </c>
      <c r="F33" s="820" cm="1">
        <f t="array" ref="F33">AVERAGE(BS!O93:AA93+BS!O107:AA107)/F4</f>
        <v>0.21164644487998102</v>
      </c>
      <c r="G33" s="741"/>
      <c r="H33" s="741"/>
      <c r="I33" s="741"/>
      <c r="J33" s="741"/>
      <c r="K33" s="741"/>
      <c r="L33" s="741"/>
      <c r="M33" s="741"/>
      <c r="N33" s="741"/>
      <c r="O33" s="741"/>
      <c r="P33" s="741"/>
      <c r="Q33" s="741"/>
      <c r="R33" s="741"/>
      <c r="S33" s="820" cm="1">
        <f t="array" ref="S33">AVERAGE(BS!AA93:AM93+BS!AA107:AM107)/S4</f>
        <v>0.40457964518810391</v>
      </c>
    </row>
    <row r="34" spans="1:19">
      <c r="A34" s="740"/>
      <c r="B34" s="741" t="s">
        <v>565</v>
      </c>
      <c r="C34" s="740" t="s">
        <v>554</v>
      </c>
      <c r="E34" s="814" cm="1">
        <f t="array" ref="E34">AVERAGE(BS!D93:O93+BS!D107:O107)/AVERAGE(BS!D113:O113)</f>
        <v>0.30195090260590862</v>
      </c>
      <c r="F34" s="814" cm="1">
        <f t="array" ref="F34">AVERAGE(BS!O93:AA93+BS!O107:AA107)/AVERAGE(BS!O113:AA113)</f>
        <v>0.3483714576215875</v>
      </c>
      <c r="G34" s="814"/>
      <c r="H34" s="814"/>
      <c r="I34" s="814"/>
      <c r="J34" s="814"/>
      <c r="K34" s="814"/>
      <c r="L34" s="814"/>
      <c r="M34" s="814"/>
      <c r="N34" s="814"/>
      <c r="O34" s="814"/>
      <c r="P34" s="814"/>
      <c r="Q34" s="814"/>
      <c r="R34" s="814"/>
      <c r="S34" s="814" cm="1">
        <f t="array" aca="1" ref="S34" ca="1">AVERAGE(BS!AA93:AM93+BS!AA107:AM107)/AVERAGE(BS!AA113:AM113)</f>
        <v>0.7182095973434045</v>
      </c>
    </row>
    <row r="35" spans="1:19">
      <c r="A35" s="740"/>
      <c r="B35" s="741"/>
      <c r="C35" s="740"/>
      <c r="E35" s="741"/>
      <c r="F35" s="741"/>
      <c r="G35" s="741"/>
      <c r="H35" s="741"/>
      <c r="I35" s="741"/>
      <c r="J35" s="741"/>
      <c r="K35" s="741"/>
      <c r="L35" s="741"/>
      <c r="M35" s="741"/>
      <c r="N35" s="741"/>
      <c r="O35" s="741"/>
      <c r="P35" s="741"/>
      <c r="Q35" s="741"/>
      <c r="R35" s="741"/>
      <c r="S35" s="741"/>
    </row>
  </sheetData>
  <phoneticPr fontId="9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05A8-45A5-4EEE-AD43-B64CED7F8E2A}">
  <dimension ref="A3:AM52"/>
  <sheetViews>
    <sheetView showGridLines="0" zoomScale="85" zoomScaleNormal="85" workbookViewId="0">
      <pane xSplit="2" ySplit="3" topLeftCell="AA35" activePane="bottomRight" state="frozen"/>
      <selection pane="topRight" activeCell="C1" sqref="C1"/>
      <selection pane="bottomLeft" activeCell="A5" sqref="A5"/>
      <selection pane="bottomRight" activeCell="B53" sqref="B53"/>
    </sheetView>
  </sheetViews>
  <sheetFormatPr defaultRowHeight="14.5" outlineLevelRow="1"/>
  <cols>
    <col min="1" max="1" width="13.33203125" bestFit="1" customWidth="1"/>
    <col min="2" max="2" width="65" customWidth="1"/>
    <col min="3" max="3" width="1.6640625" customWidth="1"/>
    <col min="4" max="11" width="17.75" bestFit="1" customWidth="1"/>
    <col min="12" max="12" width="18.08203125" bestFit="1" customWidth="1"/>
    <col min="13" max="13" width="17.75" bestFit="1" customWidth="1"/>
    <col min="14" max="14" width="16.6640625" bestFit="1" customWidth="1"/>
    <col min="15" max="23" width="17.75" bestFit="1" customWidth="1"/>
    <col min="24" max="24" width="17.4140625" bestFit="1" customWidth="1"/>
    <col min="25" max="25" width="17.75" bestFit="1" customWidth="1"/>
    <col min="26" max="26" width="16.6640625" bestFit="1" customWidth="1"/>
    <col min="27" max="27" width="17.75" bestFit="1" customWidth="1"/>
    <col min="28" max="39" width="18.08203125" bestFit="1" customWidth="1"/>
  </cols>
  <sheetData>
    <row r="3" spans="1:39" ht="14.4" customHeight="1">
      <c r="A3" s="457" t="s">
        <v>39</v>
      </c>
      <c r="B3" s="456" t="s">
        <v>19</v>
      </c>
      <c r="D3" s="733" t="s">
        <v>379</v>
      </c>
      <c r="E3" s="733" t="s">
        <v>380</v>
      </c>
      <c r="F3" s="733" t="s">
        <v>381</v>
      </c>
      <c r="G3" s="733" t="s">
        <v>382</v>
      </c>
      <c r="H3" s="733" t="s">
        <v>383</v>
      </c>
      <c r="I3" s="733" t="s">
        <v>384</v>
      </c>
      <c r="J3" s="733" t="s">
        <v>385</v>
      </c>
      <c r="K3" s="733" t="s">
        <v>386</v>
      </c>
      <c r="L3" s="733" t="s">
        <v>387</v>
      </c>
      <c r="M3" s="733" t="s">
        <v>388</v>
      </c>
      <c r="N3" s="733" t="s">
        <v>389</v>
      </c>
      <c r="O3" s="733" t="s">
        <v>390</v>
      </c>
      <c r="P3" s="6" t="s">
        <v>391</v>
      </c>
      <c r="Q3" s="6" t="s">
        <v>392</v>
      </c>
      <c r="R3" s="6" t="s">
        <v>393</v>
      </c>
      <c r="S3" s="6" t="s">
        <v>394</v>
      </c>
      <c r="T3" s="6" t="s">
        <v>395</v>
      </c>
      <c r="U3" s="6" t="s">
        <v>396</v>
      </c>
      <c r="V3" s="6" t="s">
        <v>397</v>
      </c>
      <c r="W3" s="6" t="s">
        <v>398</v>
      </c>
      <c r="X3" s="6" t="s">
        <v>399</v>
      </c>
      <c r="Y3" s="6" t="s">
        <v>400</v>
      </c>
      <c r="Z3" s="6" t="s">
        <v>401</v>
      </c>
      <c r="AA3" s="6" t="s">
        <v>402</v>
      </c>
      <c r="AB3" s="732" t="s">
        <v>43</v>
      </c>
      <c r="AC3" s="732" t="s">
        <v>44</v>
      </c>
      <c r="AD3" s="732" t="s">
        <v>45</v>
      </c>
      <c r="AE3" s="732" t="s">
        <v>46</v>
      </c>
      <c r="AF3" s="732" t="s">
        <v>47</v>
      </c>
      <c r="AG3" s="732" t="s">
        <v>48</v>
      </c>
      <c r="AH3" s="732" t="s">
        <v>49</v>
      </c>
      <c r="AI3" s="732" t="s">
        <v>50</v>
      </c>
      <c r="AJ3" s="732" t="s">
        <v>51</v>
      </c>
      <c r="AK3" s="732" t="s">
        <v>52</v>
      </c>
      <c r="AL3" s="732" t="s">
        <v>53</v>
      </c>
      <c r="AM3" s="732" t="s">
        <v>54</v>
      </c>
    </row>
    <row r="4" spans="1:39">
      <c r="A4" s="32">
        <v>1</v>
      </c>
      <c r="B4" s="33" t="s">
        <v>40</v>
      </c>
      <c r="D4" s="718"/>
      <c r="E4" s="718"/>
      <c r="F4" s="718"/>
      <c r="G4" s="718"/>
      <c r="H4" s="718"/>
      <c r="I4" s="718"/>
      <c r="J4" s="718"/>
      <c r="K4" s="718"/>
      <c r="L4" s="718"/>
      <c r="M4" s="718"/>
      <c r="N4" s="718"/>
      <c r="O4" s="718"/>
      <c r="P4" s="718">
        <v>3616.4013</v>
      </c>
      <c r="Q4" s="718">
        <v>6002.0379999999996</v>
      </c>
      <c r="R4" s="718">
        <v>4987.3979999999992</v>
      </c>
      <c r="S4" s="718">
        <v>4085.9469999999997</v>
      </c>
      <c r="T4" s="718">
        <v>4800.6903000000002</v>
      </c>
      <c r="U4" s="718">
        <v>4045.3530000000001</v>
      </c>
      <c r="V4" s="718">
        <v>4698.9850999999999</v>
      </c>
      <c r="W4" s="718">
        <v>5678.89</v>
      </c>
      <c r="X4" s="718">
        <v>3116.5699999999997</v>
      </c>
      <c r="Y4" s="718">
        <v>3435.779</v>
      </c>
      <c r="Z4" s="718">
        <v>3062.1559999999999</v>
      </c>
      <c r="AA4" s="718">
        <v>3190.5890000000004</v>
      </c>
      <c r="AB4" s="718">
        <f>'Consol PL-DTRG'!C5</f>
        <v>4318.222932676138</v>
      </c>
      <c r="AC4" s="718">
        <f>'Consol PL-DTRG'!D5</f>
        <v>4253.3145678240335</v>
      </c>
      <c r="AD4" s="718">
        <f>'Consol PL-DTRG'!E5</f>
        <v>4678.5574034757401</v>
      </c>
      <c r="AE4" s="718">
        <f>'Consol PL-DTRG'!F5</f>
        <v>4394.2315186767219</v>
      </c>
      <c r="AF4" s="718">
        <f>'Consol PL-DTRG'!G5</f>
        <v>4663.4364391825357</v>
      </c>
      <c r="AG4" s="718">
        <f>'Consol PL-DTRG'!H5</f>
        <v>4691.9521822275938</v>
      </c>
      <c r="AH4" s="718">
        <f>'Consol PL-DTRG'!I5</f>
        <v>4689.4225169732681</v>
      </c>
      <c r="AI4" s="718">
        <f>'Consol PL-DTRG'!J5</f>
        <v>4562.8494989087403</v>
      </c>
      <c r="AJ4" s="718">
        <f>'Consol PL-DTRG'!K5</f>
        <v>4774.6231018888848</v>
      </c>
      <c r="AK4" s="718">
        <f>'Consol PL-DTRG'!L5</f>
        <v>4468.6262974285746</v>
      </c>
      <c r="AL4" s="718">
        <f>'Consol PL-DTRG'!M5</f>
        <v>4720.2431243544625</v>
      </c>
      <c r="AM4" s="718">
        <f>'Consol PL-DTRG'!N5</f>
        <v>4784.5204185700313</v>
      </c>
    </row>
    <row r="5" spans="1:39" hidden="1" outlineLevel="1">
      <c r="A5" s="99" t="s">
        <v>73</v>
      </c>
      <c r="B5" s="100" t="s">
        <v>1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>
        <v>3616.4013</v>
      </c>
      <c r="Q5" s="98">
        <v>6002.0379999999996</v>
      </c>
      <c r="R5" s="98">
        <v>4987.3979999999992</v>
      </c>
      <c r="S5" s="98">
        <v>4085.9469999999997</v>
      </c>
      <c r="T5" s="98">
        <v>4800.6903000000002</v>
      </c>
      <c r="U5" s="98">
        <v>4045.3530000000001</v>
      </c>
      <c r="V5" s="98">
        <v>4698.9850999999999</v>
      </c>
      <c r="W5" s="98">
        <v>5678.89</v>
      </c>
      <c r="X5" s="98">
        <v>3116.5699999999997</v>
      </c>
      <c r="Y5" s="98">
        <v>3435.779</v>
      </c>
      <c r="Z5" s="98">
        <v>3062.1559999999999</v>
      </c>
      <c r="AA5" s="98">
        <v>3190.5890000000004</v>
      </c>
      <c r="AB5" s="98">
        <f>'Consol PL-DTRG'!C6</f>
        <v>4318.222932676138</v>
      </c>
      <c r="AC5" s="98">
        <f>'Consol PL-DTRG'!D6</f>
        <v>4253.3145678240335</v>
      </c>
      <c r="AD5" s="98">
        <f>'Consol PL-DTRG'!E6</f>
        <v>4678.5574034757401</v>
      </c>
      <c r="AE5" s="98">
        <f>'Consol PL-DTRG'!F6</f>
        <v>4394.2315186767219</v>
      </c>
      <c r="AF5" s="98">
        <f>'Consol PL-DTRG'!G6</f>
        <v>4663.4364391825357</v>
      </c>
      <c r="AG5" s="98">
        <f>'Consol PL-DTRG'!H6</f>
        <v>4691.9521822275938</v>
      </c>
      <c r="AH5" s="98">
        <f>'Consol PL-DTRG'!I6</f>
        <v>4689.4225169732681</v>
      </c>
      <c r="AI5" s="98">
        <f>'Consol PL-DTRG'!J6</f>
        <v>4562.8494989087403</v>
      </c>
      <c r="AJ5" s="98">
        <f>'Consol PL-DTRG'!K6</f>
        <v>4774.6231018888848</v>
      </c>
      <c r="AK5" s="98">
        <f>'Consol PL-DTRG'!L6</f>
        <v>4468.6262974285746</v>
      </c>
      <c r="AL5" s="98">
        <f>'Consol PL-DTRG'!M6</f>
        <v>4720.2431243544625</v>
      </c>
      <c r="AM5" s="98">
        <f>'Consol PL-DTRG'!N6</f>
        <v>4784.5204185700313</v>
      </c>
    </row>
    <row r="6" spans="1:39" hidden="1" outlineLevel="1">
      <c r="A6" s="99" t="s">
        <v>74</v>
      </c>
      <c r="B6" s="100" t="s">
        <v>2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Z6" s="98">
        <v>0</v>
      </c>
      <c r="AA6" s="98">
        <v>0</v>
      </c>
      <c r="AB6" s="98">
        <f>'Consol PL-DTRG'!C7</f>
        <v>0</v>
      </c>
      <c r="AC6" s="98">
        <f>'Consol PL-DTRG'!D7</f>
        <v>0</v>
      </c>
      <c r="AD6" s="98">
        <f>'Consol PL-DTRG'!E7</f>
        <v>0</v>
      </c>
      <c r="AE6" s="98">
        <f>'Consol PL-DTRG'!F7</f>
        <v>0</v>
      </c>
      <c r="AF6" s="98">
        <f>'Consol PL-DTRG'!G7</f>
        <v>0</v>
      </c>
      <c r="AG6" s="98">
        <f>'Consol PL-DTRG'!H7</f>
        <v>0</v>
      </c>
      <c r="AH6" s="98">
        <f>'Consol PL-DTRG'!I7</f>
        <v>0</v>
      </c>
      <c r="AI6" s="98">
        <f>'Consol PL-DTRG'!J7</f>
        <v>0</v>
      </c>
      <c r="AJ6" s="98">
        <f>'Consol PL-DTRG'!K7</f>
        <v>0</v>
      </c>
      <c r="AK6" s="98">
        <f>'Consol PL-DTRG'!L7</f>
        <v>0</v>
      </c>
      <c r="AL6" s="98">
        <f>'Consol PL-DTRG'!M7</f>
        <v>0</v>
      </c>
      <c r="AM6" s="98">
        <f>'Consol PL-DTRG'!N7</f>
        <v>0</v>
      </c>
    </row>
    <row r="7" spans="1:39" hidden="1" outlineLevel="1">
      <c r="A7" s="99" t="s">
        <v>75</v>
      </c>
      <c r="B7" s="100" t="s">
        <v>3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>
        <v>0</v>
      </c>
      <c r="Q7" s="98">
        <v>0</v>
      </c>
      <c r="R7" s="98">
        <v>0</v>
      </c>
      <c r="S7" s="98">
        <v>0</v>
      </c>
      <c r="T7" s="98">
        <v>0</v>
      </c>
      <c r="U7" s="98">
        <v>0</v>
      </c>
      <c r="V7" s="98">
        <v>0</v>
      </c>
      <c r="W7" s="98">
        <v>0</v>
      </c>
      <c r="X7" s="98">
        <v>0</v>
      </c>
      <c r="Y7" s="98">
        <v>0</v>
      </c>
      <c r="Z7" s="98">
        <v>0</v>
      </c>
      <c r="AA7" s="98">
        <v>0</v>
      </c>
      <c r="AB7" s="98">
        <f>'Consol PL-DTRG'!C8</f>
        <v>0</v>
      </c>
      <c r="AC7" s="98">
        <f>'Consol PL-DTRG'!D8</f>
        <v>0</v>
      </c>
      <c r="AD7" s="98">
        <f>'Consol PL-DTRG'!E8</f>
        <v>0</v>
      </c>
      <c r="AE7" s="98">
        <f>'Consol PL-DTRG'!F8</f>
        <v>0</v>
      </c>
      <c r="AF7" s="98">
        <f>'Consol PL-DTRG'!G8</f>
        <v>0</v>
      </c>
      <c r="AG7" s="98">
        <f>'Consol PL-DTRG'!H8</f>
        <v>0</v>
      </c>
      <c r="AH7" s="98">
        <f>'Consol PL-DTRG'!I8</f>
        <v>0</v>
      </c>
      <c r="AI7" s="98">
        <f>'Consol PL-DTRG'!J8</f>
        <v>0</v>
      </c>
      <c r="AJ7" s="98">
        <f>'Consol PL-DTRG'!K8</f>
        <v>0</v>
      </c>
      <c r="AK7" s="98">
        <f>'Consol PL-DTRG'!L8</f>
        <v>0</v>
      </c>
      <c r="AL7" s="98">
        <f>'Consol PL-DTRG'!M8</f>
        <v>0</v>
      </c>
      <c r="AM7" s="98">
        <f>'Consol PL-DTRG'!N8</f>
        <v>0</v>
      </c>
    </row>
    <row r="8" spans="1:39" ht="15" collapsed="1">
      <c r="A8" s="34">
        <v>2</v>
      </c>
      <c r="B8" s="35" t="s">
        <v>20</v>
      </c>
      <c r="D8" s="93">
        <v>130037940981</v>
      </c>
      <c r="E8" s="93">
        <v>84645791256</v>
      </c>
      <c r="F8" s="93">
        <v>115625416433</v>
      </c>
      <c r="G8" s="93">
        <v>117647266094</v>
      </c>
      <c r="H8" s="93">
        <v>128085507494</v>
      </c>
      <c r="I8" s="93">
        <v>95661572209</v>
      </c>
      <c r="J8" s="93">
        <v>74679662458</v>
      </c>
      <c r="K8" s="93">
        <v>178936926222</v>
      </c>
      <c r="L8" s="93">
        <v>180140886766</v>
      </c>
      <c r="M8" s="93">
        <v>143211413018</v>
      </c>
      <c r="N8" s="93">
        <v>97197472020</v>
      </c>
      <c r="O8" s="93">
        <v>128687104846</v>
      </c>
      <c r="P8" s="93">
        <v>114983880947</v>
      </c>
      <c r="Q8" s="93">
        <v>188477338235</v>
      </c>
      <c r="R8" s="93">
        <v>150716555192</v>
      </c>
      <c r="S8" s="93">
        <v>125691833422</v>
      </c>
      <c r="T8" s="93">
        <v>153638670524</v>
      </c>
      <c r="U8" s="93">
        <v>120188501523</v>
      </c>
      <c r="V8" s="93">
        <v>138030275641</v>
      </c>
      <c r="W8" s="93">
        <v>169482496928</v>
      </c>
      <c r="X8" s="93">
        <v>91503288423</v>
      </c>
      <c r="Y8" s="93">
        <v>109010675108</v>
      </c>
      <c r="Z8" s="93">
        <v>89868450986</v>
      </c>
      <c r="AA8" s="93">
        <v>100768484341</v>
      </c>
      <c r="AB8" s="93">
        <f>'Consol PL-DTRG'!C9</f>
        <v>129505341136.8568</v>
      </c>
      <c r="AC8" s="93">
        <f>'Consol PL-DTRG'!D9</f>
        <v>127974441177.86678</v>
      </c>
      <c r="AD8" s="93">
        <f>'Consol PL-DTRG'!E9</f>
        <v>141599491827.82724</v>
      </c>
      <c r="AE8" s="93">
        <f>'Consol PL-DTRG'!F9</f>
        <v>131782266518.60179</v>
      </c>
      <c r="AF8" s="93">
        <f>'Consol PL-DTRG'!G9</f>
        <v>140244307484.73706</v>
      </c>
      <c r="AG8" s="93">
        <f>'Consol PL-DTRG'!H9</f>
        <v>141409300219.24365</v>
      </c>
      <c r="AH8" s="93">
        <f>'Consol PL-DTRG'!I9</f>
        <v>145404057387.95996</v>
      </c>
      <c r="AI8" s="93">
        <f>'Consol PL-DTRG'!J9</f>
        <v>141276361518.14462</v>
      </c>
      <c r="AJ8" s="93">
        <f>'Consol PL-DTRG'!K9</f>
        <v>148196499542.28259</v>
      </c>
      <c r="AK8" s="93">
        <f>'Consol PL-DTRG'!L9</f>
        <v>137984481243.16364</v>
      </c>
      <c r="AL8" s="93">
        <f>'Consol PL-DTRG'!M9</f>
        <v>145929060338.8269</v>
      </c>
      <c r="AM8" s="93">
        <f>'Consol PL-DTRG'!N9</f>
        <v>147442013746.17145</v>
      </c>
    </row>
    <row r="9" spans="1:39" hidden="1" outlineLevel="1">
      <c r="A9" s="36" t="s">
        <v>62</v>
      </c>
      <c r="B9" s="37" t="s">
        <v>1</v>
      </c>
      <c r="D9" s="719"/>
      <c r="E9" s="719"/>
      <c r="F9" s="719"/>
      <c r="G9" s="719"/>
      <c r="H9" s="719"/>
      <c r="I9" s="719"/>
      <c r="J9" s="719"/>
      <c r="K9" s="719"/>
      <c r="L9" s="719"/>
      <c r="M9" s="719"/>
      <c r="N9" s="719"/>
      <c r="O9" s="719"/>
      <c r="P9" s="719">
        <v>114983880947</v>
      </c>
      <c r="Q9" s="719">
        <v>188477338235</v>
      </c>
      <c r="R9" s="719">
        <v>150716555192</v>
      </c>
      <c r="S9" s="719">
        <v>125691833422</v>
      </c>
      <c r="T9" s="719">
        <v>153638670524</v>
      </c>
      <c r="U9" s="719">
        <v>120188501523</v>
      </c>
      <c r="V9" s="719">
        <v>138030275641</v>
      </c>
      <c r="W9" s="719">
        <v>169482496928</v>
      </c>
      <c r="X9" s="719">
        <v>91503288423</v>
      </c>
      <c r="Y9" s="719">
        <v>109010675108</v>
      </c>
      <c r="Z9" s="719">
        <v>89868450986</v>
      </c>
      <c r="AA9" s="719">
        <v>100768484341</v>
      </c>
      <c r="AB9" s="719">
        <f>'Consol PL-DTRG'!C10</f>
        <v>129505341136.8568</v>
      </c>
      <c r="AC9" s="719">
        <f>'Consol PL-DTRG'!D10</f>
        <v>127974441177.86678</v>
      </c>
      <c r="AD9" s="719">
        <f>'Consol PL-DTRG'!E10</f>
        <v>141599491827.82724</v>
      </c>
      <c r="AE9" s="719">
        <f>'Consol PL-DTRG'!F10</f>
        <v>131782266518.60179</v>
      </c>
      <c r="AF9" s="719">
        <f>'Consol PL-DTRG'!G10</f>
        <v>140244307484.73706</v>
      </c>
      <c r="AG9" s="719">
        <f>'Consol PL-DTRG'!H10</f>
        <v>141409300219.24365</v>
      </c>
      <c r="AH9" s="719">
        <f>'Consol PL-DTRG'!I10</f>
        <v>145404057387.95996</v>
      </c>
      <c r="AI9" s="719">
        <f>'Consol PL-DTRG'!J10</f>
        <v>141276361518.14462</v>
      </c>
      <c r="AJ9" s="719">
        <f>'Consol PL-DTRG'!K10</f>
        <v>148196499542.28259</v>
      </c>
      <c r="AK9" s="719">
        <f>'Consol PL-DTRG'!L10</f>
        <v>137984481243.16364</v>
      </c>
      <c r="AL9" s="719">
        <f>'Consol PL-DTRG'!M10</f>
        <v>145929060338.8269</v>
      </c>
      <c r="AM9" s="719">
        <f>'Consol PL-DTRG'!N10</f>
        <v>147442013746.17145</v>
      </c>
    </row>
    <row r="10" spans="1:39" hidden="1" outlineLevel="1">
      <c r="A10" s="36" t="s">
        <v>65</v>
      </c>
      <c r="B10" s="37" t="s">
        <v>2</v>
      </c>
      <c r="D10" s="719"/>
      <c r="E10" s="719"/>
      <c r="F10" s="719"/>
      <c r="G10" s="719"/>
      <c r="H10" s="719"/>
      <c r="I10" s="719"/>
      <c r="J10" s="719"/>
      <c r="K10" s="719"/>
      <c r="L10" s="719"/>
      <c r="M10" s="719"/>
      <c r="N10" s="719"/>
      <c r="O10" s="719"/>
      <c r="P10" s="719">
        <v>0</v>
      </c>
      <c r="Q10" s="719">
        <v>0</v>
      </c>
      <c r="R10" s="719">
        <v>0</v>
      </c>
      <c r="S10" s="719">
        <v>0</v>
      </c>
      <c r="T10" s="719">
        <v>0</v>
      </c>
      <c r="U10" s="719">
        <v>0</v>
      </c>
      <c r="V10" s="719">
        <v>0</v>
      </c>
      <c r="W10" s="719">
        <v>0</v>
      </c>
      <c r="X10" s="719">
        <v>0</v>
      </c>
      <c r="Y10" s="719">
        <v>0</v>
      </c>
      <c r="Z10" s="719">
        <v>0</v>
      </c>
      <c r="AA10" s="719">
        <v>0</v>
      </c>
      <c r="AB10" s="719">
        <f>'Consol PL-DTRG'!C11</f>
        <v>0</v>
      </c>
      <c r="AC10" s="719">
        <f>'Consol PL-DTRG'!D11</f>
        <v>0</v>
      </c>
      <c r="AD10" s="719">
        <f>'Consol PL-DTRG'!E11</f>
        <v>0</v>
      </c>
      <c r="AE10" s="719">
        <f>'Consol PL-DTRG'!F11</f>
        <v>0</v>
      </c>
      <c r="AF10" s="719">
        <f>'Consol PL-DTRG'!G11</f>
        <v>0</v>
      </c>
      <c r="AG10" s="719">
        <f>'Consol PL-DTRG'!H11</f>
        <v>0</v>
      </c>
      <c r="AH10" s="719">
        <f>'Consol PL-DTRG'!I11</f>
        <v>0</v>
      </c>
      <c r="AI10" s="719">
        <f>'Consol PL-DTRG'!J11</f>
        <v>0</v>
      </c>
      <c r="AJ10" s="719">
        <f>'Consol PL-DTRG'!K11</f>
        <v>0</v>
      </c>
      <c r="AK10" s="719">
        <f>'Consol PL-DTRG'!L11</f>
        <v>0</v>
      </c>
      <c r="AL10" s="719">
        <f>'Consol PL-DTRG'!M11</f>
        <v>0</v>
      </c>
      <c r="AM10" s="719">
        <f>'Consol PL-DTRG'!N11</f>
        <v>0</v>
      </c>
    </row>
    <row r="11" spans="1:39" hidden="1" outlineLevel="1">
      <c r="A11" s="36" t="s">
        <v>71</v>
      </c>
      <c r="B11" s="37" t="s">
        <v>3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Z11" s="52">
        <v>0</v>
      </c>
      <c r="AA11" s="52">
        <v>0</v>
      </c>
      <c r="AB11" s="52">
        <f>'Consol PL-DTRG'!C12</f>
        <v>0</v>
      </c>
      <c r="AC11" s="52">
        <f>'Consol PL-DTRG'!D12</f>
        <v>0</v>
      </c>
      <c r="AD11" s="52">
        <f>'Consol PL-DTRG'!E12</f>
        <v>0</v>
      </c>
      <c r="AE11" s="52">
        <f>'Consol PL-DTRG'!F12</f>
        <v>0</v>
      </c>
      <c r="AF11" s="52">
        <f>'Consol PL-DTRG'!G12</f>
        <v>0</v>
      </c>
      <c r="AG11" s="52">
        <f>'Consol PL-DTRG'!H12</f>
        <v>0</v>
      </c>
      <c r="AH11" s="52">
        <f>'Consol PL-DTRG'!I12</f>
        <v>0</v>
      </c>
      <c r="AI11" s="52">
        <f>'Consol PL-DTRG'!J12</f>
        <v>0</v>
      </c>
      <c r="AJ11" s="52">
        <f>'Consol PL-DTRG'!K12</f>
        <v>0</v>
      </c>
      <c r="AK11" s="52">
        <f>'Consol PL-DTRG'!L12</f>
        <v>0</v>
      </c>
      <c r="AL11" s="52">
        <f>'Consol PL-DTRG'!M12</f>
        <v>0</v>
      </c>
      <c r="AM11" s="52">
        <f>'Consol PL-DTRG'!N12</f>
        <v>0</v>
      </c>
    </row>
    <row r="12" spans="1:39" collapsed="1">
      <c r="A12" s="50">
        <v>3</v>
      </c>
      <c r="B12" s="91" t="s">
        <v>21</v>
      </c>
      <c r="D12" s="92">
        <v>0</v>
      </c>
      <c r="E12" s="92">
        <v>1166125000</v>
      </c>
      <c r="F12" s="92">
        <v>0</v>
      </c>
      <c r="G12" s="92">
        <v>0</v>
      </c>
      <c r="H12" s="92">
        <v>136455000</v>
      </c>
      <c r="I12" s="92">
        <v>0</v>
      </c>
      <c r="J12" s="92">
        <v>0</v>
      </c>
      <c r="K12" s="92">
        <v>6345077301</v>
      </c>
      <c r="L12" s="92">
        <v>4671587529</v>
      </c>
      <c r="M12" s="92">
        <v>2922205276</v>
      </c>
      <c r="N12" s="92">
        <v>49359030</v>
      </c>
      <c r="O12" s="92">
        <v>4680420540</v>
      </c>
      <c r="P12" s="92">
        <v>513935495</v>
      </c>
      <c r="Q12" s="92">
        <v>477877176</v>
      </c>
      <c r="R12" s="92">
        <v>477350452</v>
      </c>
      <c r="S12" s="92">
        <v>304590498</v>
      </c>
      <c r="T12" s="92">
        <v>1607115262</v>
      </c>
      <c r="U12" s="92">
        <v>708638196</v>
      </c>
      <c r="V12" s="92">
        <v>26953743</v>
      </c>
      <c r="W12" s="92">
        <v>1000293545</v>
      </c>
      <c r="X12" s="92">
        <v>6773818500</v>
      </c>
      <c r="Y12" s="92">
        <v>0</v>
      </c>
      <c r="Z12" s="92">
        <v>1479093000</v>
      </c>
      <c r="AA12" s="92">
        <v>1103092320</v>
      </c>
      <c r="AB12" s="92">
        <f>'Consol PL-DTRG'!C13</f>
        <v>0</v>
      </c>
      <c r="AC12" s="92">
        <f>'Consol PL-DTRG'!D13</f>
        <v>0</v>
      </c>
      <c r="AD12" s="92">
        <f>'Consol PL-DTRG'!E13</f>
        <v>0</v>
      </c>
      <c r="AE12" s="92">
        <f>'Consol PL-DTRG'!F13</f>
        <v>0</v>
      </c>
      <c r="AF12" s="92">
        <f>'Consol PL-DTRG'!G13</f>
        <v>0</v>
      </c>
      <c r="AG12" s="92">
        <f>'Consol PL-DTRG'!H13</f>
        <v>0</v>
      </c>
      <c r="AH12" s="92">
        <f>'Consol PL-DTRG'!I13</f>
        <v>0</v>
      </c>
      <c r="AI12" s="92">
        <f>'Consol PL-DTRG'!J13</f>
        <v>0</v>
      </c>
      <c r="AJ12" s="92">
        <f>'Consol PL-DTRG'!K13</f>
        <v>0</v>
      </c>
      <c r="AK12" s="92">
        <f>'Consol PL-DTRG'!L13</f>
        <v>0</v>
      </c>
      <c r="AL12" s="92">
        <f>'Consol PL-DTRG'!M13</f>
        <v>0</v>
      </c>
      <c r="AM12" s="92">
        <f>'Consol PL-DTRG'!N13</f>
        <v>0</v>
      </c>
    </row>
    <row r="13" spans="1:39" hidden="1" outlineLevel="1">
      <c r="A13" s="38" t="s">
        <v>63</v>
      </c>
      <c r="B13" s="39" t="s">
        <v>1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>
        <v>513935495</v>
      </c>
      <c r="Q13" s="54">
        <v>477877176</v>
      </c>
      <c r="R13" s="54">
        <v>477350452</v>
      </c>
      <c r="S13" s="54">
        <v>304590498</v>
      </c>
      <c r="T13" s="54">
        <v>1607115262</v>
      </c>
      <c r="U13" s="54">
        <v>708638196</v>
      </c>
      <c r="V13" s="54">
        <v>26953743</v>
      </c>
      <c r="W13" s="54">
        <v>1000293545</v>
      </c>
      <c r="X13" s="54">
        <v>6773818500</v>
      </c>
      <c r="Y13" s="54">
        <v>0</v>
      </c>
      <c r="Z13" s="54">
        <v>1479093000</v>
      </c>
      <c r="AA13" s="54">
        <v>1103092320</v>
      </c>
      <c r="AB13" s="54">
        <f>'Consol PL-DTRG'!C14</f>
        <v>0</v>
      </c>
      <c r="AC13" s="54">
        <f>'Consol PL-DTRG'!D14</f>
        <v>0</v>
      </c>
      <c r="AD13" s="54">
        <f>'Consol PL-DTRG'!E14</f>
        <v>0</v>
      </c>
      <c r="AE13" s="54">
        <f>'Consol PL-DTRG'!F14</f>
        <v>0</v>
      </c>
      <c r="AF13" s="54">
        <f>'Consol PL-DTRG'!G14</f>
        <v>0</v>
      </c>
      <c r="AG13" s="54">
        <f>'Consol PL-DTRG'!H14</f>
        <v>0</v>
      </c>
      <c r="AH13" s="54">
        <f>'Consol PL-DTRG'!I14</f>
        <v>0</v>
      </c>
      <c r="AI13" s="54">
        <f>'Consol PL-DTRG'!J14</f>
        <v>0</v>
      </c>
      <c r="AJ13" s="54">
        <f>'Consol PL-DTRG'!K14</f>
        <v>0</v>
      </c>
      <c r="AK13" s="54">
        <f>'Consol PL-DTRG'!L14</f>
        <v>0</v>
      </c>
      <c r="AL13" s="54">
        <f>'Consol PL-DTRG'!M14</f>
        <v>0</v>
      </c>
      <c r="AM13" s="54">
        <f>'Consol PL-DTRG'!N14</f>
        <v>0</v>
      </c>
    </row>
    <row r="14" spans="1:39" hidden="1" outlineLevel="1">
      <c r="A14" s="38" t="s">
        <v>66</v>
      </c>
      <c r="B14" s="39" t="s">
        <v>2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>
        <v>0</v>
      </c>
      <c r="Q14" s="54">
        <v>0</v>
      </c>
      <c r="R14" s="54">
        <v>0</v>
      </c>
      <c r="S14" s="54">
        <v>0</v>
      </c>
      <c r="T14" s="54">
        <v>0</v>
      </c>
      <c r="U14" s="54">
        <v>0</v>
      </c>
      <c r="V14" s="54">
        <v>0</v>
      </c>
      <c r="W14" s="54">
        <v>0</v>
      </c>
      <c r="X14" s="54">
        <v>0</v>
      </c>
      <c r="Y14" s="54">
        <v>0</v>
      </c>
      <c r="Z14" s="54">
        <v>0</v>
      </c>
      <c r="AA14" s="54">
        <v>0</v>
      </c>
      <c r="AB14" s="54">
        <f>'Consol PL-DTRG'!C15</f>
        <v>0</v>
      </c>
      <c r="AC14" s="54">
        <f>'Consol PL-DTRG'!D15</f>
        <v>0</v>
      </c>
      <c r="AD14" s="54">
        <f>'Consol PL-DTRG'!E15</f>
        <v>0</v>
      </c>
      <c r="AE14" s="54">
        <f>'Consol PL-DTRG'!F15</f>
        <v>0</v>
      </c>
      <c r="AF14" s="54">
        <f>'Consol PL-DTRG'!G15</f>
        <v>0</v>
      </c>
      <c r="AG14" s="54">
        <f>'Consol PL-DTRG'!H15</f>
        <v>0</v>
      </c>
      <c r="AH14" s="54">
        <f>'Consol PL-DTRG'!I15</f>
        <v>0</v>
      </c>
      <c r="AI14" s="54">
        <f>'Consol PL-DTRG'!J15</f>
        <v>0</v>
      </c>
      <c r="AJ14" s="54">
        <f>'Consol PL-DTRG'!K15</f>
        <v>0</v>
      </c>
      <c r="AK14" s="54">
        <f>'Consol PL-DTRG'!L15</f>
        <v>0</v>
      </c>
      <c r="AL14" s="54">
        <f>'Consol PL-DTRG'!M15</f>
        <v>0</v>
      </c>
      <c r="AM14" s="54">
        <f>'Consol PL-DTRG'!N15</f>
        <v>0</v>
      </c>
    </row>
    <row r="15" spans="1:39" hidden="1" outlineLevel="1">
      <c r="A15" s="55" t="s">
        <v>72</v>
      </c>
      <c r="B15" s="56" t="s">
        <v>3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>
        <v>0</v>
      </c>
      <c r="Q15" s="57">
        <v>0</v>
      </c>
      <c r="R15" s="57">
        <v>0</v>
      </c>
      <c r="S15" s="57">
        <v>0</v>
      </c>
      <c r="T15" s="57">
        <v>0</v>
      </c>
      <c r="U15" s="57">
        <v>0</v>
      </c>
      <c r="V15" s="57">
        <v>0</v>
      </c>
      <c r="W15" s="57">
        <v>0</v>
      </c>
      <c r="X15" s="57">
        <v>0</v>
      </c>
      <c r="Y15" s="57">
        <v>0</v>
      </c>
      <c r="Z15" s="57">
        <v>0</v>
      </c>
      <c r="AA15" s="57">
        <v>0</v>
      </c>
      <c r="AB15" s="57">
        <f>'Consol PL-DTRG'!C16</f>
        <v>0</v>
      </c>
      <c r="AC15" s="57">
        <f>'Consol PL-DTRG'!D16</f>
        <v>0</v>
      </c>
      <c r="AD15" s="57">
        <f>'Consol PL-DTRG'!E16</f>
        <v>0</v>
      </c>
      <c r="AE15" s="57">
        <f>'Consol PL-DTRG'!F16</f>
        <v>0</v>
      </c>
      <c r="AF15" s="57">
        <f>'Consol PL-DTRG'!G16</f>
        <v>0</v>
      </c>
      <c r="AG15" s="57">
        <f>'Consol PL-DTRG'!H16</f>
        <v>0</v>
      </c>
      <c r="AH15" s="57">
        <f>'Consol PL-DTRG'!I16</f>
        <v>0</v>
      </c>
      <c r="AI15" s="57">
        <f>'Consol PL-DTRG'!J16</f>
        <v>0</v>
      </c>
      <c r="AJ15" s="57">
        <f>'Consol PL-DTRG'!K16</f>
        <v>0</v>
      </c>
      <c r="AK15" s="57">
        <f>'Consol PL-DTRG'!L16</f>
        <v>0</v>
      </c>
      <c r="AL15" s="57">
        <f>'Consol PL-DTRG'!M16</f>
        <v>0</v>
      </c>
      <c r="AM15" s="57">
        <f>'Consol PL-DTRG'!N16</f>
        <v>0</v>
      </c>
    </row>
    <row r="16" spans="1:39" collapsed="1">
      <c r="A16" s="61">
        <v>4</v>
      </c>
      <c r="B16" s="62" t="s">
        <v>22</v>
      </c>
      <c r="D16" s="63">
        <v>130037940981</v>
      </c>
      <c r="E16" s="63">
        <v>83479666256</v>
      </c>
      <c r="F16" s="63">
        <v>115625416433</v>
      </c>
      <c r="G16" s="63">
        <v>117647266094</v>
      </c>
      <c r="H16" s="63">
        <v>127949052494</v>
      </c>
      <c r="I16" s="63">
        <v>95661572209</v>
      </c>
      <c r="J16" s="63">
        <v>74679662458</v>
      </c>
      <c r="K16" s="63">
        <v>172591848921</v>
      </c>
      <c r="L16" s="63">
        <v>175469299237</v>
      </c>
      <c r="M16" s="63">
        <v>140289207742</v>
      </c>
      <c r="N16" s="63">
        <v>97148112990</v>
      </c>
      <c r="O16" s="63">
        <v>124006684306</v>
      </c>
      <c r="P16" s="63">
        <v>114469945452</v>
      </c>
      <c r="Q16" s="63">
        <v>187999461059</v>
      </c>
      <c r="R16" s="63">
        <v>150239204740</v>
      </c>
      <c r="S16" s="63">
        <v>125387242924</v>
      </c>
      <c r="T16" s="63">
        <v>152031555262</v>
      </c>
      <c r="U16" s="63">
        <v>119479863327</v>
      </c>
      <c r="V16" s="63">
        <v>138003321898</v>
      </c>
      <c r="W16" s="63">
        <v>168482203383</v>
      </c>
      <c r="X16" s="63">
        <v>84729469923</v>
      </c>
      <c r="Y16" s="63">
        <v>109010675108</v>
      </c>
      <c r="Z16" s="63">
        <v>88389357986</v>
      </c>
      <c r="AA16" s="63">
        <v>99665392021</v>
      </c>
      <c r="AB16" s="63">
        <f>'Consol PL-DTRG'!C17</f>
        <v>129505341136.8568</v>
      </c>
      <c r="AC16" s="63">
        <f>'Consol PL-DTRG'!D17</f>
        <v>127974441177.86678</v>
      </c>
      <c r="AD16" s="63">
        <f>'Consol PL-DTRG'!E17</f>
        <v>141599491827.82724</v>
      </c>
      <c r="AE16" s="63">
        <f>'Consol PL-DTRG'!F17</f>
        <v>131782266518.60179</v>
      </c>
      <c r="AF16" s="63">
        <f>'Consol PL-DTRG'!G17</f>
        <v>140244307484.73706</v>
      </c>
      <c r="AG16" s="63">
        <f>'Consol PL-DTRG'!H17</f>
        <v>141409300219.24365</v>
      </c>
      <c r="AH16" s="63">
        <f>'Consol PL-DTRG'!I17</f>
        <v>145404057387.95996</v>
      </c>
      <c r="AI16" s="63">
        <f>'Consol PL-DTRG'!J17</f>
        <v>141276361518.14462</v>
      </c>
      <c r="AJ16" s="63">
        <f>'Consol PL-DTRG'!K17</f>
        <v>148196499542.28259</v>
      </c>
      <c r="AK16" s="63">
        <f>'Consol PL-DTRG'!L17</f>
        <v>137984481243.16364</v>
      </c>
      <c r="AL16" s="63">
        <f>'Consol PL-DTRG'!M17</f>
        <v>145929060338.8269</v>
      </c>
      <c r="AM16" s="63">
        <f>'Consol PL-DTRG'!N17</f>
        <v>147442013746.17145</v>
      </c>
    </row>
    <row r="17" spans="1:39" hidden="1" outlineLevel="1">
      <c r="A17" s="58" t="s">
        <v>58</v>
      </c>
      <c r="B17" s="59" t="s">
        <v>1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>
        <v>114469945452</v>
      </c>
      <c r="Q17" s="60">
        <v>187999461059</v>
      </c>
      <c r="R17" s="60">
        <v>150239204740</v>
      </c>
      <c r="S17" s="60">
        <v>125387242924</v>
      </c>
      <c r="T17" s="60">
        <v>152031555262</v>
      </c>
      <c r="U17" s="60">
        <v>119479863327</v>
      </c>
      <c r="V17" s="60">
        <v>138003321898</v>
      </c>
      <c r="W17" s="60">
        <v>168482203383</v>
      </c>
      <c r="X17" s="60">
        <v>84729469923</v>
      </c>
      <c r="Y17" s="60">
        <v>109010675108</v>
      </c>
      <c r="Z17" s="60">
        <v>88389357986</v>
      </c>
      <c r="AA17" s="60">
        <v>99665392021</v>
      </c>
      <c r="AB17" s="60">
        <f>'Consol PL-DTRG'!C18</f>
        <v>129505341136.8568</v>
      </c>
      <c r="AC17" s="60">
        <f>'Consol PL-DTRG'!D18</f>
        <v>127974441177.86678</v>
      </c>
      <c r="AD17" s="60">
        <f>'Consol PL-DTRG'!E18</f>
        <v>141599491827.82724</v>
      </c>
      <c r="AE17" s="60">
        <f>'Consol PL-DTRG'!F18</f>
        <v>131782266518.60179</v>
      </c>
      <c r="AF17" s="60">
        <f>'Consol PL-DTRG'!G18</f>
        <v>140244307484.73706</v>
      </c>
      <c r="AG17" s="60">
        <f>'Consol PL-DTRG'!H18</f>
        <v>141409300219.24365</v>
      </c>
      <c r="AH17" s="60">
        <f>'Consol PL-DTRG'!I18</f>
        <v>145404057387.95996</v>
      </c>
      <c r="AI17" s="60">
        <f>'Consol PL-DTRG'!J18</f>
        <v>141276361518.14462</v>
      </c>
      <c r="AJ17" s="60">
        <f>'Consol PL-DTRG'!K18</f>
        <v>148196499542.28259</v>
      </c>
      <c r="AK17" s="60">
        <f>'Consol PL-DTRG'!L18</f>
        <v>137984481243.16364</v>
      </c>
      <c r="AL17" s="60">
        <f>'Consol PL-DTRG'!M18</f>
        <v>145929060338.8269</v>
      </c>
      <c r="AM17" s="60">
        <f>'Consol PL-DTRG'!N18</f>
        <v>147442013746.17145</v>
      </c>
    </row>
    <row r="18" spans="1:39" hidden="1" outlineLevel="1">
      <c r="A18" s="40" t="s">
        <v>59</v>
      </c>
      <c r="B18" s="41" t="s">
        <v>2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f>'Consol PL-DTRG'!C19</f>
        <v>0</v>
      </c>
      <c r="AC18" s="42">
        <f>'Consol PL-DTRG'!D19</f>
        <v>0</v>
      </c>
      <c r="AD18" s="42">
        <f>'Consol PL-DTRG'!E19</f>
        <v>0</v>
      </c>
      <c r="AE18" s="42">
        <f>'Consol PL-DTRG'!F19</f>
        <v>0</v>
      </c>
      <c r="AF18" s="42">
        <f>'Consol PL-DTRG'!G19</f>
        <v>0</v>
      </c>
      <c r="AG18" s="42">
        <f>'Consol PL-DTRG'!H19</f>
        <v>0</v>
      </c>
      <c r="AH18" s="42">
        <f>'Consol PL-DTRG'!I19</f>
        <v>0</v>
      </c>
      <c r="AI18" s="42">
        <f>'Consol PL-DTRG'!J19</f>
        <v>0</v>
      </c>
      <c r="AJ18" s="42">
        <f>'Consol PL-DTRG'!K19</f>
        <v>0</v>
      </c>
      <c r="AK18" s="42">
        <f>'Consol PL-DTRG'!L19</f>
        <v>0</v>
      </c>
      <c r="AL18" s="42">
        <f>'Consol PL-DTRG'!M19</f>
        <v>0</v>
      </c>
      <c r="AM18" s="42">
        <f>'Consol PL-DTRG'!N19</f>
        <v>0</v>
      </c>
    </row>
    <row r="19" spans="1:39" hidden="1" outlineLevel="1">
      <c r="A19" s="40" t="s">
        <v>60</v>
      </c>
      <c r="B19" s="41" t="s">
        <v>3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f>'Consol PL-DTRG'!C20</f>
        <v>0</v>
      </c>
      <c r="AC19" s="42">
        <f>'Consol PL-DTRG'!D20</f>
        <v>0</v>
      </c>
      <c r="AD19" s="42">
        <f>'Consol PL-DTRG'!E20</f>
        <v>0</v>
      </c>
      <c r="AE19" s="42">
        <f>'Consol PL-DTRG'!F20</f>
        <v>0</v>
      </c>
      <c r="AF19" s="42">
        <f>'Consol PL-DTRG'!G20</f>
        <v>0</v>
      </c>
      <c r="AG19" s="42">
        <f>'Consol PL-DTRG'!H20</f>
        <v>0</v>
      </c>
      <c r="AH19" s="42">
        <f>'Consol PL-DTRG'!I20</f>
        <v>0</v>
      </c>
      <c r="AI19" s="42">
        <f>'Consol PL-DTRG'!J20</f>
        <v>0</v>
      </c>
      <c r="AJ19" s="42">
        <f>'Consol PL-DTRG'!K20</f>
        <v>0</v>
      </c>
      <c r="AK19" s="42">
        <f>'Consol PL-DTRG'!L20</f>
        <v>0</v>
      </c>
      <c r="AL19" s="42">
        <f>'Consol PL-DTRG'!M20</f>
        <v>0</v>
      </c>
      <c r="AM19" s="42">
        <f>'Consol PL-DTRG'!N20</f>
        <v>0</v>
      </c>
    </row>
    <row r="20" spans="1:39" collapsed="1">
      <c r="A20" s="50">
        <v>5</v>
      </c>
      <c r="B20" s="91" t="s">
        <v>23</v>
      </c>
      <c r="D20" s="92">
        <v>120065457134</v>
      </c>
      <c r="E20" s="92">
        <v>83995360322</v>
      </c>
      <c r="F20" s="92">
        <v>109165390822</v>
      </c>
      <c r="G20" s="92">
        <v>105655387173</v>
      </c>
      <c r="H20" s="92">
        <v>125507167216</v>
      </c>
      <c r="I20" s="92">
        <v>98477492806</v>
      </c>
      <c r="J20" s="92">
        <v>80393606783</v>
      </c>
      <c r="K20" s="92">
        <v>167228552558</v>
      </c>
      <c r="L20" s="92">
        <v>152083786508</v>
      </c>
      <c r="M20" s="92">
        <v>135696763155</v>
      </c>
      <c r="N20" s="92">
        <v>92718574459</v>
      </c>
      <c r="O20" s="92">
        <v>-4137926966</v>
      </c>
      <c r="P20" s="92">
        <v>97986840184</v>
      </c>
      <c r="Q20" s="92">
        <v>155693128574</v>
      </c>
      <c r="R20" s="92">
        <v>129053280797</v>
      </c>
      <c r="S20" s="92">
        <v>108257691858</v>
      </c>
      <c r="T20" s="92">
        <v>128243821985</v>
      </c>
      <c r="U20" s="92">
        <v>104299018492</v>
      </c>
      <c r="V20" s="92">
        <v>124260554437</v>
      </c>
      <c r="W20" s="92">
        <v>150760754200</v>
      </c>
      <c r="X20" s="92">
        <v>81919659396</v>
      </c>
      <c r="Y20" s="92">
        <v>98239930365</v>
      </c>
      <c r="Z20" s="92">
        <v>80093235439</v>
      </c>
      <c r="AA20" s="92">
        <v>67988837293</v>
      </c>
      <c r="AB20" s="92">
        <f ca="1">'Consol PL-DTRG'!C21</f>
        <v>111212601628.50815</v>
      </c>
      <c r="AC20" s="92">
        <f ca="1">'Consol PL-DTRG'!D21</f>
        <v>114873436029.88548</v>
      </c>
      <c r="AD20" s="92">
        <f ca="1">'Consol PL-DTRG'!E21</f>
        <v>119776625428.51089</v>
      </c>
      <c r="AE20" s="92">
        <f ca="1">'Consol PL-DTRG'!F21</f>
        <v>112734712585.69229</v>
      </c>
      <c r="AF20" s="92">
        <f ca="1">'Consol PL-DTRG'!G21</f>
        <v>117873445499.87956</v>
      </c>
      <c r="AG20" s="92">
        <f ca="1">'Consol PL-DTRG'!H21</f>
        <v>120582645115.09016</v>
      </c>
      <c r="AH20" s="92">
        <f ca="1">'Consol PL-DTRG'!I21</f>
        <v>117808728768.74878</v>
      </c>
      <c r="AI20" s="92">
        <f ca="1">'Consol PL-DTRG'!J21</f>
        <v>113823626530.15967</v>
      </c>
      <c r="AJ20" s="92">
        <f ca="1">'Consol PL-DTRG'!K21</f>
        <v>120288847831.57895</v>
      </c>
      <c r="AK20" s="92">
        <f ca="1">'Consol PL-DTRG'!L21</f>
        <v>111590385881.41919</v>
      </c>
      <c r="AL20" s="92">
        <f ca="1">'Consol PL-DTRG'!M21</f>
        <v>118503066388.11282</v>
      </c>
      <c r="AM20" s="92">
        <f ca="1">'Consol PL-DTRG'!N21</f>
        <v>120122559977.8511</v>
      </c>
    </row>
    <row r="21" spans="1:39" hidden="1" outlineLevel="1">
      <c r="A21" s="38" t="s">
        <v>64</v>
      </c>
      <c r="B21" s="39" t="s">
        <v>1</v>
      </c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>
        <v>96300770078</v>
      </c>
      <c r="Q21" s="73">
        <v>154570631505</v>
      </c>
      <c r="R21" s="73">
        <v>129509315823</v>
      </c>
      <c r="S21" s="73">
        <v>109525077013</v>
      </c>
      <c r="T21" s="73">
        <v>129914451733</v>
      </c>
      <c r="U21" s="73">
        <v>106614505132</v>
      </c>
      <c r="V21" s="73">
        <v>128694704995</v>
      </c>
      <c r="W21" s="73">
        <v>155128887377</v>
      </c>
      <c r="X21" s="73">
        <v>83081045429</v>
      </c>
      <c r="Y21" s="73">
        <v>99996863451</v>
      </c>
      <c r="Z21" s="73">
        <v>80689028389</v>
      </c>
      <c r="AA21" s="73">
        <v>70066064909</v>
      </c>
      <c r="AB21" s="73">
        <f>'Consol PL-DTRG'!C22</f>
        <v>111573152812.80542</v>
      </c>
      <c r="AC21" s="73">
        <f>'Consol PL-DTRG'!D22</f>
        <v>114942222906.7661</v>
      </c>
      <c r="AD21" s="73">
        <f>'Consol PL-DTRG'!E22</f>
        <v>120213688326.59052</v>
      </c>
      <c r="AE21" s="73">
        <f>'Consol PL-DTRG'!F22</f>
        <v>113297880731.08926</v>
      </c>
      <c r="AF21" s="73">
        <f>'Consol PL-DTRG'!G22</f>
        <v>119515804418.96034</v>
      </c>
      <c r="AG21" s="73">
        <f>'Consol PL-DTRG'!H22</f>
        <v>121320057022.57965</v>
      </c>
      <c r="AH21" s="73">
        <f>'Consol PL-DTRG'!I22</f>
        <v>119663072666.45052</v>
      </c>
      <c r="AI21" s="73">
        <f>'Consol PL-DTRG'!J22</f>
        <v>116065893729.5943</v>
      </c>
      <c r="AJ21" s="73">
        <f>'Consol PL-DTRG'!K22</f>
        <v>122487196346.25676</v>
      </c>
      <c r="AK21" s="73">
        <f>'Consol PL-DTRG'!L22</f>
        <v>113826945063.91806</v>
      </c>
      <c r="AL21" s="73">
        <f>'Consol PL-DTRG'!M22</f>
        <v>120726874069.98517</v>
      </c>
      <c r="AM21" s="73">
        <f>'Consol PL-DTRG'!N22</f>
        <v>122409403433.51817</v>
      </c>
    </row>
    <row r="22" spans="1:39" hidden="1" outlineLevel="1">
      <c r="A22" s="38" t="s">
        <v>67</v>
      </c>
      <c r="B22" s="39" t="s">
        <v>2</v>
      </c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>
        <v>1260212730.5116901</v>
      </c>
      <c r="Q22" s="73">
        <v>1122497069</v>
      </c>
      <c r="R22" s="73">
        <v>-456035026</v>
      </c>
      <c r="S22" s="73">
        <v>-1267385155</v>
      </c>
      <c r="T22" s="73">
        <v>-1670629748</v>
      </c>
      <c r="U22" s="73">
        <v>-2315486640</v>
      </c>
      <c r="V22" s="73">
        <v>-4434150558</v>
      </c>
      <c r="W22" s="73">
        <v>-4368133177</v>
      </c>
      <c r="X22" s="73">
        <v>-1161386033</v>
      </c>
      <c r="Y22" s="73">
        <v>-1756933086</v>
      </c>
      <c r="Z22" s="73">
        <v>-595792950</v>
      </c>
      <c r="AA22" s="73">
        <v>-2077227616</v>
      </c>
      <c r="AB22" s="73">
        <f>'Consol PL-DTRG'!C23</f>
        <v>-1442204737.1890564</v>
      </c>
      <c r="AC22" s="73">
        <f>'Consol PL-DTRG'!D23</f>
        <v>-275147507.52250671</v>
      </c>
      <c r="AD22" s="73">
        <f>'Consol PL-DTRG'!E23</f>
        <v>-1748251592.3185196</v>
      </c>
      <c r="AE22" s="73">
        <f>'Consol PL-DTRG'!F23</f>
        <v>-2252672581.5878906</v>
      </c>
      <c r="AF22" s="73">
        <f>'Consol PL-DTRG'!G23</f>
        <v>-2242821464.7559357</v>
      </c>
      <c r="AG22" s="73">
        <f>'Consol PL-DTRG'!H23</f>
        <v>-2124205107.3903961</v>
      </c>
      <c r="AH22" s="73">
        <f>'Consol PL-DTRG'!I23</f>
        <v>-2172620813.8513947</v>
      </c>
      <c r="AI22" s="73">
        <f>'Consol PL-DTRG'!J23</f>
        <v>-2211051052.9748383</v>
      </c>
      <c r="AJ22" s="73">
        <f>'Consol PL-DTRG'!K23</f>
        <v>-2064929664.4434814</v>
      </c>
      <c r="AK22" s="73">
        <f>'Consol PL-DTRG'!L23</f>
        <v>-2573621407.8242722</v>
      </c>
      <c r="AL22" s="73">
        <f>'Consol PL-DTRG'!M23</f>
        <v>-2377368285.9351807</v>
      </c>
      <c r="AM22" s="73">
        <f>'Consol PL-DTRG'!N23</f>
        <v>-2514220663.7437286</v>
      </c>
    </row>
    <row r="23" spans="1:39" hidden="1" outlineLevel="1">
      <c r="A23" s="38" t="s">
        <v>68</v>
      </c>
      <c r="B23" s="39" t="s">
        <v>3</v>
      </c>
      <c r="D23" s="720"/>
      <c r="E23" s="720"/>
      <c r="F23" s="720"/>
      <c r="G23" s="720"/>
      <c r="H23" s="720"/>
      <c r="I23" s="720"/>
      <c r="J23" s="720"/>
      <c r="K23" s="720"/>
      <c r="L23" s="720"/>
      <c r="M23" s="720"/>
      <c r="N23" s="720"/>
      <c r="O23" s="720"/>
      <c r="P23" s="720">
        <v>425857375.48830986</v>
      </c>
      <c r="Q23" s="720">
        <v>0</v>
      </c>
      <c r="R23" s="720">
        <v>0</v>
      </c>
      <c r="S23" s="720">
        <v>0</v>
      </c>
      <c r="T23" s="720">
        <v>0</v>
      </c>
      <c r="U23" s="720">
        <v>0</v>
      </c>
      <c r="V23" s="720">
        <v>0</v>
      </c>
      <c r="W23" s="720">
        <v>0</v>
      </c>
      <c r="X23" s="720">
        <v>0</v>
      </c>
      <c r="Y23" s="720">
        <v>0</v>
      </c>
      <c r="Z23" s="720">
        <v>0</v>
      </c>
      <c r="AA23" s="720">
        <v>0</v>
      </c>
      <c r="AB23" s="720">
        <f>'Consol PL-DTRG'!C24</f>
        <v>0</v>
      </c>
      <c r="AC23" s="720">
        <f>'Consol PL-DTRG'!D24</f>
        <v>0</v>
      </c>
      <c r="AD23" s="720">
        <f>'Consol PL-DTRG'!E24</f>
        <v>0</v>
      </c>
      <c r="AE23" s="720">
        <f>'Consol PL-DTRG'!F24</f>
        <v>0</v>
      </c>
      <c r="AF23" s="720">
        <f>'Consol PL-DTRG'!G24</f>
        <v>0</v>
      </c>
      <c r="AG23" s="720">
        <f>'Consol PL-DTRG'!H24</f>
        <v>0</v>
      </c>
      <c r="AH23" s="720">
        <f>'Consol PL-DTRG'!I24</f>
        <v>0</v>
      </c>
      <c r="AI23" s="720">
        <f>'Consol PL-DTRG'!J24</f>
        <v>0</v>
      </c>
      <c r="AJ23" s="720">
        <f>'Consol PL-DTRG'!K24</f>
        <v>0</v>
      </c>
      <c r="AK23" s="720">
        <f>'Consol PL-DTRG'!L24</f>
        <v>0</v>
      </c>
      <c r="AL23" s="720">
        <f>'Consol PL-DTRG'!M24</f>
        <v>0</v>
      </c>
      <c r="AM23" s="720">
        <f>'Consol PL-DTRG'!N24</f>
        <v>0</v>
      </c>
    </row>
    <row r="24" spans="1:39" hidden="1" outlineLevel="1">
      <c r="A24" s="43" t="s">
        <v>6</v>
      </c>
      <c r="B24" s="44" t="s">
        <v>4</v>
      </c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1"/>
      <c r="P24" s="721"/>
      <c r="Q24" s="721"/>
      <c r="R24" s="721"/>
      <c r="S24" s="721"/>
      <c r="T24" s="721"/>
      <c r="U24" s="721"/>
      <c r="V24" s="721"/>
      <c r="W24" s="721"/>
      <c r="X24" s="721"/>
      <c r="Y24" s="721"/>
      <c r="Z24" s="721"/>
      <c r="AA24" s="721"/>
      <c r="AB24" s="721">
        <f>'Consol PL-DTRG'!C25</f>
        <v>0</v>
      </c>
      <c r="AC24" s="721">
        <f ca="1">'Consol PL-DTRG'!D25</f>
        <v>1081653552.8917923</v>
      </c>
      <c r="AD24" s="721">
        <f ca="1">'Consol PL-DTRG'!E25</f>
        <v>1288014183.5336723</v>
      </c>
      <c r="AE24" s="721">
        <f ca="1">'Consol PL-DTRG'!F25</f>
        <v>2599202877.772562</v>
      </c>
      <c r="AF24" s="721">
        <f ca="1">'Consol PL-DTRG'!G25</f>
        <v>4288707313.96348</v>
      </c>
      <c r="AG24" s="721">
        <f ca="1">'Consol PL-DTRG'!H25</f>
        <v>4889169859.6386395</v>
      </c>
      <c r="AH24" s="721">
        <f ca="1">'Consol PL-DTRG'!I25</f>
        <v>6275963059.5395565</v>
      </c>
      <c r="AI24" s="721">
        <f ca="1">'Consol PL-DTRG'!J25</f>
        <v>6594239975.6892128</v>
      </c>
      <c r="AJ24" s="721">
        <f ca="1">'Consol PL-DTRG'!K25</f>
        <v>6563023829.2294235</v>
      </c>
      <c r="AK24" s="721">
        <f ca="1">'Consol PL-DTRG'!L25</f>
        <v>6429604978.9950829</v>
      </c>
      <c r="AL24" s="721">
        <f ca="1">'Consol PL-DTRG'!M25</f>
        <v>6766667204.3204899</v>
      </c>
      <c r="AM24" s="721">
        <f ca="1">'Consol PL-DTRG'!N25</f>
        <v>6920227808.3833294</v>
      </c>
    </row>
    <row r="25" spans="1:39" hidden="1" outlineLevel="1">
      <c r="A25" s="64" t="s">
        <v>7</v>
      </c>
      <c r="B25" s="65" t="s">
        <v>5</v>
      </c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>
        <f ca="1">'Consol PL-DTRG'!C26</f>
        <v>1081653552.8917923</v>
      </c>
      <c r="AC25" s="94">
        <f ca="1">'Consol PL-DTRG'!D26</f>
        <v>1288014183.5336723</v>
      </c>
      <c r="AD25" s="94">
        <f ca="1">'Consol PL-DTRG'!E26</f>
        <v>2599202877.772562</v>
      </c>
      <c r="AE25" s="94">
        <f ca="1">'Consol PL-DTRG'!F26</f>
        <v>4288707313.96348</v>
      </c>
      <c r="AF25" s="94">
        <f ca="1">'Consol PL-DTRG'!G26</f>
        <v>4889169859.6386395</v>
      </c>
      <c r="AG25" s="94">
        <f ca="1">'Consol PL-DTRG'!H26</f>
        <v>6275963059.5395565</v>
      </c>
      <c r="AH25" s="94">
        <f ca="1">'Consol PL-DTRG'!I26</f>
        <v>6594239975.6892128</v>
      </c>
      <c r="AI25" s="94">
        <f ca="1">'Consol PL-DTRG'!J26</f>
        <v>6563023829.2294235</v>
      </c>
      <c r="AJ25" s="94">
        <f ca="1">'Consol PL-DTRG'!K26</f>
        <v>6429604978.9950829</v>
      </c>
      <c r="AK25" s="94">
        <f ca="1">'Consol PL-DTRG'!L26</f>
        <v>6766667204.3204899</v>
      </c>
      <c r="AL25" s="94">
        <f ca="1">'Consol PL-DTRG'!M26</f>
        <v>6920227808.3833294</v>
      </c>
      <c r="AM25" s="94">
        <f ca="1">'Consol PL-DTRG'!N26</f>
        <v>7147605016.4599972</v>
      </c>
    </row>
    <row r="26" spans="1:39" collapsed="1">
      <c r="A26" s="66">
        <v>6</v>
      </c>
      <c r="B26" s="62" t="s">
        <v>24</v>
      </c>
      <c r="D26" s="95">
        <v>9972483847</v>
      </c>
      <c r="E26" s="95">
        <v>-515694066</v>
      </c>
      <c r="F26" s="95">
        <v>6460025611</v>
      </c>
      <c r="G26" s="95">
        <v>11991878921</v>
      </c>
      <c r="H26" s="95">
        <v>2441885278</v>
      </c>
      <c r="I26" s="95">
        <v>-2815920597</v>
      </c>
      <c r="J26" s="95">
        <v>-5713944325</v>
      </c>
      <c r="K26" s="95">
        <v>5363296363</v>
      </c>
      <c r="L26" s="95">
        <v>23385512729</v>
      </c>
      <c r="M26" s="95">
        <v>4592444587</v>
      </c>
      <c r="N26" s="95">
        <v>4429538531</v>
      </c>
      <c r="O26" s="95">
        <v>128144611272</v>
      </c>
      <c r="P26" s="95">
        <v>16483105268</v>
      </c>
      <c r="Q26" s="95">
        <v>32306332485</v>
      </c>
      <c r="R26" s="95">
        <v>21185923943</v>
      </c>
      <c r="S26" s="95">
        <v>17129551066</v>
      </c>
      <c r="T26" s="95">
        <v>23787733277</v>
      </c>
      <c r="U26" s="95">
        <v>15180844835</v>
      </c>
      <c r="V26" s="95">
        <v>13742767461</v>
      </c>
      <c r="W26" s="95">
        <v>17721449183</v>
      </c>
      <c r="X26" s="95">
        <v>2809810527</v>
      </c>
      <c r="Y26" s="95">
        <v>10770744743</v>
      </c>
      <c r="Z26" s="95">
        <v>8296122547</v>
      </c>
      <c r="AA26" s="95">
        <v>31676554728</v>
      </c>
      <c r="AB26" s="95">
        <f ca="1">'Consol PL-DTRG'!C27</f>
        <v>18292739508.34864</v>
      </c>
      <c r="AC26" s="95">
        <f ca="1">'Consol PL-DTRG'!D27</f>
        <v>13101005147.981304</v>
      </c>
      <c r="AD26" s="95">
        <f ca="1">'Consol PL-DTRG'!E27</f>
        <v>21822866399.316353</v>
      </c>
      <c r="AE26" s="95">
        <f ca="1">'Consol PL-DTRG'!F27</f>
        <v>19047553932.9095</v>
      </c>
      <c r="AF26" s="95">
        <f ca="1">'Consol PL-DTRG'!G27</f>
        <v>22370861984.857491</v>
      </c>
      <c r="AG26" s="95">
        <f ca="1">'Consol PL-DTRG'!H27</f>
        <v>20826655104.153481</v>
      </c>
      <c r="AH26" s="95">
        <f ca="1">'Consol PL-DTRG'!I27</f>
        <v>27595328619.211185</v>
      </c>
      <c r="AI26" s="95">
        <f ca="1">'Consol PL-DTRG'!J27</f>
        <v>27452734987.984951</v>
      </c>
      <c r="AJ26" s="95">
        <f ca="1">'Consol PL-DTRG'!K27</f>
        <v>27907651710.703655</v>
      </c>
      <c r="AK26" s="95">
        <f ca="1">'Consol PL-DTRG'!L27</f>
        <v>26394095361.744438</v>
      </c>
      <c r="AL26" s="95">
        <f ca="1">'Consol PL-DTRG'!M27</f>
        <v>27425993950.714073</v>
      </c>
      <c r="AM26" s="95">
        <f ca="1">'Consol PL-DTRG'!N27</f>
        <v>27319453768.320335</v>
      </c>
    </row>
    <row r="27" spans="1:39" hidden="1" outlineLevel="1">
      <c r="A27" s="74" t="s">
        <v>8</v>
      </c>
      <c r="B27" s="59" t="s">
        <v>1</v>
      </c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>
        <v>18169175374</v>
      </c>
      <c r="Q27" s="60">
        <v>33428829554</v>
      </c>
      <c r="R27" s="60">
        <v>20729888917</v>
      </c>
      <c r="S27" s="60">
        <v>15862165911</v>
      </c>
      <c r="T27" s="60">
        <v>22117103529</v>
      </c>
      <c r="U27" s="60">
        <v>12865358195</v>
      </c>
      <c r="V27" s="60">
        <v>9308616903</v>
      </c>
      <c r="W27" s="60">
        <v>13353316006</v>
      </c>
      <c r="X27" s="60">
        <v>1648424494</v>
      </c>
      <c r="Y27" s="60">
        <v>9013811657</v>
      </c>
      <c r="Z27" s="60">
        <v>7700329597</v>
      </c>
      <c r="AA27" s="60">
        <v>29599327112</v>
      </c>
      <c r="AB27" s="60">
        <f ca="1">'Consol PL-DTRG'!C28</f>
        <v>16850534771.159584</v>
      </c>
      <c r="AC27" s="60">
        <f ca="1">'Consol PL-DTRG'!D28</f>
        <v>12825857640.458797</v>
      </c>
      <c r="AD27" s="60">
        <f ca="1">'Consol PL-DTRG'!E28</f>
        <v>20074614806.997833</v>
      </c>
      <c r="AE27" s="60">
        <f ca="1">'Consol PL-DTRG'!F28</f>
        <v>16794881351.321608</v>
      </c>
      <c r="AF27" s="60">
        <f ca="1">'Consol PL-DTRG'!G28</f>
        <v>20128040520.101555</v>
      </c>
      <c r="AG27" s="60">
        <f ca="1">'Consol PL-DTRG'!H28</f>
        <v>18702449996.763084</v>
      </c>
      <c r="AH27" s="60">
        <f ca="1">'Consol PL-DTRG'!I28</f>
        <v>25422707805.359791</v>
      </c>
      <c r="AI27" s="60">
        <f ca="1">'Consol PL-DTRG'!J28</f>
        <v>25241683935.010113</v>
      </c>
      <c r="AJ27" s="60">
        <f ca="1">'Consol PL-DTRG'!K28</f>
        <v>25842722046.260174</v>
      </c>
      <c r="AK27" s="60">
        <f ca="1">'Consol PL-DTRG'!L28</f>
        <v>23820473953.920166</v>
      </c>
      <c r="AL27" s="60">
        <f ca="1">'Consol PL-DTRG'!M28</f>
        <v>25048625664.778893</v>
      </c>
      <c r="AM27" s="60">
        <f ca="1">'Consol PL-DTRG'!N28</f>
        <v>24805233104.576607</v>
      </c>
    </row>
    <row r="28" spans="1:39" ht="15.5" hidden="1" outlineLevel="1">
      <c r="A28" s="75" t="s">
        <v>9</v>
      </c>
      <c r="B28" s="41" t="s">
        <v>2</v>
      </c>
      <c r="D28" s="722"/>
      <c r="E28" s="722"/>
      <c r="F28" s="722"/>
      <c r="G28" s="722"/>
      <c r="H28" s="722"/>
      <c r="I28" s="722"/>
      <c r="J28" s="722"/>
      <c r="K28" s="722"/>
      <c r="L28" s="722"/>
      <c r="M28" s="722"/>
      <c r="N28" s="722"/>
      <c r="O28" s="722"/>
      <c r="P28" s="722">
        <v>-1260212730.5116901</v>
      </c>
      <c r="Q28" s="722">
        <v>-1122497069</v>
      </c>
      <c r="R28" s="722">
        <v>456035026</v>
      </c>
      <c r="S28" s="722">
        <v>1267385155</v>
      </c>
      <c r="T28" s="722">
        <v>1670629748</v>
      </c>
      <c r="U28" s="722">
        <v>2315486640</v>
      </c>
      <c r="V28" s="722">
        <v>4434150558</v>
      </c>
      <c r="W28" s="722">
        <v>4368133177</v>
      </c>
      <c r="X28" s="722">
        <v>1161386033</v>
      </c>
      <c r="Y28" s="722">
        <v>1756933086</v>
      </c>
      <c r="Z28" s="722">
        <v>595792950</v>
      </c>
      <c r="AA28" s="722">
        <v>2077227616</v>
      </c>
      <c r="AB28" s="722">
        <f>'Consol PL-DTRG'!C29</f>
        <v>1442204737.1890564</v>
      </c>
      <c r="AC28" s="722">
        <f>'Consol PL-DTRG'!D29</f>
        <v>275147507.52250671</v>
      </c>
      <c r="AD28" s="722">
        <f>'Consol PL-DTRG'!E29</f>
        <v>1748251592.3185196</v>
      </c>
      <c r="AE28" s="722">
        <f>'Consol PL-DTRG'!F29</f>
        <v>2252672581.5878906</v>
      </c>
      <c r="AF28" s="722">
        <f>'Consol PL-DTRG'!G29</f>
        <v>2242821464.7559357</v>
      </c>
      <c r="AG28" s="722">
        <f>'Consol PL-DTRG'!H29</f>
        <v>2124205107.3903961</v>
      </c>
      <c r="AH28" s="722">
        <f>'Consol PL-DTRG'!I29</f>
        <v>2172620813.8513947</v>
      </c>
      <c r="AI28" s="722">
        <f>'Consol PL-DTRG'!J29</f>
        <v>2211051052.9748383</v>
      </c>
      <c r="AJ28" s="722">
        <f>'Consol PL-DTRG'!K29</f>
        <v>2064929664.4434814</v>
      </c>
      <c r="AK28" s="722">
        <f>'Consol PL-DTRG'!L29</f>
        <v>2573621407.8242722</v>
      </c>
      <c r="AL28" s="722">
        <f>'Consol PL-DTRG'!M29</f>
        <v>2377368285.9351807</v>
      </c>
      <c r="AM28" s="722">
        <f>'Consol PL-DTRG'!N29</f>
        <v>2514220663.7437286</v>
      </c>
    </row>
    <row r="29" spans="1:39" hidden="1" outlineLevel="1">
      <c r="A29" s="75" t="s">
        <v>10</v>
      </c>
      <c r="B29" s="41" t="s">
        <v>3</v>
      </c>
      <c r="D29" s="723"/>
      <c r="E29" s="723"/>
      <c r="F29" s="723"/>
      <c r="G29" s="723"/>
      <c r="H29" s="723"/>
      <c r="I29" s="723"/>
      <c r="J29" s="723"/>
      <c r="K29" s="723"/>
      <c r="L29" s="723"/>
      <c r="M29" s="723"/>
      <c r="N29" s="723"/>
      <c r="O29" s="723"/>
      <c r="P29" s="723">
        <v>-425857375.48830992</v>
      </c>
      <c r="Q29" s="723">
        <v>0</v>
      </c>
      <c r="R29" s="723">
        <v>0</v>
      </c>
      <c r="S29" s="723">
        <v>0</v>
      </c>
      <c r="T29" s="723">
        <v>0</v>
      </c>
      <c r="U29" s="723">
        <v>0</v>
      </c>
      <c r="V29" s="723">
        <v>0</v>
      </c>
      <c r="W29" s="723">
        <v>0</v>
      </c>
      <c r="X29" s="723">
        <v>0</v>
      </c>
      <c r="Y29" s="723">
        <v>0</v>
      </c>
      <c r="Z29" s="723">
        <v>0</v>
      </c>
      <c r="AA29" s="723">
        <v>0</v>
      </c>
      <c r="AB29" s="723">
        <f>'Consol PL-DTRG'!C30</f>
        <v>0</v>
      </c>
      <c r="AC29" s="723">
        <f>'Consol PL-DTRG'!D30</f>
        <v>0</v>
      </c>
      <c r="AD29" s="723">
        <f>'Consol PL-DTRG'!E30</f>
        <v>0</v>
      </c>
      <c r="AE29" s="723">
        <f>'Consol PL-DTRG'!F30</f>
        <v>0</v>
      </c>
      <c r="AF29" s="723">
        <f>'Consol PL-DTRG'!G30</f>
        <v>0</v>
      </c>
      <c r="AG29" s="723">
        <f>'Consol PL-DTRG'!H30</f>
        <v>0</v>
      </c>
      <c r="AH29" s="723">
        <f>'Consol PL-DTRG'!I30</f>
        <v>0</v>
      </c>
      <c r="AI29" s="723">
        <f>'Consol PL-DTRG'!J30</f>
        <v>0</v>
      </c>
      <c r="AJ29" s="723">
        <f>'Consol PL-DTRG'!K30</f>
        <v>0</v>
      </c>
      <c r="AK29" s="723">
        <f>'Consol PL-DTRG'!L30</f>
        <v>0</v>
      </c>
      <c r="AL29" s="723">
        <f>'Consol PL-DTRG'!M30</f>
        <v>0</v>
      </c>
      <c r="AM29" s="723">
        <f>'Consol PL-DTRG'!N30</f>
        <v>0</v>
      </c>
    </row>
    <row r="30" spans="1:39" collapsed="1">
      <c r="A30" s="45">
        <v>7</v>
      </c>
      <c r="B30" s="35" t="s">
        <v>25</v>
      </c>
      <c r="D30" s="724"/>
      <c r="E30" s="724"/>
      <c r="F30" s="724"/>
      <c r="G30" s="724"/>
      <c r="H30" s="724"/>
      <c r="I30" s="724"/>
      <c r="J30" s="724"/>
      <c r="K30" s="724"/>
      <c r="L30" s="724"/>
      <c r="M30" s="724"/>
      <c r="N30" s="724"/>
      <c r="O30" s="724"/>
      <c r="P30" s="724">
        <v>0</v>
      </c>
      <c r="Q30" s="724">
        <v>0</v>
      </c>
      <c r="R30" s="724">
        <v>0</v>
      </c>
      <c r="S30" s="724">
        <v>0</v>
      </c>
      <c r="T30" s="724">
        <v>0</v>
      </c>
      <c r="U30" s="724">
        <v>0</v>
      </c>
      <c r="V30" s="724">
        <v>0</v>
      </c>
      <c r="W30" s="724">
        <v>0</v>
      </c>
      <c r="X30" s="724">
        <v>0</v>
      </c>
      <c r="Y30" s="724">
        <v>0</v>
      </c>
      <c r="Z30" s="724">
        <v>0</v>
      </c>
      <c r="AA30" s="724">
        <v>0</v>
      </c>
      <c r="AB30" s="724">
        <f>'Consol PL-DTRG'!C31</f>
        <v>0</v>
      </c>
      <c r="AC30" s="724">
        <f>'Consol PL-DTRG'!D31</f>
        <v>0</v>
      </c>
      <c r="AD30" s="724">
        <f>'Consol PL-DTRG'!E31</f>
        <v>0</v>
      </c>
      <c r="AE30" s="724">
        <f>'Consol PL-DTRG'!F31</f>
        <v>0</v>
      </c>
      <c r="AF30" s="724">
        <f>'Consol PL-DTRG'!G31</f>
        <v>0</v>
      </c>
      <c r="AG30" s="724">
        <f>'Consol PL-DTRG'!H31</f>
        <v>0</v>
      </c>
      <c r="AH30" s="724">
        <f>'Consol PL-DTRG'!I31</f>
        <v>0</v>
      </c>
      <c r="AI30" s="724">
        <f>'Consol PL-DTRG'!J31</f>
        <v>0</v>
      </c>
      <c r="AJ30" s="724">
        <f>'Consol PL-DTRG'!K31</f>
        <v>0</v>
      </c>
      <c r="AK30" s="724">
        <f>'Consol PL-DTRG'!L31</f>
        <v>0</v>
      </c>
      <c r="AL30" s="724">
        <f>'Consol PL-DTRG'!M31</f>
        <v>0</v>
      </c>
      <c r="AM30" s="724">
        <f>'Consol PL-DTRG'!N31</f>
        <v>0</v>
      </c>
    </row>
    <row r="31" spans="1:39" hidden="1" outlineLevel="1">
      <c r="A31" s="46" t="s">
        <v>61</v>
      </c>
      <c r="B31" s="37" t="s">
        <v>1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>
        <v>0</v>
      </c>
      <c r="Q31" s="54">
        <v>0</v>
      </c>
      <c r="R31" s="54">
        <v>0</v>
      </c>
      <c r="S31" s="54">
        <v>0</v>
      </c>
      <c r="T31" s="54">
        <v>0</v>
      </c>
      <c r="U31" s="54">
        <v>0</v>
      </c>
      <c r="V31" s="54">
        <v>0</v>
      </c>
      <c r="W31" s="54">
        <v>0</v>
      </c>
      <c r="X31" s="54">
        <v>0</v>
      </c>
      <c r="Y31" s="54">
        <v>0</v>
      </c>
      <c r="Z31" s="54">
        <v>0</v>
      </c>
      <c r="AA31" s="54">
        <v>0</v>
      </c>
      <c r="AB31" s="54">
        <f>'Consol PL-DTRG'!C32</f>
        <v>0</v>
      </c>
      <c r="AC31" s="54">
        <f>'Consol PL-DTRG'!D32</f>
        <v>0</v>
      </c>
      <c r="AD31" s="54">
        <f>'Consol PL-DTRG'!E32</f>
        <v>0</v>
      </c>
      <c r="AE31" s="54">
        <f>'Consol PL-DTRG'!F32</f>
        <v>0</v>
      </c>
      <c r="AF31" s="54">
        <f>'Consol PL-DTRG'!G32</f>
        <v>0</v>
      </c>
      <c r="AG31" s="54">
        <f>'Consol PL-DTRG'!H32</f>
        <v>0</v>
      </c>
      <c r="AH31" s="54">
        <f>'Consol PL-DTRG'!I32</f>
        <v>0</v>
      </c>
      <c r="AI31" s="54">
        <f>'Consol PL-DTRG'!J32</f>
        <v>0</v>
      </c>
      <c r="AJ31" s="54">
        <f>'Consol PL-DTRG'!K32</f>
        <v>0</v>
      </c>
      <c r="AK31" s="54">
        <f>'Consol PL-DTRG'!L32</f>
        <v>0</v>
      </c>
      <c r="AL31" s="54">
        <f>'Consol PL-DTRG'!M32</f>
        <v>0</v>
      </c>
      <c r="AM31" s="54">
        <f>'Consol PL-DTRG'!N32</f>
        <v>0</v>
      </c>
    </row>
    <row r="32" spans="1:39" hidden="1" outlineLevel="1">
      <c r="A32" s="46" t="s">
        <v>69</v>
      </c>
      <c r="B32" s="37" t="s">
        <v>2</v>
      </c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f>'Consol PL-DTRG'!C33</f>
        <v>0</v>
      </c>
      <c r="AC32" s="76">
        <f>'Consol PL-DTRG'!D33</f>
        <v>0</v>
      </c>
      <c r="AD32" s="76">
        <f>'Consol PL-DTRG'!E33</f>
        <v>0</v>
      </c>
      <c r="AE32" s="76">
        <f>'Consol PL-DTRG'!F33</f>
        <v>0</v>
      </c>
      <c r="AF32" s="76">
        <f>'Consol PL-DTRG'!G33</f>
        <v>0</v>
      </c>
      <c r="AG32" s="76">
        <f>'Consol PL-DTRG'!H33</f>
        <v>0</v>
      </c>
      <c r="AH32" s="76">
        <f>'Consol PL-DTRG'!I33</f>
        <v>0</v>
      </c>
      <c r="AI32" s="76">
        <f>'Consol PL-DTRG'!J33</f>
        <v>0</v>
      </c>
      <c r="AJ32" s="76">
        <f>'Consol PL-DTRG'!K33</f>
        <v>0</v>
      </c>
      <c r="AK32" s="76">
        <f>'Consol PL-DTRG'!L33</f>
        <v>0</v>
      </c>
      <c r="AL32" s="76">
        <f>'Consol PL-DTRG'!M33</f>
        <v>0</v>
      </c>
      <c r="AM32" s="76">
        <f>'Consol PL-DTRG'!N33</f>
        <v>0</v>
      </c>
    </row>
    <row r="33" spans="1:39" hidden="1" outlineLevel="1">
      <c r="A33" s="46" t="s">
        <v>70</v>
      </c>
      <c r="B33" s="37" t="s">
        <v>3</v>
      </c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>
        <v>0</v>
      </c>
      <c r="Q33" s="54">
        <v>0</v>
      </c>
      <c r="R33" s="54">
        <v>0</v>
      </c>
      <c r="S33" s="54">
        <v>0</v>
      </c>
      <c r="T33" s="54">
        <v>0</v>
      </c>
      <c r="U33" s="54">
        <v>0</v>
      </c>
      <c r="V33" s="54">
        <v>0</v>
      </c>
      <c r="W33" s="54">
        <v>0</v>
      </c>
      <c r="X33" s="54">
        <v>0</v>
      </c>
      <c r="Y33" s="54">
        <v>0</v>
      </c>
      <c r="Z33" s="54">
        <v>0</v>
      </c>
      <c r="AA33" s="54">
        <v>0</v>
      </c>
      <c r="AB33" s="54">
        <f>'Consol PL-DTRG'!C34</f>
        <v>0</v>
      </c>
      <c r="AC33" s="54">
        <f>'Consol PL-DTRG'!D34</f>
        <v>0</v>
      </c>
      <c r="AD33" s="54">
        <f>'Consol PL-DTRG'!E34</f>
        <v>0</v>
      </c>
      <c r="AE33" s="54">
        <f>'Consol PL-DTRG'!F34</f>
        <v>0</v>
      </c>
      <c r="AF33" s="54">
        <f>'Consol PL-DTRG'!G34</f>
        <v>0</v>
      </c>
      <c r="AG33" s="54">
        <f>'Consol PL-DTRG'!H34</f>
        <v>0</v>
      </c>
      <c r="AH33" s="54">
        <f>'Consol PL-DTRG'!I34</f>
        <v>0</v>
      </c>
      <c r="AI33" s="54">
        <f>'Consol PL-DTRG'!J34</f>
        <v>0</v>
      </c>
      <c r="AJ33" s="54">
        <f>'Consol PL-DTRG'!K34</f>
        <v>0</v>
      </c>
      <c r="AK33" s="54">
        <f>'Consol PL-DTRG'!L34</f>
        <v>0</v>
      </c>
      <c r="AL33" s="54">
        <f>'Consol PL-DTRG'!M34</f>
        <v>0</v>
      </c>
      <c r="AM33" s="54">
        <f>'Consol PL-DTRG'!N34</f>
        <v>0</v>
      </c>
    </row>
    <row r="34" spans="1:39" collapsed="1">
      <c r="A34" s="38">
        <v>8</v>
      </c>
      <c r="B34" s="39" t="s">
        <v>26</v>
      </c>
      <c r="D34" s="54">
        <v>712260969</v>
      </c>
      <c r="E34" s="54">
        <v>1111471110</v>
      </c>
      <c r="F34" s="54">
        <v>1004651784</v>
      </c>
      <c r="G34" s="54">
        <v>1746021208</v>
      </c>
      <c r="H34" s="54">
        <v>1032867505</v>
      </c>
      <c r="I34" s="54">
        <v>591086157</v>
      </c>
      <c r="J34" s="54">
        <v>376652862</v>
      </c>
      <c r="K34" s="54">
        <v>1253018630</v>
      </c>
      <c r="L34" s="54">
        <v>1560156089</v>
      </c>
      <c r="M34" s="54">
        <v>2831268643</v>
      </c>
      <c r="N34" s="54">
        <v>886951972</v>
      </c>
      <c r="O34" s="54">
        <v>2195155035</v>
      </c>
      <c r="P34" s="54">
        <v>830662240</v>
      </c>
      <c r="Q34" s="54">
        <v>1805467216</v>
      </c>
      <c r="R34" s="54">
        <v>941747687</v>
      </c>
      <c r="S34" s="54">
        <v>1368536357</v>
      </c>
      <c r="T34" s="54">
        <v>2440495098</v>
      </c>
      <c r="U34" s="54">
        <v>1651919997</v>
      </c>
      <c r="V34" s="54">
        <v>1450067480</v>
      </c>
      <c r="W34" s="54">
        <v>1506125345</v>
      </c>
      <c r="X34" s="54">
        <v>1236220214</v>
      </c>
      <c r="Y34" s="54">
        <v>2769344197</v>
      </c>
      <c r="Z34" s="54">
        <v>564107321</v>
      </c>
      <c r="AA34" s="54">
        <v>727547755</v>
      </c>
      <c r="AB34" s="54">
        <f>'Consol PL-DTRG'!C35</f>
        <v>20065548.111111112</v>
      </c>
      <c r="AC34" s="54">
        <f>'Consol PL-DTRG'!D35</f>
        <v>20065548.111111112</v>
      </c>
      <c r="AD34" s="54">
        <f>'Consol PL-DTRG'!E35</f>
        <v>20065548.111111112</v>
      </c>
      <c r="AE34" s="54">
        <f>'Consol PL-DTRG'!F35</f>
        <v>10065548.111111112</v>
      </c>
      <c r="AF34" s="54">
        <f>'Consol PL-DTRG'!G35</f>
        <v>10065548.111111112</v>
      </c>
      <c r="AG34" s="54">
        <f>'Consol PL-DTRG'!H35</f>
        <v>10065548.111111112</v>
      </c>
      <c r="AH34" s="54">
        <f>'Consol PL-DTRG'!I35</f>
        <v>10065548.111111112</v>
      </c>
      <c r="AI34" s="54">
        <f>'Consol PL-DTRG'!J35</f>
        <v>10065548.111111112</v>
      </c>
      <c r="AJ34" s="54">
        <f>'Consol PL-DTRG'!K35</f>
        <v>10065548.111111112</v>
      </c>
      <c r="AK34" s="54">
        <f>'Consol PL-DTRG'!L35</f>
        <v>10065548.111111112</v>
      </c>
      <c r="AL34" s="54">
        <f>'Consol PL-DTRG'!M35</f>
        <v>10065548.111111112</v>
      </c>
      <c r="AM34" s="54">
        <f>'Consol PL-DTRG'!N35</f>
        <v>10065548.111111112</v>
      </c>
    </row>
    <row r="35" spans="1:39">
      <c r="A35" s="47">
        <v>9</v>
      </c>
      <c r="B35" s="35" t="s">
        <v>27</v>
      </c>
      <c r="D35" s="54">
        <v>801399604</v>
      </c>
      <c r="E35" s="54">
        <v>695500231</v>
      </c>
      <c r="F35" s="54">
        <v>663502461</v>
      </c>
      <c r="G35" s="54">
        <v>1555671370</v>
      </c>
      <c r="H35" s="54">
        <v>936492932</v>
      </c>
      <c r="I35" s="54">
        <v>1103852896</v>
      </c>
      <c r="J35" s="54">
        <v>1608708972</v>
      </c>
      <c r="K35" s="54">
        <v>1489581015</v>
      </c>
      <c r="L35" s="54">
        <v>1372261307</v>
      </c>
      <c r="M35" s="54">
        <v>636041020</v>
      </c>
      <c r="N35" s="54">
        <v>1257673070</v>
      </c>
      <c r="O35" s="54">
        <v>993026233</v>
      </c>
      <c r="P35" s="54">
        <v>1529745602</v>
      </c>
      <c r="Q35" s="54">
        <v>1349010483</v>
      </c>
      <c r="R35" s="54">
        <v>902730488</v>
      </c>
      <c r="S35" s="54">
        <v>1450570894</v>
      </c>
      <c r="T35" s="54">
        <v>858169737</v>
      </c>
      <c r="U35" s="54">
        <v>1483876982</v>
      </c>
      <c r="V35" s="54">
        <v>1318435167</v>
      </c>
      <c r="W35" s="54">
        <v>1366041150</v>
      </c>
      <c r="X35" s="54">
        <v>1603769193</v>
      </c>
      <c r="Y35" s="54">
        <v>2900732378</v>
      </c>
      <c r="Z35" s="54">
        <v>1301741764</v>
      </c>
      <c r="AA35" s="54">
        <v>2479436989</v>
      </c>
      <c r="AB35" s="54">
        <f>'Consol PL-DTRG'!C36</f>
        <v>1440729191.0893345</v>
      </c>
      <c r="AC35" s="54">
        <f>'Consol PL-DTRG'!D36</f>
        <v>2314401491.6227865</v>
      </c>
      <c r="AD35" s="54">
        <f>'Consol PL-DTRG'!E36</f>
        <v>2754845108.8531456</v>
      </c>
      <c r="AE35" s="54">
        <f>'Consol PL-DTRG'!F36</f>
        <v>2658973977.945015</v>
      </c>
      <c r="AF35" s="54">
        <f>'Consol PL-DTRG'!G36</f>
        <v>2984563857.6971397</v>
      </c>
      <c r="AG35" s="54">
        <f>'Consol PL-DTRG'!H36</f>
        <v>3083765892.6644506</v>
      </c>
      <c r="AH35" s="54">
        <f>'Consol PL-DTRG'!I36</f>
        <v>3139619158.6549101</v>
      </c>
      <c r="AI35" s="54">
        <f>'Consol PL-DTRG'!J36</f>
        <v>3321581053.7279758</v>
      </c>
      <c r="AJ35" s="54">
        <f>'Consol PL-DTRG'!K36</f>
        <v>3248341883.5147653</v>
      </c>
      <c r="AK35" s="54">
        <f>'Consol PL-DTRG'!L36</f>
        <v>3254733184.6761322</v>
      </c>
      <c r="AL35" s="54">
        <f>'Consol PL-DTRG'!M36</f>
        <v>3261994460.9206567</v>
      </c>
      <c r="AM35" s="54">
        <f>'Consol PL-DTRG'!N36</f>
        <v>3102355062.0342402</v>
      </c>
    </row>
    <row r="36" spans="1:39">
      <c r="A36" s="38">
        <v>10</v>
      </c>
      <c r="B36" s="48" t="s">
        <v>28</v>
      </c>
      <c r="D36" s="53">
        <v>460461775</v>
      </c>
      <c r="E36" s="53">
        <v>563909516</v>
      </c>
      <c r="F36" s="53">
        <v>587315920</v>
      </c>
      <c r="G36" s="53">
        <v>905708142</v>
      </c>
      <c r="H36" s="53">
        <v>974310029</v>
      </c>
      <c r="I36" s="53">
        <v>1115056080</v>
      </c>
      <c r="J36" s="53">
        <v>1160823006</v>
      </c>
      <c r="K36" s="53">
        <v>939585045</v>
      </c>
      <c r="L36" s="53">
        <v>859444105</v>
      </c>
      <c r="M36" s="53">
        <v>840165515</v>
      </c>
      <c r="N36" s="53">
        <v>889159081</v>
      </c>
      <c r="O36" s="53">
        <v>1032562923</v>
      </c>
      <c r="P36" s="53">
        <v>1114824276</v>
      </c>
      <c r="Q36" s="53">
        <v>928379281</v>
      </c>
      <c r="R36" s="53">
        <v>673966789</v>
      </c>
      <c r="S36" s="53">
        <v>888393452</v>
      </c>
      <c r="T36" s="53">
        <v>1186588729</v>
      </c>
      <c r="U36" s="53">
        <v>1448899822</v>
      </c>
      <c r="V36" s="53">
        <v>1245210526</v>
      </c>
      <c r="W36" s="53">
        <v>1303560910</v>
      </c>
      <c r="X36" s="53">
        <v>1595764355</v>
      </c>
      <c r="Y36" s="53">
        <v>1368802426</v>
      </c>
      <c r="Z36" s="53">
        <v>1256132292</v>
      </c>
      <c r="AA36" s="53">
        <v>1256103396</v>
      </c>
      <c r="AB36" s="53">
        <f>'Consol PL-DTRG'!C37</f>
        <v>1440729191.0893345</v>
      </c>
      <c r="AC36" s="53">
        <f>'Consol PL-DTRG'!D37</f>
        <v>2314401491.6227865</v>
      </c>
      <c r="AD36" s="53">
        <f>'Consol PL-DTRG'!E37</f>
        <v>2754845108.8531456</v>
      </c>
      <c r="AE36" s="53">
        <f>'Consol PL-DTRG'!F37</f>
        <v>2658973977.945015</v>
      </c>
      <c r="AF36" s="53">
        <f>'Consol PL-DTRG'!G37</f>
        <v>2984563857.6971397</v>
      </c>
      <c r="AG36" s="53">
        <f>'Consol PL-DTRG'!H37</f>
        <v>3083765892.6644506</v>
      </c>
      <c r="AH36" s="53">
        <f>'Consol PL-DTRG'!I37</f>
        <v>3139619158.6549101</v>
      </c>
      <c r="AI36" s="53">
        <f>'Consol PL-DTRG'!J37</f>
        <v>3321581053.7279758</v>
      </c>
      <c r="AJ36" s="53">
        <f>'Consol PL-DTRG'!K37</f>
        <v>3248341883.5147653</v>
      </c>
      <c r="AK36" s="53">
        <f>'Consol PL-DTRG'!L37</f>
        <v>3254733184.6761322</v>
      </c>
      <c r="AL36" s="53">
        <f>'Consol PL-DTRG'!M37</f>
        <v>3261994460.9206567</v>
      </c>
      <c r="AM36" s="53">
        <f>'Consol PL-DTRG'!N37</f>
        <v>3102355062.0342402</v>
      </c>
    </row>
    <row r="37" spans="1:39">
      <c r="A37" s="38">
        <v>11</v>
      </c>
      <c r="B37" s="39" t="s">
        <v>29</v>
      </c>
      <c r="D37" s="54">
        <v>4849994610</v>
      </c>
      <c r="E37" s="54">
        <v>1560472559</v>
      </c>
      <c r="F37" s="54">
        <v>4219375143</v>
      </c>
      <c r="G37" s="54">
        <v>4926459549</v>
      </c>
      <c r="H37" s="54">
        <v>2125110954</v>
      </c>
      <c r="I37" s="54">
        <v>2824966874</v>
      </c>
      <c r="J37" s="54">
        <v>2596964337</v>
      </c>
      <c r="K37" s="54">
        <v>8480107205</v>
      </c>
      <c r="L37" s="54">
        <v>7368729523</v>
      </c>
      <c r="M37" s="54">
        <v>4936551194</v>
      </c>
      <c r="N37" s="54">
        <v>2249627546</v>
      </c>
      <c r="O37" s="54">
        <v>10540748080</v>
      </c>
      <c r="P37" s="54">
        <v>4181224849</v>
      </c>
      <c r="Q37" s="54">
        <v>6634982258</v>
      </c>
      <c r="R37" s="54">
        <v>5629444776</v>
      </c>
      <c r="S37" s="54">
        <v>4622826734</v>
      </c>
      <c r="T37" s="54">
        <v>5242336575</v>
      </c>
      <c r="U37" s="54">
        <v>5451129528</v>
      </c>
      <c r="V37" s="54">
        <v>4248972349</v>
      </c>
      <c r="W37" s="54">
        <v>5750995751</v>
      </c>
      <c r="X37" s="54">
        <v>3513998286</v>
      </c>
      <c r="Y37" s="54">
        <v>7273403934</v>
      </c>
      <c r="Z37" s="54">
        <v>3829549635</v>
      </c>
      <c r="AA37" s="54">
        <v>5362380917</v>
      </c>
      <c r="AB37" s="54">
        <f>'Consol PL-DTRG'!C38</f>
        <v>5715119840.7360201</v>
      </c>
      <c r="AC37" s="54">
        <f>'Consol PL-DTRG'!D38</f>
        <v>4532895339.4770603</v>
      </c>
      <c r="AD37" s="54">
        <f>'Consol PL-DTRG'!E38</f>
        <v>5354985942.632905</v>
      </c>
      <c r="AE37" s="54">
        <f>'Consol PL-DTRG'!F38</f>
        <v>4767228483.2620296</v>
      </c>
      <c r="AF37" s="54">
        <f>'Consol PL-DTRG'!G38</f>
        <v>6360624030.7155828</v>
      </c>
      <c r="AG37" s="54">
        <f>'Consol PL-DTRG'!H38</f>
        <v>5719886074.7977448</v>
      </c>
      <c r="AH37" s="54">
        <f>'Consol PL-DTRG'!I38</f>
        <v>5096889953.4197016</v>
      </c>
      <c r="AI37" s="54">
        <f>'Consol PL-DTRG'!J38</f>
        <v>4994444508.1737995</v>
      </c>
      <c r="AJ37" s="54">
        <f>'Consol PL-DTRG'!K38</f>
        <v>6990500871.4197016</v>
      </c>
      <c r="AK37" s="54">
        <f>'Consol PL-DTRG'!L38</f>
        <v>5117052699.2266226</v>
      </c>
      <c r="AL37" s="54">
        <f>'Consol PL-DTRG'!M38</f>
        <v>5444984743.641923</v>
      </c>
      <c r="AM37" s="54">
        <f>'Consol PL-DTRG'!N38</f>
        <v>5540611374.603672</v>
      </c>
    </row>
    <row r="38" spans="1:39">
      <c r="A38" s="55">
        <v>12</v>
      </c>
      <c r="B38" s="56" t="s">
        <v>30</v>
      </c>
      <c r="D38" s="57">
        <v>5698695249</v>
      </c>
      <c r="E38" s="57">
        <v>5090845577</v>
      </c>
      <c r="F38" s="57">
        <v>5285019459</v>
      </c>
      <c r="G38" s="57">
        <v>5584474639</v>
      </c>
      <c r="H38" s="57">
        <v>6069340865</v>
      </c>
      <c r="I38" s="57">
        <v>5881960019</v>
      </c>
      <c r="J38" s="57">
        <v>5698093117</v>
      </c>
      <c r="K38" s="57">
        <v>6840474838</v>
      </c>
      <c r="L38" s="57">
        <v>8084946891</v>
      </c>
      <c r="M38" s="57">
        <v>8025871294</v>
      </c>
      <c r="N38" s="57">
        <v>9126335400</v>
      </c>
      <c r="O38" s="57">
        <v>7087963087</v>
      </c>
      <c r="P38" s="57">
        <v>8548199037</v>
      </c>
      <c r="Q38" s="57">
        <v>8928537962</v>
      </c>
      <c r="R38" s="57">
        <v>8618282018</v>
      </c>
      <c r="S38" s="57">
        <v>8518246563</v>
      </c>
      <c r="T38" s="57">
        <v>9277438311</v>
      </c>
      <c r="U38" s="57">
        <v>9026767632</v>
      </c>
      <c r="V38" s="57">
        <v>8998978187</v>
      </c>
      <c r="W38" s="57">
        <v>9320823983</v>
      </c>
      <c r="X38" s="57">
        <v>10936858648</v>
      </c>
      <c r="Y38" s="57">
        <v>5273319876</v>
      </c>
      <c r="Z38" s="57">
        <v>11469860627</v>
      </c>
      <c r="AA38" s="57">
        <v>17451279792</v>
      </c>
      <c r="AB38" s="57">
        <f>'Consol PL-DTRG'!C39</f>
        <v>10275860698.748386</v>
      </c>
      <c r="AC38" s="57">
        <f>'Consol PL-DTRG'!D39</f>
        <v>8716932392.5652218</v>
      </c>
      <c r="AD38" s="57">
        <f>'Consol PL-DTRG'!E39</f>
        <v>8759904698.1036587</v>
      </c>
      <c r="AE38" s="57">
        <f>'Consol PL-DTRG'!F39</f>
        <v>8918147544.1229057</v>
      </c>
      <c r="AF38" s="57">
        <f>'Consol PL-DTRG'!G39</f>
        <v>9057039452.0205288</v>
      </c>
      <c r="AG38" s="57">
        <f>'Consol PL-DTRG'!H39</f>
        <v>9504724354.2504253</v>
      </c>
      <c r="AH38" s="57">
        <f>'Consol PL-DTRG'!I39</f>
        <v>9932085922.03512</v>
      </c>
      <c r="AI38" s="57">
        <f>'Consol PL-DTRG'!J39</f>
        <v>10308460446.010513</v>
      </c>
      <c r="AJ38" s="57">
        <f>'Consol PL-DTRG'!K39</f>
        <v>9446289658.7034874</v>
      </c>
      <c r="AK38" s="57">
        <f>'Consol PL-DTRG'!L39</f>
        <v>9009712006.4009361</v>
      </c>
      <c r="AL38" s="57">
        <f>'Consol PL-DTRG'!M39</f>
        <v>9149105409.7559357</v>
      </c>
      <c r="AM38" s="57">
        <f>'Consol PL-DTRG'!N39</f>
        <v>11367195758.417297</v>
      </c>
    </row>
    <row r="39" spans="1:39">
      <c r="A39" s="67">
        <v>13</v>
      </c>
      <c r="B39" s="68" t="s">
        <v>31</v>
      </c>
      <c r="D39" s="84">
        <v>-665344647</v>
      </c>
      <c r="E39" s="84">
        <v>-6751041323</v>
      </c>
      <c r="F39" s="84">
        <v>-2703219668</v>
      </c>
      <c r="G39" s="84">
        <v>1671294571</v>
      </c>
      <c r="H39" s="84">
        <v>-5656191968</v>
      </c>
      <c r="I39" s="84">
        <v>-12035614229</v>
      </c>
      <c r="J39" s="84">
        <v>-15241057889</v>
      </c>
      <c r="K39" s="84">
        <v>-10193848065</v>
      </c>
      <c r="L39" s="84">
        <v>8119731097</v>
      </c>
      <c r="M39" s="84">
        <v>-6174750278</v>
      </c>
      <c r="N39" s="84">
        <v>-7317145513</v>
      </c>
      <c r="O39" s="84">
        <v>111718028907</v>
      </c>
      <c r="P39" s="84">
        <v>3054598020</v>
      </c>
      <c r="Q39" s="84">
        <v>17199268998</v>
      </c>
      <c r="R39" s="84">
        <v>6977214348</v>
      </c>
      <c r="S39" s="84">
        <v>3906443232</v>
      </c>
      <c r="T39" s="84">
        <v>10850283752</v>
      </c>
      <c r="U39" s="84">
        <v>870990690</v>
      </c>
      <c r="V39" s="84">
        <v>626449238</v>
      </c>
      <c r="W39" s="84">
        <v>2789713644</v>
      </c>
      <c r="X39" s="84">
        <v>-12008595386</v>
      </c>
      <c r="Y39" s="84">
        <v>-1907367248</v>
      </c>
      <c r="Z39" s="84">
        <v>-7740922158</v>
      </c>
      <c r="AA39" s="84">
        <v>7111004785</v>
      </c>
      <c r="AB39" s="84">
        <f ca="1">'Consol PL-DTRG'!C40</f>
        <v>881095325.88600922</v>
      </c>
      <c r="AC39" s="84">
        <f ca="1">'Consol PL-DTRG'!D40</f>
        <v>-2443158527.5726547</v>
      </c>
      <c r="AD39" s="84">
        <f ca="1">'Consol PL-DTRG'!E40</f>
        <v>4973196197.8377552</v>
      </c>
      <c r="AE39" s="84">
        <f ca="1">'Consol PL-DTRG'!F40</f>
        <v>2713269475.6906605</v>
      </c>
      <c r="AF39" s="84">
        <f ca="1">'Consol PL-DTRG'!G40</f>
        <v>3978700192.5353489</v>
      </c>
      <c r="AG39" s="84">
        <f ca="1">'Consol PL-DTRG'!H40</f>
        <v>2528344330.5519695</v>
      </c>
      <c r="AH39" s="84">
        <f ca="1">'Consol PL-DTRG'!I40</f>
        <v>9436799133.2125645</v>
      </c>
      <c r="AI39" s="84">
        <f ca="1">'Consol PL-DTRG'!J40</f>
        <v>8838314528.1837769</v>
      </c>
      <c r="AJ39" s="84">
        <f ca="1">'Consol PL-DTRG'!K40</f>
        <v>8232584845.1768112</v>
      </c>
      <c r="AK39" s="84">
        <f ca="1">'Consol PL-DTRG'!L40</f>
        <v>9022663019.551857</v>
      </c>
      <c r="AL39" s="84">
        <f ca="1">'Consol PL-DTRG'!M40</f>
        <v>9579974884.5066681</v>
      </c>
      <c r="AM39" s="84">
        <f ca="1">'Consol PL-DTRG'!N40</f>
        <v>7319357121.376236</v>
      </c>
    </row>
    <row r="40" spans="1:39">
      <c r="A40" s="77">
        <v>14</v>
      </c>
      <c r="B40" s="78" t="s">
        <v>32</v>
      </c>
      <c r="D40" s="83">
        <v>1945</v>
      </c>
      <c r="E40" s="83">
        <v>1109349</v>
      </c>
      <c r="F40" s="83">
        <v>0</v>
      </c>
      <c r="G40" s="83">
        <v>81700000</v>
      </c>
      <c r="H40" s="83">
        <v>4696127</v>
      </c>
      <c r="I40" s="83">
        <v>64937878</v>
      </c>
      <c r="J40" s="83">
        <v>54384750</v>
      </c>
      <c r="K40" s="83">
        <v>184242778</v>
      </c>
      <c r="L40" s="83">
        <v>5869054</v>
      </c>
      <c r="M40" s="83">
        <v>3145774</v>
      </c>
      <c r="N40" s="83">
        <v>1405742798</v>
      </c>
      <c r="O40" s="83">
        <v>7237102</v>
      </c>
      <c r="P40" s="83">
        <v>105489733</v>
      </c>
      <c r="Q40" s="83">
        <v>7492780</v>
      </c>
      <c r="R40" s="83">
        <v>22177722</v>
      </c>
      <c r="S40" s="83">
        <v>54899780</v>
      </c>
      <c r="T40" s="83">
        <v>136977736</v>
      </c>
      <c r="U40" s="83">
        <v>60909877</v>
      </c>
      <c r="V40" s="83">
        <v>45395718</v>
      </c>
      <c r="W40" s="83">
        <v>516819765</v>
      </c>
      <c r="X40" s="83">
        <v>15045562</v>
      </c>
      <c r="Y40" s="83">
        <v>25464983</v>
      </c>
      <c r="Z40" s="83">
        <v>8392356</v>
      </c>
      <c r="AA40" s="83">
        <v>173856388</v>
      </c>
      <c r="AB40" s="83">
        <f>'Consol PL-DTRG'!C41</f>
        <v>0</v>
      </c>
      <c r="AC40" s="83">
        <f>'Consol PL-DTRG'!D41</f>
        <v>0</v>
      </c>
      <c r="AD40" s="83">
        <f>'Consol PL-DTRG'!E41</f>
        <v>0</v>
      </c>
      <c r="AE40" s="83">
        <f>'Consol PL-DTRG'!F41</f>
        <v>0</v>
      </c>
      <c r="AF40" s="83">
        <f>'Consol PL-DTRG'!G41</f>
        <v>0</v>
      </c>
      <c r="AG40" s="83">
        <f>'Consol PL-DTRG'!H41</f>
        <v>0</v>
      </c>
      <c r="AH40" s="83">
        <f>'Consol PL-DTRG'!I41</f>
        <v>0</v>
      </c>
      <c r="AI40" s="83">
        <f>'Consol PL-DTRG'!J41</f>
        <v>0</v>
      </c>
      <c r="AJ40" s="83">
        <f>'Consol PL-DTRG'!K41</f>
        <v>0</v>
      </c>
      <c r="AK40" s="83">
        <f>'Consol PL-DTRG'!L41</f>
        <v>0</v>
      </c>
      <c r="AL40" s="83">
        <f>'Consol PL-DTRG'!M41</f>
        <v>0</v>
      </c>
      <c r="AM40" s="83">
        <f>'Consol PL-DTRG'!N41</f>
        <v>0</v>
      </c>
    </row>
    <row r="41" spans="1:39">
      <c r="A41" s="80">
        <v>15</v>
      </c>
      <c r="B41" s="81" t="s">
        <v>33</v>
      </c>
      <c r="D41" s="82">
        <v>54643068</v>
      </c>
      <c r="E41" s="82">
        <v>9000870</v>
      </c>
      <c r="F41" s="82">
        <v>40101620</v>
      </c>
      <c r="G41" s="82">
        <v>84654154</v>
      </c>
      <c r="H41" s="82">
        <v>40312330</v>
      </c>
      <c r="I41" s="82">
        <v>171972294</v>
      </c>
      <c r="J41" s="82">
        <v>7603195</v>
      </c>
      <c r="K41" s="82">
        <v>4413241</v>
      </c>
      <c r="L41" s="82">
        <v>7331553</v>
      </c>
      <c r="M41" s="82">
        <v>177107310</v>
      </c>
      <c r="N41" s="82">
        <v>140746957</v>
      </c>
      <c r="O41" s="82">
        <v>8816704270</v>
      </c>
      <c r="P41" s="82">
        <v>60241342</v>
      </c>
      <c r="Q41" s="82">
        <v>133833312</v>
      </c>
      <c r="R41" s="82">
        <v>2500000</v>
      </c>
      <c r="S41" s="82">
        <v>24808640</v>
      </c>
      <c r="T41" s="82">
        <v>6500600</v>
      </c>
      <c r="U41" s="82">
        <v>57323484</v>
      </c>
      <c r="V41" s="82">
        <v>259624976</v>
      </c>
      <c r="W41" s="82">
        <v>553180625</v>
      </c>
      <c r="X41" s="82">
        <v>543708002</v>
      </c>
      <c r="Y41" s="82">
        <v>3516569246</v>
      </c>
      <c r="Z41" s="82">
        <v>1108557251</v>
      </c>
      <c r="AA41" s="82">
        <v>1609092429</v>
      </c>
      <c r="AB41" s="82">
        <f>'Consol PL-DTRG'!C42</f>
        <v>433624999.99999994</v>
      </c>
      <c r="AC41" s="82">
        <f>'Consol PL-DTRG'!D42</f>
        <v>433624999.99999994</v>
      </c>
      <c r="AD41" s="82">
        <f>'Consol PL-DTRG'!E42</f>
        <v>433624999.99999994</v>
      </c>
      <c r="AE41" s="82">
        <f>'Consol PL-DTRG'!F42</f>
        <v>433624999.99999994</v>
      </c>
      <c r="AF41" s="82">
        <f>'Consol PL-DTRG'!G42</f>
        <v>433624999.99999994</v>
      </c>
      <c r="AG41" s="82">
        <f>'Consol PL-DTRG'!H42</f>
        <v>433624999.99999994</v>
      </c>
      <c r="AH41" s="82">
        <f>'Consol PL-DTRG'!I42</f>
        <v>433624999.99999994</v>
      </c>
      <c r="AI41" s="82">
        <f>'Consol PL-DTRG'!J42</f>
        <v>433624999.99999994</v>
      </c>
      <c r="AJ41" s="82">
        <f>'Consol PL-DTRG'!K42</f>
        <v>433624999.99999994</v>
      </c>
      <c r="AK41" s="82">
        <f>'Consol PL-DTRG'!L42</f>
        <v>433624999.99999994</v>
      </c>
      <c r="AL41" s="82">
        <f>'Consol PL-DTRG'!M42</f>
        <v>433624999.99999994</v>
      </c>
      <c r="AM41" s="82">
        <f>'Consol PL-DTRG'!N42</f>
        <v>433624999.99999994</v>
      </c>
    </row>
    <row r="42" spans="1:39">
      <c r="A42" s="69">
        <v>16</v>
      </c>
      <c r="B42" s="70" t="s">
        <v>34</v>
      </c>
      <c r="D42" s="85">
        <v>-54641123</v>
      </c>
      <c r="E42" s="85">
        <v>-7891521</v>
      </c>
      <c r="F42" s="85">
        <v>-40101620</v>
      </c>
      <c r="G42" s="85">
        <v>-2954154</v>
      </c>
      <c r="H42" s="85">
        <v>-35616203</v>
      </c>
      <c r="I42" s="85">
        <v>-107034416</v>
      </c>
      <c r="J42" s="85">
        <v>46781555</v>
      </c>
      <c r="K42" s="85">
        <v>179829537</v>
      </c>
      <c r="L42" s="85">
        <v>-1462499</v>
      </c>
      <c r="M42" s="85">
        <v>-173961536</v>
      </c>
      <c r="N42" s="85">
        <v>1264995841</v>
      </c>
      <c r="O42" s="85">
        <v>-8809467168</v>
      </c>
      <c r="P42" s="85">
        <v>45248391</v>
      </c>
      <c r="Q42" s="85">
        <v>-126340532</v>
      </c>
      <c r="R42" s="85">
        <v>19677722</v>
      </c>
      <c r="S42" s="85">
        <v>30091140</v>
      </c>
      <c r="T42" s="85">
        <v>130477136</v>
      </c>
      <c r="U42" s="85">
        <v>3586393</v>
      </c>
      <c r="V42" s="85">
        <v>-214229258</v>
      </c>
      <c r="W42" s="85">
        <v>-36360860</v>
      </c>
      <c r="X42" s="85">
        <v>-528662440</v>
      </c>
      <c r="Y42" s="85">
        <v>-3491104263</v>
      </c>
      <c r="Z42" s="85">
        <v>-1100164895</v>
      </c>
      <c r="AA42" s="85">
        <v>-1435236041</v>
      </c>
      <c r="AB42" s="85">
        <f>'Consol PL-DTRG'!C43</f>
        <v>-433624999.99999994</v>
      </c>
      <c r="AC42" s="85">
        <f>'Consol PL-DTRG'!D43</f>
        <v>-433624999.99999994</v>
      </c>
      <c r="AD42" s="85">
        <f>'Consol PL-DTRG'!E43</f>
        <v>-433624999.99999994</v>
      </c>
      <c r="AE42" s="85">
        <f>'Consol PL-DTRG'!F43</f>
        <v>-433624999.99999994</v>
      </c>
      <c r="AF42" s="85">
        <f>'Consol PL-DTRG'!G43</f>
        <v>-433624999.99999994</v>
      </c>
      <c r="AG42" s="85">
        <f>'Consol PL-DTRG'!H43</f>
        <v>-433624999.99999994</v>
      </c>
      <c r="AH42" s="85">
        <f>'Consol PL-DTRG'!I43</f>
        <v>-433624999.99999994</v>
      </c>
      <c r="AI42" s="85">
        <f>'Consol PL-DTRG'!J43</f>
        <v>-433624999.99999994</v>
      </c>
      <c r="AJ42" s="85">
        <f>'Consol PL-DTRG'!K43</f>
        <v>-433624999.99999994</v>
      </c>
      <c r="AK42" s="85">
        <f>'Consol PL-DTRG'!L43</f>
        <v>-433624999.99999994</v>
      </c>
      <c r="AL42" s="85">
        <f>'Consol PL-DTRG'!M43</f>
        <v>-433624999.99999994</v>
      </c>
      <c r="AM42" s="85">
        <f>'Consol PL-DTRG'!N43</f>
        <v>-433624999.99999994</v>
      </c>
    </row>
    <row r="43" spans="1:39">
      <c r="A43" s="71">
        <v>17</v>
      </c>
      <c r="B43" s="68" t="s">
        <v>35</v>
      </c>
      <c r="D43" s="725">
        <v>-719985770</v>
      </c>
      <c r="E43" s="725">
        <v>-6758932844</v>
      </c>
      <c r="F43" s="725">
        <v>-2743321288</v>
      </c>
      <c r="G43" s="725">
        <v>1668340417</v>
      </c>
      <c r="H43" s="725">
        <v>-5691808171</v>
      </c>
      <c r="I43" s="725">
        <v>-12142648645</v>
      </c>
      <c r="J43" s="725">
        <v>-15194276334</v>
      </c>
      <c r="K43" s="725">
        <v>-10014018528</v>
      </c>
      <c r="L43" s="725">
        <v>8118268598</v>
      </c>
      <c r="M43" s="725">
        <v>-6348711814</v>
      </c>
      <c r="N43" s="725">
        <v>-6052149672</v>
      </c>
      <c r="O43" s="725">
        <v>102908561739</v>
      </c>
      <c r="P43" s="725">
        <v>3099846411</v>
      </c>
      <c r="Q43" s="725">
        <v>17072928466</v>
      </c>
      <c r="R43" s="725">
        <v>6996892070</v>
      </c>
      <c r="S43" s="725">
        <v>3936534372</v>
      </c>
      <c r="T43" s="725">
        <v>10980760888</v>
      </c>
      <c r="U43" s="725">
        <v>874577083</v>
      </c>
      <c r="V43" s="725">
        <v>412219980</v>
      </c>
      <c r="W43" s="725">
        <v>2753352784</v>
      </c>
      <c r="X43" s="725">
        <v>-12537257826</v>
      </c>
      <c r="Y43" s="725">
        <v>-5398471511</v>
      </c>
      <c r="Z43" s="725">
        <v>-8841087053</v>
      </c>
      <c r="AA43" s="725">
        <v>5675768744</v>
      </c>
      <c r="AB43" s="725">
        <f ca="1">'Consol PL-DTRG'!C44</f>
        <v>447470325.88600928</v>
      </c>
      <c r="AC43" s="725">
        <f ca="1">'Consol PL-DTRG'!D44</f>
        <v>-2876783527.5726547</v>
      </c>
      <c r="AD43" s="725">
        <f ca="1">'Consol PL-DTRG'!E44</f>
        <v>4539571197.8377552</v>
      </c>
      <c r="AE43" s="725">
        <f ca="1">'Consol PL-DTRG'!F44</f>
        <v>2279644475.6906605</v>
      </c>
      <c r="AF43" s="725">
        <f ca="1">'Consol PL-DTRG'!G44</f>
        <v>3545075192.5353489</v>
      </c>
      <c r="AG43" s="725">
        <f ca="1">'Consol PL-DTRG'!H44</f>
        <v>2094719330.5519695</v>
      </c>
      <c r="AH43" s="725">
        <f ca="1">'Consol PL-DTRG'!I44</f>
        <v>9003174133.2125645</v>
      </c>
      <c r="AI43" s="725">
        <f ca="1">'Consol PL-DTRG'!J44</f>
        <v>8404689528.1837769</v>
      </c>
      <c r="AJ43" s="725">
        <f ca="1">'Consol PL-DTRG'!K44</f>
        <v>7798959845.1768112</v>
      </c>
      <c r="AK43" s="725">
        <f ca="1">'Consol PL-DTRG'!L44</f>
        <v>8589038019.551857</v>
      </c>
      <c r="AL43" s="725">
        <f ca="1">'Consol PL-DTRG'!M44</f>
        <v>9146349884.5066681</v>
      </c>
      <c r="AM43" s="725">
        <f ca="1">'Consol PL-DTRG'!N44</f>
        <v>6885732121.376236</v>
      </c>
    </row>
    <row r="44" spans="1:39">
      <c r="A44" s="87">
        <v>18</v>
      </c>
      <c r="B44" s="88" t="s">
        <v>36</v>
      </c>
      <c r="D44" s="726">
        <v>0</v>
      </c>
      <c r="E44" s="726">
        <v>0</v>
      </c>
      <c r="F44" s="726">
        <v>0</v>
      </c>
      <c r="G44" s="726">
        <v>0</v>
      </c>
      <c r="H44" s="726">
        <v>0</v>
      </c>
      <c r="I44" s="726">
        <v>0</v>
      </c>
      <c r="J44" s="726">
        <v>0</v>
      </c>
      <c r="K44" s="726">
        <v>32927331</v>
      </c>
      <c r="L44" s="726">
        <v>0</v>
      </c>
      <c r="M44" s="726">
        <v>0</v>
      </c>
      <c r="N44" s="726">
        <v>0</v>
      </c>
      <c r="O44" s="726">
        <v>11495266455</v>
      </c>
      <c r="P44" s="726">
        <v>864190686</v>
      </c>
      <c r="Q44" s="726">
        <v>3020742780</v>
      </c>
      <c r="R44" s="726">
        <v>1252632187</v>
      </c>
      <c r="S44" s="726">
        <v>677293488</v>
      </c>
      <c r="T44" s="726">
        <v>1681800759</v>
      </c>
      <c r="U44" s="726">
        <v>189264839</v>
      </c>
      <c r="V44" s="726">
        <v>-1000088030</v>
      </c>
      <c r="W44" s="726">
        <v>204199602</v>
      </c>
      <c r="X44" s="726">
        <v>-1349170846</v>
      </c>
      <c r="Y44" s="726">
        <v>-516688622</v>
      </c>
      <c r="Z44" s="726">
        <v>-854033077</v>
      </c>
      <c r="AA44" s="726">
        <v>3330158442</v>
      </c>
      <c r="AB44" s="726">
        <f>'Consol PL-DTRG'!C45</f>
        <v>380273874.94127083</v>
      </c>
      <c r="AC44" s="726">
        <f>'Consol PL-DTRG'!D45</f>
        <v>0</v>
      </c>
      <c r="AD44" s="726">
        <f>'Consol PL-DTRG'!E45</f>
        <v>934619042.34686375</v>
      </c>
      <c r="AE44" s="726">
        <f>'Consol PL-DTRG'!F45</f>
        <v>746946934.01394844</v>
      </c>
      <c r="AF44" s="726">
        <f>'Consol PL-DTRG'!G45</f>
        <v>782572970.9461298</v>
      </c>
      <c r="AG44" s="726">
        <f>'Consol PL-DTRG'!H45</f>
        <v>707943160.14623451</v>
      </c>
      <c r="AH44" s="726">
        <f>'Consol PL-DTRG'!I45</f>
        <v>1837575600.7959003</v>
      </c>
      <c r="AI44" s="726">
        <f>'Consol PL-DTRG'!J45</f>
        <v>1680502005.0035582</v>
      </c>
      <c r="AJ44" s="726">
        <f>'Consol PL-DTRG'!K45</f>
        <v>1527312071.2935266</v>
      </c>
      <c r="AK44" s="726">
        <f>'Consol PL-DTRG'!L45</f>
        <v>1666415694.9376678</v>
      </c>
      <c r="AL44" s="726">
        <f>'Consol PL-DTRG'!M45</f>
        <v>1780669482.453928</v>
      </c>
      <c r="AM44" s="726">
        <f>'Consol PL-DTRG'!N45</f>
        <v>1322862251.8688984</v>
      </c>
    </row>
    <row r="45" spans="1:39">
      <c r="A45" s="89">
        <v>19</v>
      </c>
      <c r="B45" s="90" t="s">
        <v>37</v>
      </c>
      <c r="D45" s="727">
        <v>0</v>
      </c>
      <c r="E45" s="727">
        <v>0</v>
      </c>
      <c r="F45" s="727">
        <v>0</v>
      </c>
      <c r="G45" s="727">
        <v>0</v>
      </c>
      <c r="H45" s="727">
        <v>0</v>
      </c>
      <c r="I45" s="727">
        <v>0</v>
      </c>
      <c r="J45" s="727">
        <v>0</v>
      </c>
      <c r="K45" s="727">
        <v>0</v>
      </c>
      <c r="L45" s="727">
        <v>0</v>
      </c>
      <c r="M45" s="727">
        <v>0</v>
      </c>
      <c r="N45" s="727">
        <v>0</v>
      </c>
      <c r="O45" s="727">
        <v>1838941310</v>
      </c>
      <c r="P45" s="727">
        <v>0</v>
      </c>
      <c r="Q45" s="727">
        <v>-8043000</v>
      </c>
      <c r="R45" s="727">
        <v>0</v>
      </c>
      <c r="S45" s="727">
        <v>0</v>
      </c>
      <c r="T45" s="727">
        <v>0</v>
      </c>
      <c r="U45" s="727">
        <v>0</v>
      </c>
      <c r="V45" s="727">
        <v>-1830898310</v>
      </c>
      <c r="W45" s="727">
        <v>0</v>
      </c>
      <c r="X45" s="727">
        <v>0</v>
      </c>
      <c r="Y45" s="727">
        <v>0</v>
      </c>
      <c r="Z45" s="727">
        <v>0</v>
      </c>
      <c r="AA45" s="727">
        <v>0</v>
      </c>
      <c r="AB45" s="727">
        <f>'Consol PL-DTRG'!C46</f>
        <v>0</v>
      </c>
      <c r="AC45" s="727">
        <f>'Consol PL-DTRG'!D46</f>
        <v>0</v>
      </c>
      <c r="AD45" s="727">
        <f>'Consol PL-DTRG'!E46</f>
        <v>0</v>
      </c>
      <c r="AE45" s="727">
        <f>'Consol PL-DTRG'!F46</f>
        <v>0</v>
      </c>
      <c r="AF45" s="727">
        <f>'Consol PL-DTRG'!G46</f>
        <v>0</v>
      </c>
      <c r="AG45" s="727">
        <f>'Consol PL-DTRG'!H46</f>
        <v>0</v>
      </c>
      <c r="AH45" s="727">
        <f>'Consol PL-DTRG'!I46</f>
        <v>0</v>
      </c>
      <c r="AI45" s="727">
        <f>'Consol PL-DTRG'!J46</f>
        <v>0</v>
      </c>
      <c r="AJ45" s="727">
        <f>'Consol PL-DTRG'!K46</f>
        <v>0</v>
      </c>
      <c r="AK45" s="727">
        <f>'Consol PL-DTRG'!L46</f>
        <v>0</v>
      </c>
      <c r="AL45" s="727">
        <f>'Consol PL-DTRG'!M46</f>
        <v>0</v>
      </c>
      <c r="AM45" s="727">
        <f>'Consol PL-DTRG'!N46</f>
        <v>0</v>
      </c>
    </row>
    <row r="46" spans="1:39">
      <c r="A46" s="72">
        <v>20</v>
      </c>
      <c r="B46" s="68" t="s">
        <v>38</v>
      </c>
      <c r="D46" s="86">
        <v>-719985770</v>
      </c>
      <c r="E46" s="86">
        <v>-6758932844</v>
      </c>
      <c r="F46" s="86">
        <v>-2743321288</v>
      </c>
      <c r="G46" s="86">
        <v>1668340417</v>
      </c>
      <c r="H46" s="86">
        <v>-5691808171</v>
      </c>
      <c r="I46" s="86">
        <v>-12142648645</v>
      </c>
      <c r="J46" s="86">
        <v>-15194276334</v>
      </c>
      <c r="K46" s="86">
        <v>-10046945859</v>
      </c>
      <c r="L46" s="86">
        <v>8118268598</v>
      </c>
      <c r="M46" s="86">
        <v>-6348711814</v>
      </c>
      <c r="N46" s="86">
        <v>-6052149672</v>
      </c>
      <c r="O46" s="86">
        <v>89574353974</v>
      </c>
      <c r="P46" s="86">
        <v>2235655725</v>
      </c>
      <c r="Q46" s="86">
        <v>14060228686</v>
      </c>
      <c r="R46" s="86">
        <v>5744259883</v>
      </c>
      <c r="S46" s="86">
        <v>3259240884</v>
      </c>
      <c r="T46" s="86">
        <v>9298960129</v>
      </c>
      <c r="U46" s="86">
        <v>685312244</v>
      </c>
      <c r="V46" s="86">
        <v>3243206320</v>
      </c>
      <c r="W46" s="86">
        <v>2549153182</v>
      </c>
      <c r="X46" s="86">
        <v>-11188086980</v>
      </c>
      <c r="Y46" s="86">
        <v>-4881782889</v>
      </c>
      <c r="Z46" s="86">
        <v>-7987053976</v>
      </c>
      <c r="AA46" s="86">
        <v>2345610302</v>
      </c>
      <c r="AB46" s="86">
        <f ca="1">'Consol PL-DTRG'!C47</f>
        <v>67196450.944738448</v>
      </c>
      <c r="AC46" s="86">
        <f ca="1">'Consol PL-DTRG'!D47</f>
        <v>-2876783527.5726547</v>
      </c>
      <c r="AD46" s="86">
        <f ca="1">'Consol PL-DTRG'!E47</f>
        <v>3604952155.4908915</v>
      </c>
      <c r="AE46" s="86">
        <f ca="1">'Consol PL-DTRG'!F47</f>
        <v>1532697541.676712</v>
      </c>
      <c r="AF46" s="86">
        <f ca="1">'Consol PL-DTRG'!G47</f>
        <v>2762502221.5892191</v>
      </c>
      <c r="AG46" s="86">
        <f ca="1">'Consol PL-DTRG'!H47</f>
        <v>1386776170.405735</v>
      </c>
      <c r="AH46" s="86">
        <f ca="1">'Consol PL-DTRG'!I47</f>
        <v>7165598532.4166641</v>
      </c>
      <c r="AI46" s="86">
        <f ca="1">'Consol PL-DTRG'!J47</f>
        <v>6724187523.1802187</v>
      </c>
      <c r="AJ46" s="86">
        <f ca="1">'Consol PL-DTRG'!K47</f>
        <v>6271647773.8832846</v>
      </c>
      <c r="AK46" s="86">
        <f ca="1">'Consol PL-DTRG'!L47</f>
        <v>6922622324.6141891</v>
      </c>
      <c r="AL46" s="86">
        <f ca="1">'Consol PL-DTRG'!M47</f>
        <v>7365680402.0527401</v>
      </c>
      <c r="AM46" s="86">
        <f ca="1">'Consol PL-DTRG'!N47</f>
        <v>5562869869.5073376</v>
      </c>
    </row>
    <row r="48" spans="1:39" s="717" customFormat="1">
      <c r="A48" s="734"/>
      <c r="B48" s="734" t="s">
        <v>546</v>
      </c>
      <c r="C48" s="734"/>
      <c r="D48" s="826">
        <f t="shared" ref="D48:P48" si="0">SUM(D49:D52)</f>
        <v>3935422859</v>
      </c>
      <c r="E48" s="826">
        <f t="shared" si="0"/>
        <v>3945256529</v>
      </c>
      <c r="F48" s="826">
        <f t="shared" si="0"/>
        <v>3941710034</v>
      </c>
      <c r="G48" s="826">
        <f t="shared" si="0"/>
        <v>4176778135</v>
      </c>
      <c r="H48" s="826">
        <f t="shared" si="0"/>
        <v>4265236429</v>
      </c>
      <c r="I48" s="826">
        <f t="shared" si="0"/>
        <v>4239641424</v>
      </c>
      <c r="J48" s="826">
        <f t="shared" si="0"/>
        <v>4278667037</v>
      </c>
      <c r="K48" s="826">
        <f t="shared" si="0"/>
        <v>4312396443</v>
      </c>
      <c r="L48" s="826">
        <f t="shared" si="0"/>
        <v>4447445993</v>
      </c>
      <c r="M48" s="826">
        <f t="shared" si="0"/>
        <v>4467524904</v>
      </c>
      <c r="N48" s="826">
        <f t="shared" si="0"/>
        <v>4494861573</v>
      </c>
      <c r="O48" s="826">
        <f t="shared" si="0"/>
        <v>4792296828</v>
      </c>
      <c r="P48" s="826">
        <f t="shared" si="0"/>
        <v>4869731514</v>
      </c>
      <c r="Q48" s="826">
        <f>SUM(Q49:Q52)</f>
        <v>4871682917</v>
      </c>
      <c r="R48" s="826">
        <f t="shared" ref="R48:AM48" si="1">SUM(R49:R52)</f>
        <v>5074245337</v>
      </c>
      <c r="S48" s="826">
        <f t="shared" si="1"/>
        <v>5011765623</v>
      </c>
      <c r="T48" s="826">
        <f t="shared" si="1"/>
        <v>5177413937</v>
      </c>
      <c r="U48" s="826">
        <f t="shared" si="1"/>
        <v>5167876130</v>
      </c>
      <c r="V48" s="826">
        <f t="shared" si="1"/>
        <v>5183350528</v>
      </c>
      <c r="W48" s="826">
        <f t="shared" si="1"/>
        <v>5169671321</v>
      </c>
      <c r="X48" s="826">
        <f t="shared" si="1"/>
        <v>5509530706</v>
      </c>
      <c r="Y48" s="826">
        <f t="shared" si="1"/>
        <v>5362887350</v>
      </c>
      <c r="Z48" s="826">
        <f t="shared" si="1"/>
        <v>5527915050</v>
      </c>
      <c r="AA48" s="826">
        <f t="shared" si="1"/>
        <v>5597408199</v>
      </c>
      <c r="AB48" s="826">
        <f t="shared" si="1"/>
        <v>5992572584.4102192</v>
      </c>
      <c r="AC48" s="826">
        <f t="shared" si="1"/>
        <v>6371300002.0267067</v>
      </c>
      <c r="AD48" s="826">
        <f t="shared" si="1"/>
        <v>6478956446.2417603</v>
      </c>
      <c r="AE48" s="826">
        <f t="shared" si="1"/>
        <v>6554191383.7399693</v>
      </c>
      <c r="AF48" s="826">
        <f t="shared" si="1"/>
        <v>6570144439.7399693</v>
      </c>
      <c r="AG48" s="826">
        <f t="shared" si="1"/>
        <v>6712119577.7399693</v>
      </c>
      <c r="AH48" s="826">
        <f t="shared" si="1"/>
        <v>6712119577.7399693</v>
      </c>
      <c r="AI48" s="826">
        <f t="shared" si="1"/>
        <v>6712119577.7399693</v>
      </c>
      <c r="AJ48" s="826">
        <f t="shared" si="1"/>
        <v>6712119577.7399693</v>
      </c>
      <c r="AK48" s="826">
        <f t="shared" si="1"/>
        <v>6742300121.8510799</v>
      </c>
      <c r="AL48" s="826">
        <f t="shared" si="1"/>
        <v>6742300121.8510799</v>
      </c>
      <c r="AM48" s="826">
        <f t="shared" si="1"/>
        <v>6748464010.8510799</v>
      </c>
    </row>
    <row r="49" spans="1:39">
      <c r="A49" s="741"/>
      <c r="B49" s="741" t="s">
        <v>0</v>
      </c>
      <c r="C49" s="741"/>
      <c r="D49" s="815">
        <v>2998479509</v>
      </c>
      <c r="E49" s="815">
        <v>3003358762</v>
      </c>
      <c r="F49" s="815">
        <v>2998978933</v>
      </c>
      <c r="G49" s="815">
        <v>3181024399</v>
      </c>
      <c r="H49" s="815">
        <v>3238724278</v>
      </c>
      <c r="I49" s="815">
        <v>3240440023</v>
      </c>
      <c r="J49" s="815">
        <v>3274496481</v>
      </c>
      <c r="K49" s="815">
        <v>3295429795</v>
      </c>
      <c r="L49" s="815">
        <v>3434711622</v>
      </c>
      <c r="M49" s="815">
        <v>3434792405</v>
      </c>
      <c r="N49" s="815">
        <v>3448986541</v>
      </c>
      <c r="O49" s="815">
        <v>3762460661</v>
      </c>
      <c r="P49" s="815">
        <v>3803154168</v>
      </c>
      <c r="Q49" s="815">
        <v>3804698614</v>
      </c>
      <c r="R49" s="815">
        <v>4002633975</v>
      </c>
      <c r="S49" s="815">
        <v>3905195928</v>
      </c>
      <c r="T49" s="815">
        <v>4091854986</v>
      </c>
      <c r="U49" s="815">
        <v>4087468338</v>
      </c>
      <c r="V49" s="815">
        <v>4085457551</v>
      </c>
      <c r="W49" s="815">
        <v>4092995160</v>
      </c>
      <c r="X49" s="815">
        <v>4407500048</v>
      </c>
      <c r="Y49" s="815">
        <v>4260856692</v>
      </c>
      <c r="Z49" s="815">
        <v>4421950561</v>
      </c>
      <c r="AA49" s="815">
        <v>4442318343</v>
      </c>
      <c r="AB49" s="815">
        <f>'Consol PL-DTRG'!AS51</f>
        <v>5303490060.9208145</v>
      </c>
      <c r="AC49" s="815">
        <f>'Consol PL-DTRG'!AT51</f>
        <v>5687882012.9208145</v>
      </c>
      <c r="AD49" s="815">
        <f>'Consol PL-DTRG'!AU51</f>
        <v>5775901232.9208145</v>
      </c>
      <c r="AE49" s="815">
        <f>'Consol PL-DTRG'!AV51</f>
        <v>5810141510.9208145</v>
      </c>
      <c r="AF49" s="815">
        <f>'Consol PL-DTRG'!AW51</f>
        <v>5826094566.9208145</v>
      </c>
      <c r="AG49" s="815">
        <f>'Consol PL-DTRG'!AX51</f>
        <v>5968069704.9208145</v>
      </c>
      <c r="AH49" s="815">
        <f>'Consol PL-DTRG'!AY51</f>
        <v>5968069704.9208145</v>
      </c>
      <c r="AI49" s="815">
        <f>'Consol PL-DTRG'!AZ51</f>
        <v>5968069704.9208145</v>
      </c>
      <c r="AJ49" s="815">
        <f>'Consol PL-DTRG'!BA51</f>
        <v>5968069704.9208145</v>
      </c>
      <c r="AK49" s="815">
        <f>'Consol PL-DTRG'!BB51</f>
        <v>5980889137.9208145</v>
      </c>
      <c r="AL49" s="815">
        <f>'Consol PL-DTRG'!BC51</f>
        <v>5980889137.9208145</v>
      </c>
      <c r="AM49" s="815">
        <f>'Consol PL-DTRG'!BD51</f>
        <v>5993164137.9208145</v>
      </c>
    </row>
    <row r="50" spans="1:39">
      <c r="A50" s="741"/>
      <c r="B50" s="741" t="s">
        <v>200</v>
      </c>
      <c r="C50" s="741"/>
      <c r="D50" s="815">
        <v>331249956</v>
      </c>
      <c r="E50" s="815">
        <v>331249956</v>
      </c>
      <c r="F50" s="815">
        <v>332083289</v>
      </c>
      <c r="G50" s="815">
        <v>336375102</v>
      </c>
      <c r="H50" s="815">
        <v>350875102</v>
      </c>
      <c r="I50" s="815">
        <v>328075101</v>
      </c>
      <c r="J50" s="815">
        <v>332253010</v>
      </c>
      <c r="K50" s="815">
        <v>332540768</v>
      </c>
      <c r="L50" s="815">
        <v>328308488</v>
      </c>
      <c r="M50" s="815">
        <v>324936189</v>
      </c>
      <c r="N50" s="815">
        <v>324936189</v>
      </c>
      <c r="O50" s="815">
        <v>324936189</v>
      </c>
      <c r="P50" s="815">
        <v>324936189</v>
      </c>
      <c r="Q50" s="815">
        <v>324936189</v>
      </c>
      <c r="R50" s="815">
        <v>329551584</v>
      </c>
      <c r="S50" s="815">
        <v>329551584</v>
      </c>
      <c r="T50" s="815">
        <v>329551584</v>
      </c>
      <c r="U50" s="815">
        <v>335010843</v>
      </c>
      <c r="V50" s="815">
        <v>336996028</v>
      </c>
      <c r="W50" s="815">
        <v>340112546</v>
      </c>
      <c r="X50" s="815">
        <v>342133709</v>
      </c>
      <c r="Y50" s="815">
        <v>342133709</v>
      </c>
      <c r="Z50" s="815">
        <v>347910129</v>
      </c>
      <c r="AA50" s="815">
        <v>355474699</v>
      </c>
      <c r="AB50" s="815">
        <f>'Consol PL-DTRG'!BU51</f>
        <v>198196426.46666667</v>
      </c>
      <c r="AC50" s="815">
        <f>'Consol PL-DTRG'!BV51</f>
        <v>198557537.24444446</v>
      </c>
      <c r="AD50" s="815">
        <f>'Consol PL-DTRG'!BW51</f>
        <v>212724203.91111115</v>
      </c>
      <c r="AE50" s="815">
        <f>'Consol PL-DTRG'!BX51</f>
        <v>251710315.02222228</v>
      </c>
      <c r="AF50" s="815">
        <f>'Consol PL-DTRG'!BY51</f>
        <v>251710315.02222228</v>
      </c>
      <c r="AG50" s="815">
        <f>'Consol PL-DTRG'!BZ51</f>
        <v>251710315.02222228</v>
      </c>
      <c r="AH50" s="815">
        <f>'Consol PL-DTRG'!CA51</f>
        <v>251710315.02222228</v>
      </c>
      <c r="AI50" s="815">
        <f>'Consol PL-DTRG'!CB51</f>
        <v>251710315.02222228</v>
      </c>
      <c r="AJ50" s="815">
        <f>'Consol PL-DTRG'!CC51</f>
        <v>251710315.02222228</v>
      </c>
      <c r="AK50" s="815">
        <f>'Consol PL-DTRG'!CD51</f>
        <v>251710315.02222228</v>
      </c>
      <c r="AL50" s="815">
        <f>'Consol PL-DTRG'!CE51</f>
        <v>251710315.02222228</v>
      </c>
      <c r="AM50" s="815">
        <f>'Consol PL-DTRG'!CF51</f>
        <v>245599204.02222228</v>
      </c>
    </row>
    <row r="51" spans="1:39">
      <c r="A51" s="741"/>
      <c r="B51" s="741" t="s">
        <v>201</v>
      </c>
      <c r="C51" s="741"/>
      <c r="D51" s="815">
        <v>112003532</v>
      </c>
      <c r="E51" s="815">
        <v>112003532</v>
      </c>
      <c r="F51" s="815">
        <v>112003532</v>
      </c>
      <c r="G51" s="815">
        <v>112003532</v>
      </c>
      <c r="H51" s="815">
        <v>117514284</v>
      </c>
      <c r="I51" s="815">
        <v>113003532</v>
      </c>
      <c r="J51" s="815">
        <v>113003532</v>
      </c>
      <c r="K51" s="815">
        <v>118836865</v>
      </c>
      <c r="L51" s="815">
        <v>118836865</v>
      </c>
      <c r="M51" s="815">
        <v>134265829</v>
      </c>
      <c r="N51" s="815">
        <v>147408361</v>
      </c>
      <c r="O51" s="815">
        <v>131369497</v>
      </c>
      <c r="P51" s="815">
        <v>153545190</v>
      </c>
      <c r="Q51" s="815">
        <v>155809922</v>
      </c>
      <c r="R51" s="815">
        <v>155821589</v>
      </c>
      <c r="S51" s="815">
        <v>182654922</v>
      </c>
      <c r="T51" s="815">
        <v>161644174</v>
      </c>
      <c r="U51" s="815">
        <v>162718967</v>
      </c>
      <c r="V51" s="815">
        <v>178218967</v>
      </c>
      <c r="W51" s="815">
        <v>153885633</v>
      </c>
      <c r="X51" s="815">
        <v>177218967</v>
      </c>
      <c r="Y51" s="815">
        <v>177218967</v>
      </c>
      <c r="Z51" s="815">
        <v>175376378</v>
      </c>
      <c r="AA51" s="815">
        <v>175376375</v>
      </c>
      <c r="AB51" s="815">
        <f>'Consol PL-DTRG'!CI51</f>
        <v>110758018.74238349</v>
      </c>
      <c r="AC51" s="815">
        <f>'Consol PL-DTRG'!CJ51</f>
        <v>104732373.58109318</v>
      </c>
      <c r="AD51" s="815">
        <f>'Consol PL-DTRG'!CK51</f>
        <v>112766567.12948027</v>
      </c>
      <c r="AE51" s="815">
        <f>'Consol PL-DTRG'!CL51</f>
        <v>114775115.51657705</v>
      </c>
      <c r="AF51" s="815">
        <f>'Consol PL-DTRG'!CM51</f>
        <v>114775115.51657705</v>
      </c>
      <c r="AG51" s="815">
        <f>'Consol PL-DTRG'!CN51</f>
        <v>114775115.51657705</v>
      </c>
      <c r="AH51" s="815">
        <f>'Consol PL-DTRG'!CO51</f>
        <v>114775115.51657705</v>
      </c>
      <c r="AI51" s="815">
        <f>'Consol PL-DTRG'!CP51</f>
        <v>114775115.51657705</v>
      </c>
      <c r="AJ51" s="815">
        <f>'Consol PL-DTRG'!CQ51</f>
        <v>114775115.51657705</v>
      </c>
      <c r="AK51" s="815">
        <f>'Consol PL-DTRG'!CR51</f>
        <v>114775115.51657705</v>
      </c>
      <c r="AL51" s="815">
        <f>'Consol PL-DTRG'!CS51</f>
        <v>114775115.51657705</v>
      </c>
      <c r="AM51" s="815">
        <f>'Consol PL-DTRG'!CT51</f>
        <v>114775115.51657705</v>
      </c>
    </row>
    <row r="52" spans="1:39">
      <c r="A52" s="741"/>
      <c r="B52" s="741" t="s">
        <v>202</v>
      </c>
      <c r="C52" s="741"/>
      <c r="D52" s="815">
        <v>493689862</v>
      </c>
      <c r="E52" s="815">
        <v>498644279</v>
      </c>
      <c r="F52" s="815">
        <v>498644280</v>
      </c>
      <c r="G52" s="815">
        <v>547375102</v>
      </c>
      <c r="H52" s="815">
        <v>558122765</v>
      </c>
      <c r="I52" s="815">
        <v>558122768</v>
      </c>
      <c r="J52" s="815">
        <v>558914014</v>
      </c>
      <c r="K52" s="815">
        <v>565589015</v>
      </c>
      <c r="L52" s="815">
        <v>565589018</v>
      </c>
      <c r="M52" s="815">
        <v>573530481</v>
      </c>
      <c r="N52" s="815">
        <v>573530482</v>
      </c>
      <c r="O52" s="815">
        <v>573530481</v>
      </c>
      <c r="P52" s="815">
        <v>588095967</v>
      </c>
      <c r="Q52" s="815">
        <v>586238192</v>
      </c>
      <c r="R52" s="815">
        <v>586238189</v>
      </c>
      <c r="S52" s="815">
        <v>594363189</v>
      </c>
      <c r="T52" s="815">
        <v>594363193</v>
      </c>
      <c r="U52" s="815">
        <v>582677982</v>
      </c>
      <c r="V52" s="815">
        <v>582677982</v>
      </c>
      <c r="W52" s="815">
        <v>582677982</v>
      </c>
      <c r="X52" s="815">
        <v>582677982</v>
      </c>
      <c r="Y52" s="815">
        <v>582677982</v>
      </c>
      <c r="Z52" s="815">
        <v>582677982</v>
      </c>
      <c r="AA52" s="815">
        <v>624238782</v>
      </c>
      <c r="AB52" s="815">
        <f>'Consol PL-DTRG'!CW51</f>
        <v>380128078.28035498</v>
      </c>
      <c r="AC52" s="815">
        <f>'Consol PL-DTRG'!CX51</f>
        <v>380128078.28035498</v>
      </c>
      <c r="AD52" s="815">
        <f>'Consol PL-DTRG'!CY51</f>
        <v>377564442.28035498</v>
      </c>
      <c r="AE52" s="815">
        <f>'Consol PL-DTRG'!CZ51</f>
        <v>377564442.28035498</v>
      </c>
      <c r="AF52" s="815">
        <f>'Consol PL-DTRG'!DA51</f>
        <v>377564442.28035498</v>
      </c>
      <c r="AG52" s="815">
        <f>'Consol PL-DTRG'!DB51</f>
        <v>377564442.28035498</v>
      </c>
      <c r="AH52" s="815">
        <f>'Consol PL-DTRG'!DC51</f>
        <v>377564442.28035498</v>
      </c>
      <c r="AI52" s="815">
        <f>'Consol PL-DTRG'!DD51</f>
        <v>377564442.28035498</v>
      </c>
      <c r="AJ52" s="815">
        <f>'Consol PL-DTRG'!DE51</f>
        <v>377564442.28035498</v>
      </c>
      <c r="AK52" s="815">
        <f>'Consol PL-DTRG'!DF51</f>
        <v>394925553.39146608</v>
      </c>
      <c r="AL52" s="815">
        <f>'Consol PL-DTRG'!DG51</f>
        <v>394925553.39146608</v>
      </c>
      <c r="AM52" s="815">
        <f>'Consol PL-DTRG'!DH51</f>
        <v>394925553.39146608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0789-F4B2-40B7-9BC9-FFD841F4FE59}">
  <dimension ref="A2:AM128"/>
  <sheetViews>
    <sheetView showGridLines="0" zoomScale="85" zoomScaleNormal="85" workbookViewId="0">
      <pane xSplit="3" ySplit="2" topLeftCell="AE86" activePane="bottomRight" state="frozen"/>
      <selection pane="topRight" activeCell="D1" sqref="D1"/>
      <selection pane="bottomLeft" activeCell="A3" sqref="A3"/>
      <selection pane="bottomRight" activeCell="V97" sqref="V97"/>
    </sheetView>
  </sheetViews>
  <sheetFormatPr defaultRowHeight="14.5" outlineLevelCol="1"/>
  <cols>
    <col min="2" max="2" width="61.25" customWidth="1"/>
    <col min="3" max="3" width="2.4140625" customWidth="1"/>
    <col min="4" max="28" width="19.9140625" bestFit="1" customWidth="1"/>
    <col min="29" max="38" width="19.9140625" bestFit="1" customWidth="1" outlineLevel="1"/>
    <col min="39" max="39" width="19.9140625" bestFit="1" customWidth="1"/>
  </cols>
  <sheetData>
    <row r="2" spans="1:39" ht="34.75" customHeight="1">
      <c r="A2" s="638" t="s">
        <v>403</v>
      </c>
      <c r="B2" s="630" t="s">
        <v>254</v>
      </c>
      <c r="C2" s="704"/>
      <c r="D2" s="733" t="s">
        <v>379</v>
      </c>
      <c r="E2" s="733" t="s">
        <v>380</v>
      </c>
      <c r="F2" s="733" t="s">
        <v>381</v>
      </c>
      <c r="G2" s="733" t="s">
        <v>382</v>
      </c>
      <c r="H2" s="733" t="s">
        <v>383</v>
      </c>
      <c r="I2" s="733" t="s">
        <v>384</v>
      </c>
      <c r="J2" s="733" t="s">
        <v>385</v>
      </c>
      <c r="K2" s="733" t="s">
        <v>386</v>
      </c>
      <c r="L2" s="733" t="s">
        <v>387</v>
      </c>
      <c r="M2" s="733" t="s">
        <v>388</v>
      </c>
      <c r="N2" s="733" t="s">
        <v>389</v>
      </c>
      <c r="O2" s="733" t="s">
        <v>390</v>
      </c>
      <c r="P2" s="6" t="s">
        <v>391</v>
      </c>
      <c r="Q2" s="6" t="s">
        <v>392</v>
      </c>
      <c r="R2" s="6" t="s">
        <v>393</v>
      </c>
      <c r="S2" s="6" t="s">
        <v>394</v>
      </c>
      <c r="T2" s="6" t="s">
        <v>395</v>
      </c>
      <c r="U2" s="6" t="s">
        <v>396</v>
      </c>
      <c r="V2" s="6" t="s">
        <v>397</v>
      </c>
      <c r="W2" s="6" t="s">
        <v>398</v>
      </c>
      <c r="X2" s="6" t="s">
        <v>399</v>
      </c>
      <c r="Y2" s="6" t="s">
        <v>400</v>
      </c>
      <c r="Z2" s="6" t="s">
        <v>401</v>
      </c>
      <c r="AA2" s="6" t="s">
        <v>402</v>
      </c>
      <c r="AB2" s="732" t="s">
        <v>43</v>
      </c>
      <c r="AC2" s="732" t="s">
        <v>44</v>
      </c>
      <c r="AD2" s="732" t="s">
        <v>45</v>
      </c>
      <c r="AE2" s="732" t="s">
        <v>46</v>
      </c>
      <c r="AF2" s="732" t="s">
        <v>47</v>
      </c>
      <c r="AG2" s="732" t="s">
        <v>48</v>
      </c>
      <c r="AH2" s="732" t="s">
        <v>49</v>
      </c>
      <c r="AI2" s="732" t="s">
        <v>50</v>
      </c>
      <c r="AJ2" s="732" t="s">
        <v>51</v>
      </c>
      <c r="AK2" s="732" t="s">
        <v>52</v>
      </c>
      <c r="AL2" s="732" t="s">
        <v>53</v>
      </c>
      <c r="AM2" s="732" t="s">
        <v>54</v>
      </c>
    </row>
    <row r="3" spans="1:39">
      <c r="A3" s="631">
        <v>1</v>
      </c>
      <c r="B3" s="610" t="s">
        <v>255</v>
      </c>
      <c r="D3" s="639">
        <f t="shared" ref="D3:AA3" si="0">D4+D7+D14+D22+D25+D29</f>
        <v>842504987537</v>
      </c>
      <c r="E3" s="639">
        <f t="shared" si="0"/>
        <v>828028218928</v>
      </c>
      <c r="F3" s="639">
        <f t="shared" si="0"/>
        <v>866642137961.85999</v>
      </c>
      <c r="G3" s="639">
        <f t="shared" si="0"/>
        <v>928663771131.88208</v>
      </c>
      <c r="H3" s="639">
        <f t="shared" si="0"/>
        <v>974972463666</v>
      </c>
      <c r="I3" s="639">
        <f t="shared" si="0"/>
        <v>1000977606992</v>
      </c>
      <c r="J3" s="639">
        <f t="shared" si="0"/>
        <v>945309048746</v>
      </c>
      <c r="K3" s="639">
        <f t="shared" si="0"/>
        <v>891517737502</v>
      </c>
      <c r="L3" s="639">
        <f t="shared" si="0"/>
        <v>936081186419</v>
      </c>
      <c r="M3" s="639">
        <f t="shared" si="0"/>
        <v>958515464055</v>
      </c>
      <c r="N3" s="639">
        <f t="shared" si="0"/>
        <v>1056118226546</v>
      </c>
      <c r="O3" s="639">
        <f t="shared" si="0"/>
        <v>1029421488703.4821</v>
      </c>
      <c r="P3" s="639">
        <f t="shared" si="0"/>
        <v>948017090738</v>
      </c>
      <c r="Q3" s="639">
        <f t="shared" si="0"/>
        <v>865350947449</v>
      </c>
      <c r="R3" s="639">
        <f t="shared" si="0"/>
        <v>912022523180.48193</v>
      </c>
      <c r="S3" s="639">
        <f t="shared" si="0"/>
        <v>976848146781</v>
      </c>
      <c r="T3" s="639">
        <f t="shared" si="0"/>
        <v>1029083422325</v>
      </c>
      <c r="U3" s="639">
        <f t="shared" si="0"/>
        <v>1063373742518.4821</v>
      </c>
      <c r="V3" s="639">
        <f t="shared" si="0"/>
        <v>1058451310914.4821</v>
      </c>
      <c r="W3" s="639">
        <f t="shared" si="0"/>
        <v>1119802194415.4819</v>
      </c>
      <c r="X3" s="639">
        <f t="shared" si="0"/>
        <v>1098805071473.4821</v>
      </c>
      <c r="Y3" s="639">
        <f t="shared" si="0"/>
        <v>1036939679178.4821</v>
      </c>
      <c r="Z3" s="639">
        <f t="shared" si="0"/>
        <v>1015910101078.4821</v>
      </c>
      <c r="AA3" s="639">
        <f t="shared" si="0"/>
        <v>1006445367388.4821</v>
      </c>
      <c r="AB3" s="639">
        <f t="shared" ref="AB3:AM3" ca="1" si="1">AB4+AB7+AB14+AB22+AB25+AB29</f>
        <v>996172248508.25684</v>
      </c>
      <c r="AC3" s="639">
        <f t="shared" ca="1" si="1"/>
        <v>1019571212716.8721</v>
      </c>
      <c r="AD3" s="639">
        <f t="shared" ca="1" si="1"/>
        <v>1069124544814.0198</v>
      </c>
      <c r="AE3" s="639">
        <f t="shared" ca="1" si="1"/>
        <v>1121579047860.1919</v>
      </c>
      <c r="AF3" s="639">
        <f t="shared" ca="1" si="1"/>
        <v>1110981074424.699</v>
      </c>
      <c r="AG3" s="639">
        <f t="shared" ca="1" si="1"/>
        <v>1142891155591.8755</v>
      </c>
      <c r="AH3" s="639">
        <f t="shared" ca="1" si="1"/>
        <v>1134911405693.5044</v>
      </c>
      <c r="AI3" s="639">
        <f t="shared" ca="1" si="1"/>
        <v>1140824375948.8418</v>
      </c>
      <c r="AJ3" s="639">
        <f t="shared" ca="1" si="1"/>
        <v>1141341109306.3467</v>
      </c>
      <c r="AK3" s="639">
        <f t="shared" ca="1" si="1"/>
        <v>1150850152886.0474</v>
      </c>
      <c r="AL3" s="639">
        <f t="shared" ca="1" si="1"/>
        <v>1142627780330.2336</v>
      </c>
      <c r="AM3" s="639">
        <f t="shared" ca="1" si="1"/>
        <v>1027744524674.658</v>
      </c>
    </row>
    <row r="4" spans="1:39">
      <c r="A4" s="632">
        <v>2</v>
      </c>
      <c r="B4" s="611" t="s">
        <v>256</v>
      </c>
      <c r="D4" s="14">
        <f t="shared" ref="D4:AA4" si="2">SUM(D5:D6)</f>
        <v>46633249760</v>
      </c>
      <c r="E4" s="14">
        <f t="shared" si="2"/>
        <v>35851802774</v>
      </c>
      <c r="F4" s="14">
        <f t="shared" si="2"/>
        <v>26393055917</v>
      </c>
      <c r="G4" s="14">
        <f t="shared" si="2"/>
        <v>34593153167</v>
      </c>
      <c r="H4" s="14">
        <f t="shared" si="2"/>
        <v>33199136312</v>
      </c>
      <c r="I4" s="14">
        <f t="shared" si="2"/>
        <v>19638634542</v>
      </c>
      <c r="J4" s="14">
        <f t="shared" si="2"/>
        <v>56271006190</v>
      </c>
      <c r="K4" s="14">
        <f t="shared" si="2"/>
        <v>35429490170</v>
      </c>
      <c r="L4" s="14">
        <f t="shared" si="2"/>
        <v>48429525475</v>
      </c>
      <c r="M4" s="14">
        <f t="shared" si="2"/>
        <v>78014775934</v>
      </c>
      <c r="N4" s="14">
        <f t="shared" si="2"/>
        <v>81105192016</v>
      </c>
      <c r="O4" s="14">
        <f t="shared" si="2"/>
        <v>78515947311</v>
      </c>
      <c r="P4" s="14">
        <f t="shared" si="2"/>
        <v>108757458297</v>
      </c>
      <c r="Q4" s="14">
        <f t="shared" si="2"/>
        <v>63047560922</v>
      </c>
      <c r="R4" s="14">
        <f t="shared" si="2"/>
        <v>57546333332</v>
      </c>
      <c r="S4" s="14">
        <f t="shared" si="2"/>
        <v>72781093895</v>
      </c>
      <c r="T4" s="14">
        <f t="shared" si="2"/>
        <v>53850392378</v>
      </c>
      <c r="U4" s="14">
        <f t="shared" si="2"/>
        <v>47310681042</v>
      </c>
      <c r="V4" s="14">
        <f t="shared" si="2"/>
        <v>46943683940</v>
      </c>
      <c r="W4" s="14">
        <f t="shared" si="2"/>
        <v>52760383890</v>
      </c>
      <c r="X4" s="14">
        <f t="shared" si="2"/>
        <v>94749581700</v>
      </c>
      <c r="Y4" s="14">
        <f t="shared" si="2"/>
        <v>86336513720</v>
      </c>
      <c r="Z4" s="14">
        <f t="shared" si="2"/>
        <v>82814145673</v>
      </c>
      <c r="AA4" s="14">
        <f t="shared" si="2"/>
        <v>63726156404</v>
      </c>
      <c r="AB4" s="14">
        <f t="shared" ref="AB4:AM4" si="3">SUM(AB5:AB6)</f>
        <v>45998493780.202499</v>
      </c>
      <c r="AC4" s="14">
        <f t="shared" si="3"/>
        <v>45847823862.40136</v>
      </c>
      <c r="AD4" s="14">
        <f t="shared" si="3"/>
        <v>47598465662.600174</v>
      </c>
      <c r="AE4" s="14">
        <f t="shared" si="3"/>
        <v>39102023217.88047</v>
      </c>
      <c r="AF4" s="14">
        <f t="shared" si="3"/>
        <v>50263717370.396721</v>
      </c>
      <c r="AG4" s="14">
        <f t="shared" si="3"/>
        <v>48674731098.350868</v>
      </c>
      <c r="AH4" s="14">
        <f t="shared" si="3"/>
        <v>48995443060.962402</v>
      </c>
      <c r="AI4" s="14">
        <f t="shared" si="3"/>
        <v>56902871342.505852</v>
      </c>
      <c r="AJ4" s="14">
        <f t="shared" si="3"/>
        <v>42640704235.068626</v>
      </c>
      <c r="AK4" s="14">
        <f t="shared" si="3"/>
        <v>47661362743.165398</v>
      </c>
      <c r="AL4" s="14">
        <f t="shared" si="3"/>
        <v>42449188560.984062</v>
      </c>
      <c r="AM4" s="14">
        <f t="shared" si="3"/>
        <v>56555171801.128014</v>
      </c>
    </row>
    <row r="5" spans="1:39">
      <c r="A5" s="633">
        <v>3</v>
      </c>
      <c r="B5" s="612" t="s">
        <v>257</v>
      </c>
      <c r="C5" t="s">
        <v>518</v>
      </c>
      <c r="D5" s="15">
        <f>'[1]Tinh hinh tai chinh'!AN6</f>
        <v>39793249760</v>
      </c>
      <c r="E5" s="15">
        <f>'[1]Tinh hinh tai chinh'!AO6</f>
        <v>29011802774</v>
      </c>
      <c r="F5" s="15">
        <f>'[1]Tinh hinh tai chinh'!AP6</f>
        <v>21563055917</v>
      </c>
      <c r="G5" s="15">
        <f>'[1]Tinh hinh tai chinh'!AQ6</f>
        <v>25763153167</v>
      </c>
      <c r="H5" s="15">
        <f>'[1]Tinh hinh tai chinh'!AR6</f>
        <v>24369136312</v>
      </c>
      <c r="I5" s="15">
        <f>'[1]Tinh hinh tai chinh'!AS6</f>
        <v>14808634542</v>
      </c>
      <c r="J5" s="15">
        <f>'[1]Tinh hinh tai chinh'!AT6</f>
        <v>48441006190</v>
      </c>
      <c r="K5" s="15">
        <f>'[1]Tinh hinh tai chinh'!AU6</f>
        <v>27599490170</v>
      </c>
      <c r="L5" s="15">
        <f>'[1]Tinh hinh tai chinh'!AV6</f>
        <v>41429525475</v>
      </c>
      <c r="M5" s="15">
        <f>'[1]Tinh hinh tai chinh'!AW6</f>
        <v>71014775934</v>
      </c>
      <c r="N5" s="15">
        <f>'[1]Tinh hinh tai chinh'!AX6</f>
        <v>74105192016</v>
      </c>
      <c r="O5" s="15">
        <f>'[1]Tinh hinh tai chinh'!AY6</f>
        <v>61515947311</v>
      </c>
      <c r="P5" s="15">
        <f>'[1]Tinh hinh tai chinh'!AZ6</f>
        <v>98917458297</v>
      </c>
      <c r="Q5" s="15">
        <f>'[1]Tinh hinh tai chinh'!BA6</f>
        <v>53207560922</v>
      </c>
      <c r="R5" s="15">
        <f>'[1]Tinh hinh tai chinh'!BB6</f>
        <v>49746333332</v>
      </c>
      <c r="S5" s="15">
        <f>'[1]Tinh hinh tai chinh'!BC6</f>
        <v>64981093895</v>
      </c>
      <c r="T5" s="15">
        <f>'[1]Tinh hinh tai chinh'!BD6</f>
        <v>46850392378</v>
      </c>
      <c r="U5" s="15">
        <f>'[1]Tinh hinh tai chinh'!BE6</f>
        <v>40310681042</v>
      </c>
      <c r="V5" s="15">
        <f>'[1]Tinh hinh tai chinh'!BF6</f>
        <v>40943683940</v>
      </c>
      <c r="W5" s="15">
        <f>'[1]Tinh hinh tai chinh'!BG6</f>
        <v>46060383890</v>
      </c>
      <c r="X5" s="15">
        <f>'[1]Tinh hinh tai chinh'!BH6</f>
        <v>88049581700</v>
      </c>
      <c r="Y5" s="15">
        <f>'[1]Tinh hinh tai chinh'!BI6</f>
        <v>51636513720</v>
      </c>
      <c r="Z5" s="15">
        <f>'[1]Tinh hinh tai chinh'!BJ6</f>
        <v>50114145673</v>
      </c>
      <c r="AA5" s="15">
        <f>'[1]Tinh hinh tai chinh'!BK6</f>
        <v>48026156404</v>
      </c>
      <c r="AB5" s="15">
        <f>'Consol BS-DTRG'!D6</f>
        <v>45298493780.202499</v>
      </c>
      <c r="AC5" s="15">
        <f>'Consol BS-DTRG'!E6</f>
        <v>45147823862.40136</v>
      </c>
      <c r="AD5" s="15">
        <f>'Consol BS-DTRG'!F6</f>
        <v>46898465662.600174</v>
      </c>
      <c r="AE5" s="15">
        <f>'Consol BS-DTRG'!G6</f>
        <v>38402023217.88047</v>
      </c>
      <c r="AF5" s="15">
        <f>'Consol BS-DTRG'!H6</f>
        <v>49563717370.396721</v>
      </c>
      <c r="AG5" s="15">
        <f>'Consol BS-DTRG'!I6</f>
        <v>47974731098.350868</v>
      </c>
      <c r="AH5" s="15">
        <f>'Consol BS-DTRG'!J6</f>
        <v>48295443060.962402</v>
      </c>
      <c r="AI5" s="15">
        <f>'Consol BS-DTRG'!K6</f>
        <v>56202871342.505852</v>
      </c>
      <c r="AJ5" s="15">
        <f>'Consol BS-DTRG'!L6</f>
        <v>41940704235.068626</v>
      </c>
      <c r="AK5" s="15">
        <f>'Consol BS-DTRG'!M6</f>
        <v>46961362743.165398</v>
      </c>
      <c r="AL5" s="15">
        <f>'Consol BS-DTRG'!N6</f>
        <v>41749188560.984062</v>
      </c>
      <c r="AM5" s="15">
        <f>'Consol BS-DTRG'!O6</f>
        <v>55855171801.128014</v>
      </c>
    </row>
    <row r="6" spans="1:39">
      <c r="A6" s="633">
        <v>4</v>
      </c>
      <c r="B6" s="612" t="s">
        <v>258</v>
      </c>
      <c r="C6" t="s">
        <v>518</v>
      </c>
      <c r="D6" s="15">
        <f>'[1]Tinh hinh tai chinh'!AN7</f>
        <v>6840000000</v>
      </c>
      <c r="E6" s="15">
        <f>'[1]Tinh hinh tai chinh'!AO7</f>
        <v>6840000000</v>
      </c>
      <c r="F6" s="15">
        <f>'[1]Tinh hinh tai chinh'!AP7</f>
        <v>4830000000</v>
      </c>
      <c r="G6" s="15">
        <f>'[1]Tinh hinh tai chinh'!AQ7</f>
        <v>8830000000</v>
      </c>
      <c r="H6" s="15">
        <f>'[1]Tinh hinh tai chinh'!AR7</f>
        <v>8830000000</v>
      </c>
      <c r="I6" s="15">
        <f>'[1]Tinh hinh tai chinh'!AS7</f>
        <v>4830000000</v>
      </c>
      <c r="J6" s="15">
        <f>'[1]Tinh hinh tai chinh'!AT7</f>
        <v>7830000000</v>
      </c>
      <c r="K6" s="15">
        <f>'[1]Tinh hinh tai chinh'!AU7</f>
        <v>7830000000</v>
      </c>
      <c r="L6" s="15">
        <f>'[1]Tinh hinh tai chinh'!AV7</f>
        <v>7000000000</v>
      </c>
      <c r="M6" s="15">
        <f>'[1]Tinh hinh tai chinh'!AW7</f>
        <v>7000000000</v>
      </c>
      <c r="N6" s="15">
        <f>'[1]Tinh hinh tai chinh'!AX7</f>
        <v>7000000000</v>
      </c>
      <c r="O6" s="15">
        <f>'[1]Tinh hinh tai chinh'!AY7</f>
        <v>17000000000</v>
      </c>
      <c r="P6" s="15">
        <f>'[1]Tinh hinh tai chinh'!AZ7</f>
        <v>9840000000</v>
      </c>
      <c r="Q6" s="15">
        <f>'[1]Tinh hinh tai chinh'!BA7</f>
        <v>9840000000</v>
      </c>
      <c r="R6" s="15">
        <f>'[1]Tinh hinh tai chinh'!BB7</f>
        <v>7800000000</v>
      </c>
      <c r="S6" s="15">
        <f>'[1]Tinh hinh tai chinh'!BC7</f>
        <v>7800000000</v>
      </c>
      <c r="T6" s="15">
        <f>'[1]Tinh hinh tai chinh'!BD7</f>
        <v>7000000000</v>
      </c>
      <c r="U6" s="15">
        <f>'[1]Tinh hinh tai chinh'!BE7</f>
        <v>7000000000</v>
      </c>
      <c r="V6" s="15">
        <f>'[1]Tinh hinh tai chinh'!BF7</f>
        <v>6000000000</v>
      </c>
      <c r="W6" s="15">
        <f>'[1]Tinh hinh tai chinh'!BG7</f>
        <v>6700000000</v>
      </c>
      <c r="X6" s="15">
        <f>'[1]Tinh hinh tai chinh'!BH7</f>
        <v>6700000000</v>
      </c>
      <c r="Y6" s="15">
        <f>'[1]Tinh hinh tai chinh'!BI7</f>
        <v>34700000000</v>
      </c>
      <c r="Z6" s="15">
        <f>'[1]Tinh hinh tai chinh'!BJ7</f>
        <v>32700000000</v>
      </c>
      <c r="AA6" s="15">
        <f>'[1]Tinh hinh tai chinh'!BK7</f>
        <v>15700000000</v>
      </c>
      <c r="AB6" s="15">
        <f>'Consol BS-DTRG'!D7</f>
        <v>700000000</v>
      </c>
      <c r="AC6" s="15">
        <f>'Consol BS-DTRG'!E7</f>
        <v>700000000</v>
      </c>
      <c r="AD6" s="15">
        <f>'Consol BS-DTRG'!F7</f>
        <v>700000000</v>
      </c>
      <c r="AE6" s="15">
        <f>'Consol BS-DTRG'!G7</f>
        <v>700000000</v>
      </c>
      <c r="AF6" s="15">
        <f>'Consol BS-DTRG'!H7</f>
        <v>700000000</v>
      </c>
      <c r="AG6" s="15">
        <f>'Consol BS-DTRG'!I7</f>
        <v>700000000</v>
      </c>
      <c r="AH6" s="15">
        <f>'Consol BS-DTRG'!J7</f>
        <v>700000000</v>
      </c>
      <c r="AI6" s="15">
        <f>'Consol BS-DTRG'!K7</f>
        <v>700000000</v>
      </c>
      <c r="AJ6" s="15">
        <f>'Consol BS-DTRG'!L7</f>
        <v>700000000</v>
      </c>
      <c r="AK6" s="15">
        <f>'Consol BS-DTRG'!M7</f>
        <v>700000000</v>
      </c>
      <c r="AL6" s="15">
        <f>'Consol BS-DTRG'!N7</f>
        <v>700000000</v>
      </c>
      <c r="AM6" s="15">
        <f>'Consol BS-DTRG'!O7</f>
        <v>700000000</v>
      </c>
    </row>
    <row r="7" spans="1:39">
      <c r="A7" s="1">
        <v>5</v>
      </c>
      <c r="B7" s="611" t="s">
        <v>259</v>
      </c>
      <c r="D7" s="16">
        <f t="shared" ref="D7:AA7" si="4">SUM(D8:D13)</f>
        <v>108051581921</v>
      </c>
      <c r="E7" s="16">
        <f t="shared" si="4"/>
        <v>108041861921</v>
      </c>
      <c r="F7" s="16">
        <f t="shared" si="4"/>
        <v>108032141921</v>
      </c>
      <c r="G7" s="16">
        <f t="shared" si="4"/>
        <v>97522421921</v>
      </c>
      <c r="H7" s="16">
        <f t="shared" si="4"/>
        <v>97512701921</v>
      </c>
      <c r="I7" s="16">
        <f t="shared" si="4"/>
        <v>77502981921</v>
      </c>
      <c r="J7" s="16">
        <f t="shared" si="4"/>
        <v>57993261921</v>
      </c>
      <c r="K7" s="16">
        <f t="shared" si="4"/>
        <v>57983541921</v>
      </c>
      <c r="L7" s="16">
        <f t="shared" si="4"/>
        <v>58813541921</v>
      </c>
      <c r="M7" s="16">
        <f t="shared" si="4"/>
        <v>58794101921</v>
      </c>
      <c r="N7" s="16">
        <f t="shared" si="4"/>
        <v>98794101921</v>
      </c>
      <c r="O7" s="16">
        <f t="shared" si="4"/>
        <v>78774661921</v>
      </c>
      <c r="P7" s="16">
        <f t="shared" si="4"/>
        <v>2202000000</v>
      </c>
      <c r="Q7" s="16">
        <f t="shared" si="4"/>
        <v>202000000</v>
      </c>
      <c r="R7" s="16">
        <f t="shared" si="4"/>
        <v>23042000000</v>
      </c>
      <c r="S7" s="16">
        <f t="shared" si="4"/>
        <v>23042000000</v>
      </c>
      <c r="T7" s="16">
        <f t="shared" si="4"/>
        <v>23042000000</v>
      </c>
      <c r="U7" s="16">
        <f t="shared" si="4"/>
        <v>23042000000</v>
      </c>
      <c r="V7" s="16">
        <f t="shared" si="4"/>
        <v>23042000000</v>
      </c>
      <c r="W7" s="16">
        <f t="shared" si="4"/>
        <v>23042000000</v>
      </c>
      <c r="X7" s="16">
        <f t="shared" si="4"/>
        <v>23042000000</v>
      </c>
      <c r="Y7" s="16">
        <f t="shared" si="4"/>
        <v>33042000000</v>
      </c>
      <c r="Z7" s="16">
        <f t="shared" si="4"/>
        <v>33042000000</v>
      </c>
      <c r="AA7" s="16">
        <f t="shared" si="4"/>
        <v>38542000000</v>
      </c>
      <c r="AB7" s="16">
        <f t="shared" ref="AB7:AM7" si="5">SUM(AB8:AB13)</f>
        <v>33042000000</v>
      </c>
      <c r="AC7" s="16">
        <f t="shared" si="5"/>
        <v>33042000000</v>
      </c>
      <c r="AD7" s="16">
        <f t="shared" si="5"/>
        <v>33042000000</v>
      </c>
      <c r="AE7" s="16">
        <f t="shared" si="5"/>
        <v>33042000000</v>
      </c>
      <c r="AF7" s="16">
        <f t="shared" si="5"/>
        <v>33042000000</v>
      </c>
      <c r="AG7" s="16">
        <f t="shared" si="5"/>
        <v>33042000000</v>
      </c>
      <c r="AH7" s="16">
        <f t="shared" si="5"/>
        <v>33042000000</v>
      </c>
      <c r="AI7" s="16">
        <f t="shared" si="5"/>
        <v>33042000000</v>
      </c>
      <c r="AJ7" s="16">
        <f t="shared" si="5"/>
        <v>33042000000</v>
      </c>
      <c r="AK7" s="16">
        <f t="shared" si="5"/>
        <v>33042000000</v>
      </c>
      <c r="AL7" s="16">
        <f t="shared" si="5"/>
        <v>33042000000</v>
      </c>
      <c r="AM7" s="16">
        <f t="shared" si="5"/>
        <v>33042000000</v>
      </c>
    </row>
    <row r="8" spans="1:39">
      <c r="A8" s="633">
        <v>6</v>
      </c>
      <c r="B8" s="612" t="s">
        <v>260</v>
      </c>
      <c r="C8" t="s">
        <v>518</v>
      </c>
      <c r="D8" s="15">
        <f>'[1]Tinh hinh tai chinh'!AN9</f>
        <v>0</v>
      </c>
      <c r="E8" s="15">
        <f>'[1]Tinh hinh tai chinh'!AO9</f>
        <v>0</v>
      </c>
      <c r="F8" s="15">
        <f>'[1]Tinh hinh tai chinh'!AP9</f>
        <v>0</v>
      </c>
      <c r="G8" s="15">
        <f>'[1]Tinh hinh tai chinh'!AQ9</f>
        <v>0</v>
      </c>
      <c r="H8" s="15">
        <f>'[1]Tinh hinh tai chinh'!AR9</f>
        <v>0</v>
      </c>
      <c r="I8" s="15">
        <f>'[1]Tinh hinh tai chinh'!AS9</f>
        <v>0</v>
      </c>
      <c r="J8" s="15">
        <f>'[1]Tinh hinh tai chinh'!AT9</f>
        <v>0</v>
      </c>
      <c r="K8" s="15">
        <f>'[1]Tinh hinh tai chinh'!AU9</f>
        <v>0</v>
      </c>
      <c r="L8" s="15">
        <f>'[1]Tinh hinh tai chinh'!AV9</f>
        <v>0</v>
      </c>
      <c r="M8" s="15">
        <f>'[1]Tinh hinh tai chinh'!AW9</f>
        <v>0</v>
      </c>
      <c r="N8" s="15">
        <f>'[1]Tinh hinh tai chinh'!AX9</f>
        <v>0</v>
      </c>
      <c r="O8" s="15">
        <f>'[1]Tinh hinh tai chinh'!AY9</f>
        <v>0</v>
      </c>
      <c r="P8" s="15">
        <f>'[1]Tinh hinh tai chinh'!AZ9</f>
        <v>0</v>
      </c>
      <c r="Q8" s="15">
        <f>'[1]Tinh hinh tai chinh'!BA9</f>
        <v>0</v>
      </c>
      <c r="R8" s="15">
        <f>'[1]Tinh hinh tai chinh'!BB9</f>
        <v>0</v>
      </c>
      <c r="S8" s="15">
        <f>'[1]Tinh hinh tai chinh'!BC9</f>
        <v>0</v>
      </c>
      <c r="T8" s="15">
        <f>'[1]Tinh hinh tai chinh'!BD9</f>
        <v>0</v>
      </c>
      <c r="U8" s="15">
        <f>'[1]Tinh hinh tai chinh'!BE9</f>
        <v>0</v>
      </c>
      <c r="V8" s="15">
        <f>'[1]Tinh hinh tai chinh'!BF9</f>
        <v>0</v>
      </c>
      <c r="W8" s="15">
        <f>'[1]Tinh hinh tai chinh'!BG9</f>
        <v>0</v>
      </c>
      <c r="X8" s="15">
        <f>'[1]Tinh hinh tai chinh'!BH9</f>
        <v>0</v>
      </c>
      <c r="Y8" s="15">
        <f>'[1]Tinh hinh tai chinh'!BI9</f>
        <v>0</v>
      </c>
      <c r="Z8" s="15">
        <f>'[1]Tinh hinh tai chinh'!BJ9</f>
        <v>0</v>
      </c>
      <c r="AA8" s="15">
        <f>'[1]Tinh hinh tai chinh'!BK9</f>
        <v>0</v>
      </c>
      <c r="AB8" s="15">
        <f>'Consol BS-DTRG'!D9</f>
        <v>0</v>
      </c>
      <c r="AC8" s="15">
        <f>'Consol BS-DTRG'!E9</f>
        <v>0</v>
      </c>
      <c r="AD8" s="15">
        <f>'Consol BS-DTRG'!F9</f>
        <v>0</v>
      </c>
      <c r="AE8" s="15">
        <f>'Consol BS-DTRG'!G9</f>
        <v>0</v>
      </c>
      <c r="AF8" s="15">
        <f>'Consol BS-DTRG'!H9</f>
        <v>0</v>
      </c>
      <c r="AG8" s="15">
        <f>'Consol BS-DTRG'!I9</f>
        <v>0</v>
      </c>
      <c r="AH8" s="15">
        <f>'Consol BS-DTRG'!J9</f>
        <v>0</v>
      </c>
      <c r="AI8" s="15">
        <f>'Consol BS-DTRG'!K9</f>
        <v>0</v>
      </c>
      <c r="AJ8" s="15">
        <f>'Consol BS-DTRG'!L9</f>
        <v>0</v>
      </c>
      <c r="AK8" s="15">
        <f>'Consol BS-DTRG'!M9</f>
        <v>0</v>
      </c>
      <c r="AL8" s="15">
        <f>'Consol BS-DTRG'!N9</f>
        <v>0</v>
      </c>
      <c r="AM8" s="15">
        <f>'Consol BS-DTRG'!O9</f>
        <v>0</v>
      </c>
    </row>
    <row r="9" spans="1:39">
      <c r="A9" s="633">
        <v>7</v>
      </c>
      <c r="B9" s="612" t="s">
        <v>261</v>
      </c>
      <c r="C9" t="s">
        <v>518</v>
      </c>
      <c r="D9" s="15">
        <f>'[1]Tinh hinh tai chinh'!AN10</f>
        <v>0</v>
      </c>
      <c r="E9" s="15">
        <f>'[1]Tinh hinh tai chinh'!AO10</f>
        <v>0</v>
      </c>
      <c r="F9" s="15">
        <f>'[1]Tinh hinh tai chinh'!AP10</f>
        <v>0</v>
      </c>
      <c r="G9" s="15">
        <f>'[1]Tinh hinh tai chinh'!AQ10</f>
        <v>0</v>
      </c>
      <c r="H9" s="15">
        <f>'[1]Tinh hinh tai chinh'!AR10</f>
        <v>0</v>
      </c>
      <c r="I9" s="15">
        <f>'[1]Tinh hinh tai chinh'!AS10</f>
        <v>0</v>
      </c>
      <c r="J9" s="15">
        <f>'[1]Tinh hinh tai chinh'!AT10</f>
        <v>0</v>
      </c>
      <c r="K9" s="15">
        <f>'[1]Tinh hinh tai chinh'!AU10</f>
        <v>0</v>
      </c>
      <c r="L9" s="15">
        <f>'[1]Tinh hinh tai chinh'!AV10</f>
        <v>0</v>
      </c>
      <c r="M9" s="15">
        <f>'[1]Tinh hinh tai chinh'!AW10</f>
        <v>0</v>
      </c>
      <c r="N9" s="15">
        <f>'[1]Tinh hinh tai chinh'!AX10</f>
        <v>0</v>
      </c>
      <c r="O9" s="15">
        <f>'[1]Tinh hinh tai chinh'!AY10</f>
        <v>0</v>
      </c>
      <c r="P9" s="15">
        <f>'[1]Tinh hinh tai chinh'!AZ10</f>
        <v>0</v>
      </c>
      <c r="Q9" s="15">
        <f>'[1]Tinh hinh tai chinh'!BA10</f>
        <v>0</v>
      </c>
      <c r="R9" s="15">
        <f>'[1]Tinh hinh tai chinh'!BB10</f>
        <v>0</v>
      </c>
      <c r="S9" s="15">
        <f>'[1]Tinh hinh tai chinh'!BC10</f>
        <v>0</v>
      </c>
      <c r="T9" s="15">
        <f>'[1]Tinh hinh tai chinh'!BD10</f>
        <v>0</v>
      </c>
      <c r="U9" s="15">
        <f>'[1]Tinh hinh tai chinh'!BE10</f>
        <v>0</v>
      </c>
      <c r="V9" s="15">
        <f>'[1]Tinh hinh tai chinh'!BF10</f>
        <v>0</v>
      </c>
      <c r="W9" s="15">
        <f>'[1]Tinh hinh tai chinh'!BG10</f>
        <v>0</v>
      </c>
      <c r="X9" s="15">
        <f>'[1]Tinh hinh tai chinh'!BH10</f>
        <v>0</v>
      </c>
      <c r="Y9" s="15">
        <f>'[1]Tinh hinh tai chinh'!BI10</f>
        <v>0</v>
      </c>
      <c r="Z9" s="15">
        <f>'[1]Tinh hinh tai chinh'!BJ10</f>
        <v>0</v>
      </c>
      <c r="AA9" s="15">
        <f>'[1]Tinh hinh tai chinh'!BK10</f>
        <v>0</v>
      </c>
      <c r="AB9" s="15">
        <f>'Consol BS-DTRG'!D10</f>
        <v>0</v>
      </c>
      <c r="AC9" s="15">
        <f>'Consol BS-DTRG'!E10</f>
        <v>0</v>
      </c>
      <c r="AD9" s="15">
        <f>'Consol BS-DTRG'!F10</f>
        <v>0</v>
      </c>
      <c r="AE9" s="15">
        <f>'Consol BS-DTRG'!G10</f>
        <v>0</v>
      </c>
      <c r="AF9" s="15">
        <f>'Consol BS-DTRG'!H10</f>
        <v>0</v>
      </c>
      <c r="AG9" s="15">
        <f>'Consol BS-DTRG'!I10</f>
        <v>0</v>
      </c>
      <c r="AH9" s="15">
        <f>'Consol BS-DTRG'!J10</f>
        <v>0</v>
      </c>
      <c r="AI9" s="15">
        <f>'Consol BS-DTRG'!K10</f>
        <v>0</v>
      </c>
      <c r="AJ9" s="15">
        <f>'Consol BS-DTRG'!L10</f>
        <v>0</v>
      </c>
      <c r="AK9" s="15">
        <f>'Consol BS-DTRG'!M10</f>
        <v>0</v>
      </c>
      <c r="AL9" s="15">
        <f>'Consol BS-DTRG'!N10</f>
        <v>0</v>
      </c>
      <c r="AM9" s="15">
        <f>'Consol BS-DTRG'!O10</f>
        <v>0</v>
      </c>
    </row>
    <row r="10" spans="1:39">
      <c r="A10" s="633">
        <v>8</v>
      </c>
      <c r="B10" s="613" t="s">
        <v>262</v>
      </c>
      <c r="C10" t="s">
        <v>518</v>
      </c>
      <c r="D10" s="15">
        <f>'[1]Tinh hinh tai chinh'!AN11</f>
        <v>108051581921</v>
      </c>
      <c r="E10" s="15">
        <f>'[1]Tinh hinh tai chinh'!AO11</f>
        <v>108041861921</v>
      </c>
      <c r="F10" s="15">
        <f>'[1]Tinh hinh tai chinh'!AP11</f>
        <v>108032141921</v>
      </c>
      <c r="G10" s="15">
        <f>'[1]Tinh hinh tai chinh'!AQ11</f>
        <v>97522421921</v>
      </c>
      <c r="H10" s="15">
        <f>'[1]Tinh hinh tai chinh'!AR11</f>
        <v>97512701921</v>
      </c>
      <c r="I10" s="15">
        <f>'[1]Tinh hinh tai chinh'!AS11</f>
        <v>77502981921</v>
      </c>
      <c r="J10" s="15">
        <f>'[1]Tinh hinh tai chinh'!AT11</f>
        <v>57993261921</v>
      </c>
      <c r="K10" s="15">
        <f>'[1]Tinh hinh tai chinh'!AU11</f>
        <v>57983541921</v>
      </c>
      <c r="L10" s="15">
        <f>'[1]Tinh hinh tai chinh'!AV11</f>
        <v>58813541921</v>
      </c>
      <c r="M10" s="15">
        <f>'[1]Tinh hinh tai chinh'!AW11</f>
        <v>58794101921</v>
      </c>
      <c r="N10" s="15">
        <f>'[1]Tinh hinh tai chinh'!AX11</f>
        <v>98794101921</v>
      </c>
      <c r="O10" s="15">
        <f>'[1]Tinh hinh tai chinh'!AY11</f>
        <v>78774661921</v>
      </c>
      <c r="P10" s="15">
        <f>'[1]Tinh hinh tai chinh'!AZ11</f>
        <v>2202000000</v>
      </c>
      <c r="Q10" s="15">
        <f>'[1]Tinh hinh tai chinh'!BA11</f>
        <v>202000000</v>
      </c>
      <c r="R10" s="15">
        <f>'[1]Tinh hinh tai chinh'!BB11</f>
        <v>23042000000</v>
      </c>
      <c r="S10" s="15">
        <f>'[1]Tinh hinh tai chinh'!BC11</f>
        <v>23042000000</v>
      </c>
      <c r="T10" s="15">
        <f>'[1]Tinh hinh tai chinh'!BD11</f>
        <v>23042000000</v>
      </c>
      <c r="U10" s="15">
        <f>'[1]Tinh hinh tai chinh'!BE11</f>
        <v>23042000000</v>
      </c>
      <c r="V10" s="15">
        <f>'[1]Tinh hinh tai chinh'!BF11</f>
        <v>23042000000</v>
      </c>
      <c r="W10" s="15">
        <f>'[1]Tinh hinh tai chinh'!BG11</f>
        <v>23042000000</v>
      </c>
      <c r="X10" s="15">
        <f>'[1]Tinh hinh tai chinh'!BH11</f>
        <v>23042000000</v>
      </c>
      <c r="Y10" s="15">
        <f>'[1]Tinh hinh tai chinh'!BI11</f>
        <v>33042000000</v>
      </c>
      <c r="Z10" s="15">
        <f>'[1]Tinh hinh tai chinh'!BJ11</f>
        <v>33042000000</v>
      </c>
      <c r="AA10" s="15">
        <f>'[1]Tinh hinh tai chinh'!BK11</f>
        <v>38542000000</v>
      </c>
      <c r="AB10" s="15">
        <f>'Consol BS-DTRG'!D11</f>
        <v>33042000000</v>
      </c>
      <c r="AC10" s="15">
        <f>'Consol BS-DTRG'!E11</f>
        <v>33042000000</v>
      </c>
      <c r="AD10" s="15">
        <f>'Consol BS-DTRG'!F11</f>
        <v>33042000000</v>
      </c>
      <c r="AE10" s="15">
        <f>'Consol BS-DTRG'!G11</f>
        <v>33042000000</v>
      </c>
      <c r="AF10" s="15">
        <f>'Consol BS-DTRG'!H11</f>
        <v>33042000000</v>
      </c>
      <c r="AG10" s="15">
        <f>'Consol BS-DTRG'!I11</f>
        <v>33042000000</v>
      </c>
      <c r="AH10" s="15">
        <f>'Consol BS-DTRG'!J11</f>
        <v>33042000000</v>
      </c>
      <c r="AI10" s="15">
        <f>'Consol BS-DTRG'!K11</f>
        <v>33042000000</v>
      </c>
      <c r="AJ10" s="15">
        <f>'Consol BS-DTRG'!L11</f>
        <v>33042000000</v>
      </c>
      <c r="AK10" s="15">
        <f>'Consol BS-DTRG'!M11</f>
        <v>33042000000</v>
      </c>
      <c r="AL10" s="15">
        <f>'Consol BS-DTRG'!N11</f>
        <v>33042000000</v>
      </c>
      <c r="AM10" s="15">
        <f>'Consol BS-DTRG'!O11</f>
        <v>33042000000</v>
      </c>
    </row>
    <row r="11" spans="1:39">
      <c r="A11" s="633">
        <v>9</v>
      </c>
      <c r="B11" s="613" t="s">
        <v>263</v>
      </c>
      <c r="C11" t="s">
        <v>518</v>
      </c>
      <c r="D11" s="15">
        <f>'[1]Tinh hinh tai chinh'!AN12</f>
        <v>0</v>
      </c>
      <c r="E11" s="15">
        <f>'[1]Tinh hinh tai chinh'!AO12</f>
        <v>0</v>
      </c>
      <c r="F11" s="15">
        <f>'[1]Tinh hinh tai chinh'!AP12</f>
        <v>0</v>
      </c>
      <c r="G11" s="15">
        <f>'[1]Tinh hinh tai chinh'!AQ12</f>
        <v>0</v>
      </c>
      <c r="H11" s="15">
        <f>'[1]Tinh hinh tai chinh'!AR12</f>
        <v>0</v>
      </c>
      <c r="I11" s="15">
        <f>'[1]Tinh hinh tai chinh'!AS12</f>
        <v>0</v>
      </c>
      <c r="J11" s="15">
        <f>'[1]Tinh hinh tai chinh'!AT12</f>
        <v>0</v>
      </c>
      <c r="K11" s="15">
        <f>'[1]Tinh hinh tai chinh'!AU12</f>
        <v>0</v>
      </c>
      <c r="L11" s="15">
        <f>'[1]Tinh hinh tai chinh'!AV12</f>
        <v>0</v>
      </c>
      <c r="M11" s="15">
        <f>'[1]Tinh hinh tai chinh'!AW12</f>
        <v>0</v>
      </c>
      <c r="N11" s="15">
        <f>'[1]Tinh hinh tai chinh'!AX12</f>
        <v>0</v>
      </c>
      <c r="O11" s="15">
        <f>'[1]Tinh hinh tai chinh'!AY12</f>
        <v>0</v>
      </c>
      <c r="P11" s="15">
        <f>'[1]Tinh hinh tai chinh'!AZ12</f>
        <v>0</v>
      </c>
      <c r="Q11" s="15">
        <f>'[1]Tinh hinh tai chinh'!BA12</f>
        <v>0</v>
      </c>
      <c r="R11" s="15">
        <f>'[1]Tinh hinh tai chinh'!BB12</f>
        <v>0</v>
      </c>
      <c r="S11" s="15">
        <f>'[1]Tinh hinh tai chinh'!BC12</f>
        <v>0</v>
      </c>
      <c r="T11" s="15">
        <f>'[1]Tinh hinh tai chinh'!BD12</f>
        <v>0</v>
      </c>
      <c r="U11" s="15">
        <f>'[1]Tinh hinh tai chinh'!BE12</f>
        <v>0</v>
      </c>
      <c r="V11" s="15">
        <f>'[1]Tinh hinh tai chinh'!BF12</f>
        <v>0</v>
      </c>
      <c r="W11" s="15">
        <f>'[1]Tinh hinh tai chinh'!BG12</f>
        <v>0</v>
      </c>
      <c r="X11" s="15">
        <f>'[1]Tinh hinh tai chinh'!BH12</f>
        <v>0</v>
      </c>
      <c r="Y11" s="15">
        <f>'[1]Tinh hinh tai chinh'!BI12</f>
        <v>0</v>
      </c>
      <c r="Z11" s="15">
        <f>'[1]Tinh hinh tai chinh'!BJ12</f>
        <v>0</v>
      </c>
      <c r="AA11" s="15">
        <f>'[1]Tinh hinh tai chinh'!BK12</f>
        <v>0</v>
      </c>
      <c r="AB11" s="15">
        <f>'Consol BS-DTRG'!D12</f>
        <v>0</v>
      </c>
      <c r="AC11" s="15">
        <f>'Consol BS-DTRG'!E12</f>
        <v>0</v>
      </c>
      <c r="AD11" s="15">
        <f>'Consol BS-DTRG'!F12</f>
        <v>0</v>
      </c>
      <c r="AE11" s="15">
        <f>'Consol BS-DTRG'!G12</f>
        <v>0</v>
      </c>
      <c r="AF11" s="15">
        <f>'Consol BS-DTRG'!H12</f>
        <v>0</v>
      </c>
      <c r="AG11" s="15">
        <f>'Consol BS-DTRG'!I12</f>
        <v>0</v>
      </c>
      <c r="AH11" s="15">
        <f>'Consol BS-DTRG'!J12</f>
        <v>0</v>
      </c>
      <c r="AI11" s="15">
        <f>'Consol BS-DTRG'!K12</f>
        <v>0</v>
      </c>
      <c r="AJ11" s="15">
        <f>'Consol BS-DTRG'!L12</f>
        <v>0</v>
      </c>
      <c r="AK11" s="15">
        <f>'Consol BS-DTRG'!M12</f>
        <v>0</v>
      </c>
      <c r="AL11" s="15">
        <f>'Consol BS-DTRG'!N12</f>
        <v>0</v>
      </c>
      <c r="AM11" s="15">
        <f>'Consol BS-DTRG'!O12</f>
        <v>0</v>
      </c>
    </row>
    <row r="12" spans="1:39">
      <c r="A12" s="633">
        <v>10</v>
      </c>
      <c r="B12" s="613" t="s">
        <v>264</v>
      </c>
      <c r="C12" t="s">
        <v>518</v>
      </c>
      <c r="D12" s="15">
        <f>'[1]Tinh hinh tai chinh'!AN13</f>
        <v>0</v>
      </c>
      <c r="E12" s="15">
        <f>'[1]Tinh hinh tai chinh'!AO13</f>
        <v>0</v>
      </c>
      <c r="F12" s="15">
        <f>'[1]Tinh hinh tai chinh'!AP13</f>
        <v>0</v>
      </c>
      <c r="G12" s="15">
        <f>'[1]Tinh hinh tai chinh'!AQ13</f>
        <v>0</v>
      </c>
      <c r="H12" s="15">
        <f>'[1]Tinh hinh tai chinh'!AR13</f>
        <v>0</v>
      </c>
      <c r="I12" s="15">
        <f>'[1]Tinh hinh tai chinh'!AS13</f>
        <v>0</v>
      </c>
      <c r="J12" s="15">
        <f>'[1]Tinh hinh tai chinh'!AT13</f>
        <v>0</v>
      </c>
      <c r="K12" s="15">
        <f>'[1]Tinh hinh tai chinh'!AU13</f>
        <v>0</v>
      </c>
      <c r="L12" s="15">
        <f>'[1]Tinh hinh tai chinh'!AV13</f>
        <v>0</v>
      </c>
      <c r="M12" s="15">
        <f>'[1]Tinh hinh tai chinh'!AW13</f>
        <v>0</v>
      </c>
      <c r="N12" s="15">
        <f>'[1]Tinh hinh tai chinh'!AX13</f>
        <v>0</v>
      </c>
      <c r="O12" s="15">
        <f>'[1]Tinh hinh tai chinh'!AY13</f>
        <v>0</v>
      </c>
      <c r="P12" s="15">
        <f>'[1]Tinh hinh tai chinh'!AZ13</f>
        <v>0</v>
      </c>
      <c r="Q12" s="15">
        <f>'[1]Tinh hinh tai chinh'!BA13</f>
        <v>0</v>
      </c>
      <c r="R12" s="15">
        <f>'[1]Tinh hinh tai chinh'!BB13</f>
        <v>0</v>
      </c>
      <c r="S12" s="15">
        <f>'[1]Tinh hinh tai chinh'!BC13</f>
        <v>0</v>
      </c>
      <c r="T12" s="15">
        <f>'[1]Tinh hinh tai chinh'!BD13</f>
        <v>0</v>
      </c>
      <c r="U12" s="15">
        <f>'[1]Tinh hinh tai chinh'!BE13</f>
        <v>0</v>
      </c>
      <c r="V12" s="15">
        <f>'[1]Tinh hinh tai chinh'!BF13</f>
        <v>0</v>
      </c>
      <c r="W12" s="15">
        <f>'[1]Tinh hinh tai chinh'!BG13</f>
        <v>0</v>
      </c>
      <c r="X12" s="15">
        <f>'[1]Tinh hinh tai chinh'!BH13</f>
        <v>0</v>
      </c>
      <c r="Y12" s="15">
        <f>'[1]Tinh hinh tai chinh'!BI13</f>
        <v>0</v>
      </c>
      <c r="Z12" s="15">
        <f>'[1]Tinh hinh tai chinh'!BJ13</f>
        <v>0</v>
      </c>
      <c r="AA12" s="15">
        <f>'[1]Tinh hinh tai chinh'!BK13</f>
        <v>0</v>
      </c>
      <c r="AB12" s="15">
        <f>'Consol BS-DTRG'!D13</f>
        <v>0</v>
      </c>
      <c r="AC12" s="15">
        <f>'Consol BS-DTRG'!E13</f>
        <v>0</v>
      </c>
      <c r="AD12" s="15">
        <f>'Consol BS-DTRG'!F13</f>
        <v>0</v>
      </c>
      <c r="AE12" s="15">
        <f>'Consol BS-DTRG'!G13</f>
        <v>0</v>
      </c>
      <c r="AF12" s="15">
        <f>'Consol BS-DTRG'!H13</f>
        <v>0</v>
      </c>
      <c r="AG12" s="15">
        <f>'Consol BS-DTRG'!I13</f>
        <v>0</v>
      </c>
      <c r="AH12" s="15">
        <f>'Consol BS-DTRG'!J13</f>
        <v>0</v>
      </c>
      <c r="AI12" s="15">
        <f>'Consol BS-DTRG'!K13</f>
        <v>0</v>
      </c>
      <c r="AJ12" s="15">
        <f>'Consol BS-DTRG'!L13</f>
        <v>0</v>
      </c>
      <c r="AK12" s="15">
        <f>'Consol BS-DTRG'!M13</f>
        <v>0</v>
      </c>
      <c r="AL12" s="15">
        <f>'Consol BS-DTRG'!N13</f>
        <v>0</v>
      </c>
      <c r="AM12" s="15">
        <f>'Consol BS-DTRG'!O13</f>
        <v>0</v>
      </c>
    </row>
    <row r="13" spans="1:39">
      <c r="A13" s="633">
        <v>11</v>
      </c>
      <c r="B13" s="613" t="s">
        <v>265</v>
      </c>
      <c r="C13" t="s">
        <v>518</v>
      </c>
      <c r="D13" s="15">
        <f>'[1]Tinh hinh tai chinh'!AN14</f>
        <v>0</v>
      </c>
      <c r="E13" s="15">
        <f>'[1]Tinh hinh tai chinh'!AO14</f>
        <v>0</v>
      </c>
      <c r="F13" s="15">
        <f>'[1]Tinh hinh tai chinh'!AP14</f>
        <v>0</v>
      </c>
      <c r="G13" s="15">
        <f>'[1]Tinh hinh tai chinh'!AQ14</f>
        <v>0</v>
      </c>
      <c r="H13" s="15">
        <f>'[1]Tinh hinh tai chinh'!AR14</f>
        <v>0</v>
      </c>
      <c r="I13" s="15">
        <f>'[1]Tinh hinh tai chinh'!AS14</f>
        <v>0</v>
      </c>
      <c r="J13" s="15">
        <f>'[1]Tinh hinh tai chinh'!AT14</f>
        <v>0</v>
      </c>
      <c r="K13" s="15">
        <f>'[1]Tinh hinh tai chinh'!AU14</f>
        <v>0</v>
      </c>
      <c r="L13" s="15">
        <f>'[1]Tinh hinh tai chinh'!AV14</f>
        <v>0</v>
      </c>
      <c r="M13" s="15">
        <f>'[1]Tinh hinh tai chinh'!AW14</f>
        <v>0</v>
      </c>
      <c r="N13" s="15">
        <f>'[1]Tinh hinh tai chinh'!AX14</f>
        <v>0</v>
      </c>
      <c r="O13" s="15">
        <f>'[1]Tinh hinh tai chinh'!AY14</f>
        <v>0</v>
      </c>
      <c r="P13" s="15">
        <f>'[1]Tinh hinh tai chinh'!AZ14</f>
        <v>0</v>
      </c>
      <c r="Q13" s="15">
        <f>'[1]Tinh hinh tai chinh'!BA14</f>
        <v>0</v>
      </c>
      <c r="R13" s="15">
        <f>'[1]Tinh hinh tai chinh'!BB14</f>
        <v>0</v>
      </c>
      <c r="S13" s="15">
        <f>'[1]Tinh hinh tai chinh'!BC14</f>
        <v>0</v>
      </c>
      <c r="T13" s="15">
        <f>'[1]Tinh hinh tai chinh'!BD14</f>
        <v>0</v>
      </c>
      <c r="U13" s="15">
        <f>'[1]Tinh hinh tai chinh'!BE14</f>
        <v>0</v>
      </c>
      <c r="V13" s="15">
        <f>'[1]Tinh hinh tai chinh'!BF14</f>
        <v>0</v>
      </c>
      <c r="W13" s="15">
        <f>'[1]Tinh hinh tai chinh'!BG14</f>
        <v>0</v>
      </c>
      <c r="X13" s="15">
        <f>'[1]Tinh hinh tai chinh'!BH14</f>
        <v>0</v>
      </c>
      <c r="Y13" s="15">
        <f>'[1]Tinh hinh tai chinh'!BI14</f>
        <v>0</v>
      </c>
      <c r="Z13" s="15">
        <f>'[1]Tinh hinh tai chinh'!BJ14</f>
        <v>0</v>
      </c>
      <c r="AA13" s="15">
        <f>'[1]Tinh hinh tai chinh'!BK14</f>
        <v>0</v>
      </c>
      <c r="AB13" s="15">
        <f>'Consol BS-DTRG'!D14</f>
        <v>0</v>
      </c>
      <c r="AC13" s="15">
        <f>'Consol BS-DTRG'!E14</f>
        <v>0</v>
      </c>
      <c r="AD13" s="15">
        <f>'Consol BS-DTRG'!F14</f>
        <v>0</v>
      </c>
      <c r="AE13" s="15">
        <f>'Consol BS-DTRG'!G14</f>
        <v>0</v>
      </c>
      <c r="AF13" s="15">
        <f>'Consol BS-DTRG'!H14</f>
        <v>0</v>
      </c>
      <c r="AG13" s="15">
        <f>'Consol BS-DTRG'!I14</f>
        <v>0</v>
      </c>
      <c r="AH13" s="15">
        <f>'Consol BS-DTRG'!J14</f>
        <v>0</v>
      </c>
      <c r="AI13" s="15">
        <f>'Consol BS-DTRG'!K14</f>
        <v>0</v>
      </c>
      <c r="AJ13" s="15">
        <f>'Consol BS-DTRG'!L14</f>
        <v>0</v>
      </c>
      <c r="AK13" s="15">
        <f>'Consol BS-DTRG'!M14</f>
        <v>0</v>
      </c>
      <c r="AL13" s="15">
        <f>'Consol BS-DTRG'!N14</f>
        <v>0</v>
      </c>
      <c r="AM13" s="15">
        <f>'Consol BS-DTRG'!O14</f>
        <v>0</v>
      </c>
    </row>
    <row r="14" spans="1:39">
      <c r="A14" s="1">
        <v>12</v>
      </c>
      <c r="B14" s="611" t="s">
        <v>266</v>
      </c>
      <c r="D14" s="14">
        <f t="shared" ref="D14:AA14" si="6">SUM(D15:D21)</f>
        <v>208760771261.14001</v>
      </c>
      <c r="E14" s="14">
        <f t="shared" si="6"/>
        <v>193914556321.14001</v>
      </c>
      <c r="F14" s="14">
        <f t="shared" si="6"/>
        <v>201044728738</v>
      </c>
      <c r="G14" s="14">
        <f t="shared" si="6"/>
        <v>218534804131</v>
      </c>
      <c r="H14" s="14">
        <f t="shared" si="6"/>
        <v>221552374341.74799</v>
      </c>
      <c r="I14" s="14">
        <f t="shared" si="6"/>
        <v>247679067362.74799</v>
      </c>
      <c r="J14" s="14">
        <f t="shared" si="6"/>
        <v>152821201175.51801</v>
      </c>
      <c r="K14" s="14">
        <f t="shared" si="6"/>
        <v>177806369111.51801</v>
      </c>
      <c r="L14" s="14">
        <f t="shared" si="6"/>
        <v>209006347244.51801</v>
      </c>
      <c r="M14" s="14">
        <f t="shared" si="6"/>
        <v>202825461782.51801</v>
      </c>
      <c r="N14" s="14">
        <f t="shared" si="6"/>
        <v>243037929149.51801</v>
      </c>
      <c r="O14" s="14">
        <f t="shared" si="6"/>
        <v>226296560348</v>
      </c>
      <c r="P14" s="14">
        <f t="shared" si="6"/>
        <v>222406194448</v>
      </c>
      <c r="Q14" s="14">
        <f t="shared" si="6"/>
        <v>266345785436.51801</v>
      </c>
      <c r="R14" s="14">
        <f t="shared" si="6"/>
        <v>310288883815</v>
      </c>
      <c r="S14" s="14">
        <f t="shared" si="6"/>
        <v>296898185243.51801</v>
      </c>
      <c r="T14" s="14">
        <f t="shared" si="6"/>
        <v>354207256666.51801</v>
      </c>
      <c r="U14" s="14">
        <f t="shared" si="6"/>
        <v>365571482051</v>
      </c>
      <c r="V14" s="14">
        <f t="shared" si="6"/>
        <v>339058924133</v>
      </c>
      <c r="W14" s="14">
        <f t="shared" si="6"/>
        <v>425113236252</v>
      </c>
      <c r="X14" s="14">
        <f t="shared" si="6"/>
        <v>357432202896</v>
      </c>
      <c r="Y14" s="14">
        <f t="shared" si="6"/>
        <v>315052540892</v>
      </c>
      <c r="Z14" s="14">
        <f t="shared" si="6"/>
        <v>297501008911</v>
      </c>
      <c r="AA14" s="14">
        <f t="shared" si="6"/>
        <v>310459942750</v>
      </c>
      <c r="AB14" s="14">
        <f t="shared" ref="AB14:AM14" si="7">SUM(AB15:AB21)</f>
        <v>347785188519.24219</v>
      </c>
      <c r="AC14" s="14">
        <f t="shared" si="7"/>
        <v>329076495961.12952</v>
      </c>
      <c r="AD14" s="14">
        <f t="shared" si="7"/>
        <v>286563528563.08813</v>
      </c>
      <c r="AE14" s="14">
        <f t="shared" si="7"/>
        <v>385037092797.3974</v>
      </c>
      <c r="AF14" s="14">
        <f t="shared" si="7"/>
        <v>330933256155.35437</v>
      </c>
      <c r="AG14" s="14">
        <f t="shared" si="7"/>
        <v>335950107257.86877</v>
      </c>
      <c r="AH14" s="14">
        <f t="shared" si="7"/>
        <v>354944915128.17139</v>
      </c>
      <c r="AI14" s="14">
        <f t="shared" si="7"/>
        <v>341614159501.67957</v>
      </c>
      <c r="AJ14" s="14">
        <f t="shared" si="7"/>
        <v>320406805512.27338</v>
      </c>
      <c r="AK14" s="14">
        <f t="shared" si="7"/>
        <v>368892758135.89014</v>
      </c>
      <c r="AL14" s="14">
        <f t="shared" si="7"/>
        <v>334771816011.67499</v>
      </c>
      <c r="AM14" s="14">
        <f t="shared" si="7"/>
        <v>187558371126.05792</v>
      </c>
    </row>
    <row r="15" spans="1:39">
      <c r="A15" s="633">
        <v>13</v>
      </c>
      <c r="B15" s="614" t="s">
        <v>267</v>
      </c>
      <c r="C15" t="s">
        <v>518</v>
      </c>
      <c r="D15" s="15">
        <f>'[1]Tinh hinh tai chinh'!AN16</f>
        <v>139866573147</v>
      </c>
      <c r="E15" s="15">
        <f>'[1]Tinh hinh tai chinh'!AO16</f>
        <v>145639317187</v>
      </c>
      <c r="F15" s="15">
        <f>'[1]Tinh hinh tai chinh'!AP16</f>
        <v>145029363992</v>
      </c>
      <c r="G15" s="15">
        <f>'[1]Tinh hinh tai chinh'!AQ16</f>
        <v>158990592845</v>
      </c>
      <c r="H15" s="15">
        <f>'[1]Tinh hinh tai chinh'!AR16</f>
        <v>169879811667</v>
      </c>
      <c r="I15" s="15">
        <f>'[1]Tinh hinh tai chinh'!AS16</f>
        <v>169929811366</v>
      </c>
      <c r="J15" s="15">
        <f>'[1]Tinh hinh tai chinh'!AT16</f>
        <v>102331112462</v>
      </c>
      <c r="K15" s="15">
        <f>'[1]Tinh hinh tai chinh'!AU16</f>
        <v>127587662576</v>
      </c>
      <c r="L15" s="15">
        <f>'[1]Tinh hinh tai chinh'!AV16</f>
        <v>161236707683</v>
      </c>
      <c r="M15" s="15">
        <f>'[1]Tinh hinh tai chinh'!AW16</f>
        <v>156193512518</v>
      </c>
      <c r="N15" s="15">
        <f>'[1]Tinh hinh tai chinh'!AX16</f>
        <v>158918995344</v>
      </c>
      <c r="O15" s="15">
        <f>'[1]Tinh hinh tai chinh'!AY16</f>
        <v>159389289311</v>
      </c>
      <c r="P15" s="15">
        <f>'[1]Tinh hinh tai chinh'!AZ16</f>
        <v>105980494877</v>
      </c>
      <c r="Q15" s="15">
        <f>'[1]Tinh hinh tai chinh'!BA16</f>
        <v>159524871557</v>
      </c>
      <c r="R15" s="15">
        <f>'[1]Tinh hinh tai chinh'!BB16</f>
        <v>200045097235</v>
      </c>
      <c r="S15" s="15">
        <f>'[1]Tinh hinh tai chinh'!BC16</f>
        <v>155380145983</v>
      </c>
      <c r="T15" s="15">
        <f>'[1]Tinh hinh tai chinh'!BD16</f>
        <v>167509298140</v>
      </c>
      <c r="U15" s="15">
        <f>'[1]Tinh hinh tai chinh'!BE16</f>
        <v>154486175751</v>
      </c>
      <c r="V15" s="15">
        <f>'[1]Tinh hinh tai chinh'!BF16</f>
        <v>153095689903</v>
      </c>
      <c r="W15" s="15">
        <f>'[1]Tinh hinh tai chinh'!BG16</f>
        <v>190031772805</v>
      </c>
      <c r="X15" s="15">
        <f>'[1]Tinh hinh tai chinh'!BH16</f>
        <v>157982845758</v>
      </c>
      <c r="Y15" s="15">
        <f>'[1]Tinh hinh tai chinh'!BI16</f>
        <v>151626732436</v>
      </c>
      <c r="Z15" s="15">
        <f>'[1]Tinh hinh tai chinh'!BJ16</f>
        <v>154563122279</v>
      </c>
      <c r="AA15" s="15">
        <f>'[1]Tinh hinh tai chinh'!BK16</f>
        <v>154220517132</v>
      </c>
      <c r="AB15" s="15">
        <f>'Consol BS-DTRG'!D16</f>
        <v>164764182762.08218</v>
      </c>
      <c r="AC15" s="15">
        <f>'Consol BS-DTRG'!E16</f>
        <v>175256267424.15839</v>
      </c>
      <c r="AD15" s="15">
        <f>'Consol BS-DTRG'!F16</f>
        <v>134339408307.99889</v>
      </c>
      <c r="AE15" s="15">
        <f>'Consol BS-DTRG'!G16</f>
        <v>140610186977.3497</v>
      </c>
      <c r="AF15" s="15">
        <f>'Consol BS-DTRG'!H16</f>
        <v>141209139349.29562</v>
      </c>
      <c r="AG15" s="15">
        <f>'Consol BS-DTRG'!I16</f>
        <v>143489031827.51044</v>
      </c>
      <c r="AH15" s="15">
        <f>'Consol BS-DTRG'!J16</f>
        <v>163904054434.84921</v>
      </c>
      <c r="AI15" s="15">
        <f>'Consol BS-DTRG'!K16</f>
        <v>155108372445.00027</v>
      </c>
      <c r="AJ15" s="15">
        <f>'Consol BS-DTRG'!L16</f>
        <v>125155890629.63353</v>
      </c>
      <c r="AK15" s="15">
        <f>'Consol BS-DTRG'!M16</f>
        <v>184975829942.71661</v>
      </c>
      <c r="AL15" s="15">
        <f>'Consol BS-DTRG'!N16</f>
        <v>142211053904.67191</v>
      </c>
      <c r="AM15" s="15">
        <f>'Consol BS-DTRG'!O16</f>
        <v>140272290338.03046</v>
      </c>
    </row>
    <row r="16" spans="1:39">
      <c r="A16" s="633">
        <v>14</v>
      </c>
      <c r="B16" s="614" t="s">
        <v>268</v>
      </c>
      <c r="C16" t="s">
        <v>518</v>
      </c>
      <c r="D16" s="15">
        <f>'[1]Tinh hinh tai chinh'!AN17</f>
        <v>19848285706</v>
      </c>
      <c r="E16" s="15">
        <f>'[1]Tinh hinh tai chinh'!AO17</f>
        <v>18001368927</v>
      </c>
      <c r="F16" s="15">
        <f>'[1]Tinh hinh tai chinh'!AP17</f>
        <v>17409185425</v>
      </c>
      <c r="G16" s="15">
        <f>'[1]Tinh hinh tai chinh'!AQ17</f>
        <v>18980934468</v>
      </c>
      <c r="H16" s="15">
        <f>'[1]Tinh hinh tai chinh'!AR17</f>
        <v>18972917626</v>
      </c>
      <c r="I16" s="15">
        <f>'[1]Tinh hinh tai chinh'!AS17</f>
        <v>16946912554</v>
      </c>
      <c r="J16" s="15">
        <f>'[1]Tinh hinh tai chinh'!AT17</f>
        <v>15624304617</v>
      </c>
      <c r="K16" s="15">
        <f>'[1]Tinh hinh tai chinh'!AU17</f>
        <v>15352055458</v>
      </c>
      <c r="L16" s="15">
        <f>'[1]Tinh hinh tai chinh'!AV17</f>
        <v>12264421488</v>
      </c>
      <c r="M16" s="15">
        <f>'[1]Tinh hinh tai chinh'!AW17</f>
        <v>10758004465</v>
      </c>
      <c r="N16" s="15">
        <f>'[1]Tinh hinh tai chinh'!AX17</f>
        <v>12010431039</v>
      </c>
      <c r="O16" s="15">
        <f>'[1]Tinh hinh tai chinh'!AY17</f>
        <v>24401454639</v>
      </c>
      <c r="P16" s="15">
        <f>'[1]Tinh hinh tai chinh'!AZ17</f>
        <v>18219388431</v>
      </c>
      <c r="Q16" s="15">
        <f>'[1]Tinh hinh tai chinh'!BA17</f>
        <v>22646304860</v>
      </c>
      <c r="R16" s="15">
        <f>'[1]Tinh hinh tai chinh'!BB17</f>
        <v>20708830735</v>
      </c>
      <c r="S16" s="15">
        <f>'[1]Tinh hinh tai chinh'!BC17</f>
        <v>26192684967</v>
      </c>
      <c r="T16" s="15">
        <f>'[1]Tinh hinh tai chinh'!BD17</f>
        <v>62897284043</v>
      </c>
      <c r="U16" s="15">
        <f>'[1]Tinh hinh tai chinh'!BE17</f>
        <v>65291388780</v>
      </c>
      <c r="V16" s="15">
        <f>'[1]Tinh hinh tai chinh'!BF17</f>
        <v>54584222857</v>
      </c>
      <c r="W16" s="15">
        <f>'[1]Tinh hinh tai chinh'!BG17</f>
        <v>69767861908</v>
      </c>
      <c r="X16" s="15">
        <f>'[1]Tinh hinh tai chinh'!BH17</f>
        <v>76188674935</v>
      </c>
      <c r="Y16" s="15">
        <f>'[1]Tinh hinh tai chinh'!BI17</f>
        <v>71648142604</v>
      </c>
      <c r="Z16" s="15">
        <f>'[1]Tinh hinh tai chinh'!BJ17</f>
        <v>61105796375</v>
      </c>
      <c r="AA16" s="15">
        <f>'[1]Tinh hinh tai chinh'!BK17</f>
        <v>60848470883</v>
      </c>
      <c r="AB16" s="15">
        <f>'Consol BS-DTRG'!D17</f>
        <v>96171404299.160004</v>
      </c>
      <c r="AC16" s="15">
        <f>'Consol BS-DTRG'!E17</f>
        <v>113355627078.97113</v>
      </c>
      <c r="AD16" s="15">
        <f>'Consol BS-DTRG'!F17</f>
        <v>111514518797.08928</v>
      </c>
      <c r="AE16" s="15">
        <f>'Consol BS-DTRG'!G17</f>
        <v>202068904362.0477</v>
      </c>
      <c r="AF16" s="15">
        <f>'Consol BS-DTRG'!H17</f>
        <v>147366115348.05878</v>
      </c>
      <c r="AG16" s="15">
        <f>'Consol BS-DTRG'!I17</f>
        <v>150103073972.35831</v>
      </c>
      <c r="AH16" s="15">
        <f>'Consol BS-DTRG'!J17</f>
        <v>147632859235.32217</v>
      </c>
      <c r="AI16" s="15">
        <f>'Consol BS-DTRG'!K17</f>
        <v>143097785598.67932</v>
      </c>
      <c r="AJ16" s="15">
        <f>'Consol BS-DTRG'!L17</f>
        <v>151842913424.63986</v>
      </c>
      <c r="AK16" s="15">
        <f>'Consol BS-DTRG'!M17</f>
        <v>140508926735.17352</v>
      </c>
      <c r="AL16" s="15">
        <f>'Consol BS-DTRG'!N17</f>
        <v>149152760649.00308</v>
      </c>
      <c r="AM16" s="15">
        <f>'Consol BS-DTRG'!O17</f>
        <v>3878079330.0274644</v>
      </c>
    </row>
    <row r="17" spans="1:39">
      <c r="A17" s="633">
        <v>15</v>
      </c>
      <c r="B17" s="614" t="s">
        <v>269</v>
      </c>
      <c r="C17" t="s">
        <v>518</v>
      </c>
      <c r="D17" s="15">
        <f>'[1]Tinh hinh tai chinh'!AN18</f>
        <v>0</v>
      </c>
      <c r="E17" s="15">
        <f>'[1]Tinh hinh tai chinh'!AO18</f>
        <v>0</v>
      </c>
      <c r="F17" s="15">
        <f>'[1]Tinh hinh tai chinh'!AP18</f>
        <v>0</v>
      </c>
      <c r="G17" s="15">
        <f>'[1]Tinh hinh tai chinh'!AQ18</f>
        <v>0</v>
      </c>
      <c r="H17" s="15">
        <f>'[1]Tinh hinh tai chinh'!AR18</f>
        <v>0</v>
      </c>
      <c r="I17" s="15">
        <f>'[1]Tinh hinh tai chinh'!AS18</f>
        <v>0</v>
      </c>
      <c r="J17" s="15">
        <f>'[1]Tinh hinh tai chinh'!AT18</f>
        <v>0</v>
      </c>
      <c r="K17" s="15">
        <f>'[1]Tinh hinh tai chinh'!AU18</f>
        <v>0</v>
      </c>
      <c r="L17" s="15">
        <f>'[1]Tinh hinh tai chinh'!AV18</f>
        <v>0</v>
      </c>
      <c r="M17" s="15">
        <f>'[1]Tinh hinh tai chinh'!AW18</f>
        <v>0</v>
      </c>
      <c r="N17" s="15">
        <f>'[1]Tinh hinh tai chinh'!AX18</f>
        <v>0</v>
      </c>
      <c r="O17" s="15">
        <f>'[1]Tinh hinh tai chinh'!AY18</f>
        <v>0</v>
      </c>
      <c r="P17" s="15">
        <f>'[1]Tinh hinh tai chinh'!AZ18</f>
        <v>0</v>
      </c>
      <c r="Q17" s="15">
        <f>'[1]Tinh hinh tai chinh'!BA18</f>
        <v>0</v>
      </c>
      <c r="R17" s="15">
        <f>'[1]Tinh hinh tai chinh'!BB18</f>
        <v>0</v>
      </c>
      <c r="S17" s="15">
        <f>'[1]Tinh hinh tai chinh'!BC18</f>
        <v>0</v>
      </c>
      <c r="T17" s="15">
        <f>'[1]Tinh hinh tai chinh'!BD18</f>
        <v>0</v>
      </c>
      <c r="U17" s="15">
        <f>'[1]Tinh hinh tai chinh'!BE18</f>
        <v>0</v>
      </c>
      <c r="V17" s="15">
        <f>'[1]Tinh hinh tai chinh'!BF18</f>
        <v>0</v>
      </c>
      <c r="W17" s="15">
        <f>'[1]Tinh hinh tai chinh'!BG18</f>
        <v>0</v>
      </c>
      <c r="X17" s="15">
        <f>'[1]Tinh hinh tai chinh'!BH18</f>
        <v>0</v>
      </c>
      <c r="Y17" s="15">
        <f>'[1]Tinh hinh tai chinh'!BI18</f>
        <v>0</v>
      </c>
      <c r="Z17" s="15">
        <f>'[1]Tinh hinh tai chinh'!BJ18</f>
        <v>0</v>
      </c>
      <c r="AA17" s="15">
        <f>'[1]Tinh hinh tai chinh'!BK18</f>
        <v>0</v>
      </c>
      <c r="AB17" s="15">
        <f>'Consol BS-DTRG'!D18</f>
        <v>0</v>
      </c>
      <c r="AC17" s="15">
        <f>'Consol BS-DTRG'!E18</f>
        <v>0</v>
      </c>
      <c r="AD17" s="15">
        <f>'Consol BS-DTRG'!F18</f>
        <v>0</v>
      </c>
      <c r="AE17" s="15">
        <f>'Consol BS-DTRG'!G18</f>
        <v>0</v>
      </c>
      <c r="AF17" s="15">
        <f>'Consol BS-DTRG'!H18</f>
        <v>0</v>
      </c>
      <c r="AG17" s="15">
        <f>'Consol BS-DTRG'!I18</f>
        <v>0</v>
      </c>
      <c r="AH17" s="15">
        <f>'Consol BS-DTRG'!J18</f>
        <v>0</v>
      </c>
      <c r="AI17" s="15">
        <f>'Consol BS-DTRG'!K18</f>
        <v>0</v>
      </c>
      <c r="AJ17" s="15">
        <f>'Consol BS-DTRG'!L18</f>
        <v>0</v>
      </c>
      <c r="AK17" s="15">
        <f>'Consol BS-DTRG'!M18</f>
        <v>0</v>
      </c>
      <c r="AL17" s="15">
        <f>'Consol BS-DTRG'!N18</f>
        <v>0</v>
      </c>
      <c r="AM17" s="15">
        <f>'Consol BS-DTRG'!O18</f>
        <v>0</v>
      </c>
    </row>
    <row r="18" spans="1:39">
      <c r="A18" s="633">
        <v>16</v>
      </c>
      <c r="B18" s="614" t="s">
        <v>270</v>
      </c>
      <c r="C18" t="s">
        <v>518</v>
      </c>
      <c r="D18" s="15">
        <f>'[1]Tinh hinh tai chinh'!AN19</f>
        <v>0</v>
      </c>
      <c r="E18" s="15">
        <f>'[1]Tinh hinh tai chinh'!AO19</f>
        <v>0</v>
      </c>
      <c r="F18" s="15">
        <f>'[1]Tinh hinh tai chinh'!AP19</f>
        <v>0</v>
      </c>
      <c r="G18" s="15">
        <f>'[1]Tinh hinh tai chinh'!AQ19</f>
        <v>0</v>
      </c>
      <c r="H18" s="15">
        <f>'[1]Tinh hinh tai chinh'!AR19</f>
        <v>0</v>
      </c>
      <c r="I18" s="15">
        <f>'[1]Tinh hinh tai chinh'!AS19</f>
        <v>0</v>
      </c>
      <c r="J18" s="15">
        <f>'[1]Tinh hinh tai chinh'!AT19</f>
        <v>0</v>
      </c>
      <c r="K18" s="15">
        <f>'[1]Tinh hinh tai chinh'!AU19</f>
        <v>0</v>
      </c>
      <c r="L18" s="15">
        <f>'[1]Tinh hinh tai chinh'!AV19</f>
        <v>0</v>
      </c>
      <c r="M18" s="15">
        <f>'[1]Tinh hinh tai chinh'!AW19</f>
        <v>0</v>
      </c>
      <c r="N18" s="15">
        <f>'[1]Tinh hinh tai chinh'!AX19</f>
        <v>0</v>
      </c>
      <c r="O18" s="15">
        <f>'[1]Tinh hinh tai chinh'!AY19</f>
        <v>0</v>
      </c>
      <c r="P18" s="15">
        <f>'[1]Tinh hinh tai chinh'!AZ19</f>
        <v>0</v>
      </c>
      <c r="Q18" s="15">
        <f>'[1]Tinh hinh tai chinh'!BA19</f>
        <v>0</v>
      </c>
      <c r="R18" s="15">
        <f>'[1]Tinh hinh tai chinh'!BB19</f>
        <v>0</v>
      </c>
      <c r="S18" s="15">
        <f>'[1]Tinh hinh tai chinh'!BC19</f>
        <v>0</v>
      </c>
      <c r="T18" s="15">
        <f>'[1]Tinh hinh tai chinh'!BD19</f>
        <v>0</v>
      </c>
      <c r="U18" s="15">
        <f>'[1]Tinh hinh tai chinh'!BE19</f>
        <v>0</v>
      </c>
      <c r="V18" s="15">
        <f>'[1]Tinh hinh tai chinh'!BF19</f>
        <v>0</v>
      </c>
      <c r="W18" s="15">
        <f>'[1]Tinh hinh tai chinh'!BG19</f>
        <v>0</v>
      </c>
      <c r="X18" s="15">
        <f>'[1]Tinh hinh tai chinh'!BH19</f>
        <v>0</v>
      </c>
      <c r="Y18" s="15">
        <f>'[1]Tinh hinh tai chinh'!BI19</f>
        <v>0</v>
      </c>
      <c r="Z18" s="15">
        <f>'[1]Tinh hinh tai chinh'!BJ19</f>
        <v>0</v>
      </c>
      <c r="AA18" s="15">
        <f>'[1]Tinh hinh tai chinh'!BK19</f>
        <v>0</v>
      </c>
      <c r="AB18" s="15">
        <f>'Consol BS-DTRG'!D19</f>
        <v>0</v>
      </c>
      <c r="AC18" s="15">
        <f>'Consol BS-DTRG'!E19</f>
        <v>0</v>
      </c>
      <c r="AD18" s="15">
        <f>'Consol BS-DTRG'!F19</f>
        <v>0</v>
      </c>
      <c r="AE18" s="15">
        <f>'Consol BS-DTRG'!G19</f>
        <v>0</v>
      </c>
      <c r="AF18" s="15">
        <f>'Consol BS-DTRG'!H19</f>
        <v>0</v>
      </c>
      <c r="AG18" s="15">
        <f>'Consol BS-DTRG'!I19</f>
        <v>0</v>
      </c>
      <c r="AH18" s="15">
        <f>'Consol BS-DTRG'!J19</f>
        <v>0</v>
      </c>
      <c r="AI18" s="15">
        <f>'Consol BS-DTRG'!K19</f>
        <v>0</v>
      </c>
      <c r="AJ18" s="15">
        <f>'Consol BS-DTRG'!L19</f>
        <v>0</v>
      </c>
      <c r="AK18" s="15">
        <f>'Consol BS-DTRG'!M19</f>
        <v>0</v>
      </c>
      <c r="AL18" s="15">
        <f>'Consol BS-DTRG'!N19</f>
        <v>0</v>
      </c>
      <c r="AM18" s="15">
        <f>'Consol BS-DTRG'!O19</f>
        <v>0</v>
      </c>
    </row>
    <row r="19" spans="1:39">
      <c r="A19" s="633">
        <v>17</v>
      </c>
      <c r="B19" s="614" t="s">
        <v>271</v>
      </c>
      <c r="C19" t="s">
        <v>518</v>
      </c>
      <c r="D19" s="15">
        <f>'[1]Tinh hinh tai chinh'!AN20</f>
        <v>49691047547.139999</v>
      </c>
      <c r="E19" s="15">
        <f>'[1]Tinh hinh tai chinh'!AO20</f>
        <v>30919005346.139999</v>
      </c>
      <c r="F19" s="15">
        <f>'[1]Tinh hinh tai chinh'!AP20</f>
        <v>30825313041</v>
      </c>
      <c r="G19" s="15">
        <f>'[1]Tinh hinh tai chinh'!AQ20</f>
        <v>32782410538</v>
      </c>
      <c r="H19" s="15">
        <f>'[1]Tinh hinh tai chinh'!AR20</f>
        <v>33344780187.748001</v>
      </c>
      <c r="I19" s="15">
        <f>'[1]Tinh hinh tai chinh'!AS20</f>
        <v>61447478581.748001</v>
      </c>
      <c r="J19" s="15">
        <f>'[1]Tinh hinh tai chinh'!AT20</f>
        <v>35510919235.517998</v>
      </c>
      <c r="K19" s="15">
        <f>'[1]Tinh hinh tai chinh'!AU20</f>
        <v>35511786216.517998</v>
      </c>
      <c r="L19" s="15">
        <f>'[1]Tinh hinh tai chinh'!AV20</f>
        <v>36150353212.517998</v>
      </c>
      <c r="M19" s="15">
        <f>'[1]Tinh hinh tai chinh'!AW20</f>
        <v>36519079938.517998</v>
      </c>
      <c r="N19" s="15">
        <f>'[1]Tinh hinh tai chinh'!AX20</f>
        <v>72633112041.518005</v>
      </c>
      <c r="O19" s="15">
        <f>'[1]Tinh hinh tai chinh'!AY20</f>
        <v>42505816398</v>
      </c>
      <c r="P19" s="15">
        <f>'[1]Tinh hinh tai chinh'!AZ20</f>
        <v>98206311140</v>
      </c>
      <c r="Q19" s="15">
        <f>'[1]Tinh hinh tai chinh'!BA20</f>
        <v>84174609019.518005</v>
      </c>
      <c r="R19" s="15">
        <f>'[1]Tinh hinh tai chinh'!BB20</f>
        <v>89534955845</v>
      </c>
      <c r="S19" s="15">
        <f>'[1]Tinh hinh tai chinh'!BC20</f>
        <v>115325354293.51801</v>
      </c>
      <c r="T19" s="15">
        <f>'[1]Tinh hinh tai chinh'!BD20</f>
        <v>123800674483.51801</v>
      </c>
      <c r="U19" s="15">
        <f>'[1]Tinh hinh tai chinh'!BE20</f>
        <v>145793917520</v>
      </c>
      <c r="V19" s="15">
        <f>'[1]Tinh hinh tai chinh'!BF20</f>
        <v>131379011373</v>
      </c>
      <c r="W19" s="15">
        <f>'[1]Tinh hinh tai chinh'!BG20</f>
        <v>165313601539</v>
      </c>
      <c r="X19" s="15">
        <f>'[1]Tinh hinh tai chinh'!BH20</f>
        <v>123260682203</v>
      </c>
      <c r="Y19" s="15">
        <f>'[1]Tinh hinh tai chinh'!BI20</f>
        <v>91777665852</v>
      </c>
      <c r="Z19" s="15">
        <f>'[1]Tinh hinh tai chinh'!BJ20</f>
        <v>81832090257</v>
      </c>
      <c r="AA19" s="15">
        <f>'[1]Tinh hinh tai chinh'!BK20</f>
        <v>96000050435</v>
      </c>
      <c r="AB19" s="15">
        <f>'Consol BS-DTRG'!D20</f>
        <v>86849601458</v>
      </c>
      <c r="AC19" s="15">
        <f>'Consol BS-DTRG'!E20</f>
        <v>40464601458</v>
      </c>
      <c r="AD19" s="15">
        <f>'Consol BS-DTRG'!F20</f>
        <v>40709601458</v>
      </c>
      <c r="AE19" s="15">
        <f>'Consol BS-DTRG'!G20</f>
        <v>42358001458</v>
      </c>
      <c r="AF19" s="15">
        <f>'Consol BS-DTRG'!H20</f>
        <v>42358001458</v>
      </c>
      <c r="AG19" s="15">
        <f>'Consol BS-DTRG'!I20</f>
        <v>42358001458</v>
      </c>
      <c r="AH19" s="15">
        <f>'Consol BS-DTRG'!J20</f>
        <v>43408001458</v>
      </c>
      <c r="AI19" s="15">
        <f>'Consol BS-DTRG'!K20</f>
        <v>43408001458</v>
      </c>
      <c r="AJ19" s="15">
        <f>'Consol BS-DTRG'!L20</f>
        <v>43408001458</v>
      </c>
      <c r="AK19" s="15">
        <f>'Consol BS-DTRG'!M20</f>
        <v>43408001458</v>
      </c>
      <c r="AL19" s="15">
        <f>'Consol BS-DTRG'!N20</f>
        <v>43408001458</v>
      </c>
      <c r="AM19" s="15">
        <f>'Consol BS-DTRG'!O20</f>
        <v>43408001458</v>
      </c>
    </row>
    <row r="20" spans="1:39">
      <c r="A20" s="633">
        <v>18</v>
      </c>
      <c r="B20" s="614" t="s">
        <v>272</v>
      </c>
      <c r="C20" t="s">
        <v>518</v>
      </c>
      <c r="D20" s="15">
        <f>'[1]Tinh hinh tai chinh'!AN21</f>
        <v>-120525864</v>
      </c>
      <c r="E20" s="15">
        <f>'[1]Tinh hinh tai chinh'!AO21</f>
        <v>-120525864</v>
      </c>
      <c r="F20" s="15">
        <f>'[1]Tinh hinh tai chinh'!AP21</f>
        <v>-120525864</v>
      </c>
      <c r="G20" s="15">
        <f>'[1]Tinh hinh tai chinh'!AQ21</f>
        <v>-120525864</v>
      </c>
      <c r="H20" s="15">
        <f>'[1]Tinh hinh tai chinh'!AR21</f>
        <v>-120525864</v>
      </c>
      <c r="I20" s="15">
        <f>'[1]Tinh hinh tai chinh'!AS21</f>
        <v>-120525864</v>
      </c>
      <c r="J20" s="15">
        <f>'[1]Tinh hinh tai chinh'!AT21</f>
        <v>-120525864</v>
      </c>
      <c r="K20" s="15">
        <f>'[1]Tinh hinh tai chinh'!AU21</f>
        <v>-120525864</v>
      </c>
      <c r="L20" s="15">
        <f>'[1]Tinh hinh tai chinh'!AV21</f>
        <v>-120525864</v>
      </c>
      <c r="M20" s="15">
        <f>'[1]Tinh hinh tai chinh'!AW21</f>
        <v>-120525864</v>
      </c>
      <c r="N20" s="15">
        <f>'[1]Tinh hinh tai chinh'!AX21</f>
        <v>0</v>
      </c>
      <c r="O20" s="15">
        <f>'[1]Tinh hinh tai chinh'!AY21</f>
        <v>0</v>
      </c>
      <c r="P20" s="15">
        <f>'[1]Tinh hinh tai chinh'!AZ21</f>
        <v>0</v>
      </c>
      <c r="Q20" s="15">
        <f>'[1]Tinh hinh tai chinh'!BA21</f>
        <v>0</v>
      </c>
      <c r="R20" s="15">
        <f>'[1]Tinh hinh tai chinh'!BB21</f>
        <v>0</v>
      </c>
      <c r="S20" s="15">
        <f>'[1]Tinh hinh tai chinh'!BC21</f>
        <v>0</v>
      </c>
      <c r="T20" s="15">
        <f>'[1]Tinh hinh tai chinh'!BD21</f>
        <v>0</v>
      </c>
      <c r="U20" s="15">
        <f>'[1]Tinh hinh tai chinh'!BE21</f>
        <v>0</v>
      </c>
      <c r="V20" s="15">
        <f>'[1]Tinh hinh tai chinh'!BF21</f>
        <v>0</v>
      </c>
      <c r="W20" s="15">
        <f>'[1]Tinh hinh tai chinh'!BG21</f>
        <v>0</v>
      </c>
      <c r="X20" s="15">
        <f>'[1]Tinh hinh tai chinh'!BH21</f>
        <v>0</v>
      </c>
      <c r="Y20" s="15">
        <f>'[1]Tinh hinh tai chinh'!BI21</f>
        <v>0</v>
      </c>
      <c r="Z20" s="15">
        <f>'[1]Tinh hinh tai chinh'!BJ21</f>
        <v>0</v>
      </c>
      <c r="AA20" s="15">
        <f>'[1]Tinh hinh tai chinh'!BK21</f>
        <v>-609095700</v>
      </c>
      <c r="AB20" s="15">
        <f>'Consol BS-DTRG'!D21</f>
        <v>0</v>
      </c>
      <c r="AC20" s="15">
        <f>'Consol BS-DTRG'!E21</f>
        <v>0</v>
      </c>
      <c r="AD20" s="15">
        <f>'Consol BS-DTRG'!F21</f>
        <v>0</v>
      </c>
      <c r="AE20" s="15">
        <f>'Consol BS-DTRG'!G21</f>
        <v>0</v>
      </c>
      <c r="AF20" s="15">
        <f>'Consol BS-DTRG'!H21</f>
        <v>0</v>
      </c>
      <c r="AG20" s="15">
        <f>'Consol BS-DTRG'!I21</f>
        <v>0</v>
      </c>
      <c r="AH20" s="15">
        <f>'Consol BS-DTRG'!J21</f>
        <v>0</v>
      </c>
      <c r="AI20" s="15">
        <f>'Consol BS-DTRG'!K21</f>
        <v>0</v>
      </c>
      <c r="AJ20" s="15">
        <f>'Consol BS-DTRG'!L21</f>
        <v>0</v>
      </c>
      <c r="AK20" s="15">
        <f>'Consol BS-DTRG'!M21</f>
        <v>0</v>
      </c>
      <c r="AL20" s="15">
        <f>'Consol BS-DTRG'!N21</f>
        <v>0</v>
      </c>
      <c r="AM20" s="15">
        <f>'Consol BS-DTRG'!O21</f>
        <v>0</v>
      </c>
    </row>
    <row r="21" spans="1:39">
      <c r="A21" s="633">
        <v>19</v>
      </c>
      <c r="B21" s="615" t="s">
        <v>273</v>
      </c>
      <c r="C21" t="s">
        <v>518</v>
      </c>
      <c r="D21" s="15">
        <f>'[1]Tinh hinh tai chinh'!AN22</f>
        <v>-524609275</v>
      </c>
      <c r="E21" s="15">
        <f>'[1]Tinh hinh tai chinh'!AO22</f>
        <v>-524609275</v>
      </c>
      <c r="F21" s="15">
        <f>'[1]Tinh hinh tai chinh'!AP22</f>
        <v>7901392144</v>
      </c>
      <c r="G21" s="15">
        <f>'[1]Tinh hinh tai chinh'!AQ22</f>
        <v>7901392144</v>
      </c>
      <c r="H21" s="15">
        <f>'[1]Tinh hinh tai chinh'!AR22</f>
        <v>-524609275</v>
      </c>
      <c r="I21" s="15">
        <f>'[1]Tinh hinh tai chinh'!AS22</f>
        <v>-524609275</v>
      </c>
      <c r="J21" s="15">
        <f>'[1]Tinh hinh tai chinh'!AT22</f>
        <v>-524609275</v>
      </c>
      <c r="K21" s="15">
        <f>'[1]Tinh hinh tai chinh'!AU22</f>
        <v>-524609275</v>
      </c>
      <c r="L21" s="15">
        <f>'[1]Tinh hinh tai chinh'!AV22</f>
        <v>-524609275</v>
      </c>
      <c r="M21" s="15">
        <f>'[1]Tinh hinh tai chinh'!AW22</f>
        <v>-524609275</v>
      </c>
      <c r="N21" s="15">
        <f>'[1]Tinh hinh tai chinh'!AX22</f>
        <v>-524609275</v>
      </c>
      <c r="O21" s="15">
        <f>'[1]Tinh hinh tai chinh'!AY22</f>
        <v>0</v>
      </c>
      <c r="P21" s="15">
        <f>'[1]Tinh hinh tai chinh'!AZ22</f>
        <v>0</v>
      </c>
      <c r="Q21" s="15">
        <f>'[1]Tinh hinh tai chinh'!BA22</f>
        <v>0</v>
      </c>
      <c r="R21" s="15">
        <f>'[1]Tinh hinh tai chinh'!BB22</f>
        <v>0</v>
      </c>
      <c r="S21" s="15">
        <f>'[1]Tinh hinh tai chinh'!BC22</f>
        <v>0</v>
      </c>
      <c r="T21" s="15">
        <f>'[1]Tinh hinh tai chinh'!BD22</f>
        <v>0</v>
      </c>
      <c r="U21" s="15">
        <f>'[1]Tinh hinh tai chinh'!BE22</f>
        <v>0</v>
      </c>
      <c r="V21" s="15">
        <f>'[1]Tinh hinh tai chinh'!BF22</f>
        <v>0</v>
      </c>
      <c r="W21" s="15">
        <f>'[1]Tinh hinh tai chinh'!BG22</f>
        <v>0</v>
      </c>
      <c r="X21" s="15">
        <f>'[1]Tinh hinh tai chinh'!BH22</f>
        <v>0</v>
      </c>
      <c r="Y21" s="15">
        <f>'[1]Tinh hinh tai chinh'!BI22</f>
        <v>0</v>
      </c>
      <c r="Z21" s="15">
        <f>'[1]Tinh hinh tai chinh'!BJ22</f>
        <v>0</v>
      </c>
      <c r="AA21" s="15">
        <f>'[1]Tinh hinh tai chinh'!BK22</f>
        <v>0</v>
      </c>
      <c r="AB21" s="15">
        <f>'Consol BS-DTRG'!D22</f>
        <v>0</v>
      </c>
      <c r="AC21" s="15">
        <f>'Consol BS-DTRG'!E22</f>
        <v>0</v>
      </c>
      <c r="AD21" s="15">
        <f>'Consol BS-DTRG'!F22</f>
        <v>0</v>
      </c>
      <c r="AE21" s="15">
        <f>'Consol BS-DTRG'!G22</f>
        <v>0</v>
      </c>
      <c r="AF21" s="15">
        <f>'Consol BS-DTRG'!H22</f>
        <v>0</v>
      </c>
      <c r="AG21" s="15">
        <f>'Consol BS-DTRG'!I22</f>
        <v>0</v>
      </c>
      <c r="AH21" s="15">
        <f>'Consol BS-DTRG'!J22</f>
        <v>0</v>
      </c>
      <c r="AI21" s="15">
        <f>'Consol BS-DTRG'!K22</f>
        <v>0</v>
      </c>
      <c r="AJ21" s="15">
        <f>'Consol BS-DTRG'!L22</f>
        <v>0</v>
      </c>
      <c r="AK21" s="15">
        <f>'Consol BS-DTRG'!M22</f>
        <v>0</v>
      </c>
      <c r="AL21" s="15">
        <f>'Consol BS-DTRG'!N22</f>
        <v>0</v>
      </c>
      <c r="AM21" s="15">
        <f>'Consol BS-DTRG'!O22</f>
        <v>0</v>
      </c>
    </row>
    <row r="22" spans="1:39">
      <c r="A22" s="1">
        <v>20</v>
      </c>
      <c r="B22" s="611" t="s">
        <v>274</v>
      </c>
      <c r="D22" s="14">
        <f t="shared" ref="D22:AA22" si="8">SUM(D23:D24)</f>
        <v>430096484178.85999</v>
      </c>
      <c r="E22" s="14">
        <f t="shared" si="8"/>
        <v>437301765372.85999</v>
      </c>
      <c r="F22" s="14">
        <f t="shared" si="8"/>
        <v>477162060831.85999</v>
      </c>
      <c r="G22" s="14">
        <f t="shared" si="8"/>
        <v>517614404978.88202</v>
      </c>
      <c r="H22" s="14">
        <f t="shared" si="8"/>
        <v>557633015691.25195</v>
      </c>
      <c r="I22" s="14">
        <f t="shared" si="8"/>
        <v>613742905725.25195</v>
      </c>
      <c r="J22" s="14">
        <f t="shared" si="8"/>
        <v>630876783389.48206</v>
      </c>
      <c r="K22" s="14">
        <f t="shared" si="8"/>
        <v>571035083187.48206</v>
      </c>
      <c r="L22" s="14">
        <f t="shared" si="8"/>
        <v>562348665912.48206</v>
      </c>
      <c r="M22" s="14">
        <f t="shared" si="8"/>
        <v>558117702257.48206</v>
      </c>
      <c r="N22" s="14">
        <f t="shared" si="8"/>
        <v>599902987900.48206</v>
      </c>
      <c r="O22" s="14">
        <f t="shared" si="8"/>
        <v>614300196665.48206</v>
      </c>
      <c r="P22" s="14">
        <f t="shared" si="8"/>
        <v>580289170770</v>
      </c>
      <c r="Q22" s="14">
        <f t="shared" si="8"/>
        <v>500507106354.48199</v>
      </c>
      <c r="R22" s="14">
        <f t="shared" si="8"/>
        <v>480641555258.48199</v>
      </c>
      <c r="S22" s="14">
        <f t="shared" si="8"/>
        <v>534948091340.48199</v>
      </c>
      <c r="T22" s="14">
        <f t="shared" si="8"/>
        <v>540062379851.48199</v>
      </c>
      <c r="U22" s="14">
        <f t="shared" si="8"/>
        <v>559774086836.48206</v>
      </c>
      <c r="V22" s="14">
        <f t="shared" si="8"/>
        <v>574368996605.48206</v>
      </c>
      <c r="W22" s="14">
        <f t="shared" si="8"/>
        <v>572758965444.48206</v>
      </c>
      <c r="X22" s="14">
        <f t="shared" si="8"/>
        <v>576109442562.48206</v>
      </c>
      <c r="Y22" s="14">
        <f t="shared" si="8"/>
        <v>555856951749.48206</v>
      </c>
      <c r="Z22" s="14">
        <f t="shared" si="8"/>
        <v>558085932410.48206</v>
      </c>
      <c r="AA22" s="14">
        <f t="shared" si="8"/>
        <v>570584514136.48206</v>
      </c>
      <c r="AB22" s="14">
        <f t="shared" ref="AB22:AM22" ca="1" si="9">SUM(AB23:AB24)</f>
        <v>506665287959.81219</v>
      </c>
      <c r="AC22" s="14">
        <f t="shared" ca="1" si="9"/>
        <v>543923614644.34113</v>
      </c>
      <c r="AD22" s="14">
        <f t="shared" ca="1" si="9"/>
        <v>629239272339.33154</v>
      </c>
      <c r="AE22" s="14">
        <f t="shared" ca="1" si="9"/>
        <v>586716653595.91406</v>
      </c>
      <c r="AF22" s="14">
        <f t="shared" ca="1" si="9"/>
        <v>614060822649.94788</v>
      </c>
      <c r="AG22" s="14">
        <f t="shared" ca="1" si="9"/>
        <v>637543038986.65601</v>
      </c>
      <c r="AH22" s="14">
        <f t="shared" ca="1" si="9"/>
        <v>605247769255.37061</v>
      </c>
      <c r="AI22" s="14">
        <f t="shared" ca="1" si="9"/>
        <v>611584066855.65625</v>
      </c>
      <c r="AJ22" s="14">
        <f t="shared" ca="1" si="9"/>
        <v>642570321310.00464</v>
      </c>
      <c r="AK22" s="14">
        <f t="shared" ca="1" si="9"/>
        <v>593572753757.99182</v>
      </c>
      <c r="AL22" s="14">
        <f t="shared" ca="1" si="9"/>
        <v>619683497508.57458</v>
      </c>
      <c r="AM22" s="14">
        <f t="shared" ca="1" si="9"/>
        <v>632907703498.47205</v>
      </c>
    </row>
    <row r="23" spans="1:39">
      <c r="A23" s="633">
        <v>21</v>
      </c>
      <c r="B23" s="612" t="s">
        <v>275</v>
      </c>
      <c r="C23" t="s">
        <v>518</v>
      </c>
      <c r="D23" s="15">
        <f>'[1]Tinh hinh tai chinh'!AN24</f>
        <v>430096484178.85999</v>
      </c>
      <c r="E23" s="15">
        <f>'[1]Tinh hinh tai chinh'!AO24</f>
        <v>437301765372.85999</v>
      </c>
      <c r="F23" s="15">
        <f>'[1]Tinh hinh tai chinh'!AP24</f>
        <v>477162060831.85999</v>
      </c>
      <c r="G23" s="15">
        <f>'[1]Tinh hinh tai chinh'!AQ24</f>
        <v>517614404978.88202</v>
      </c>
      <c r="H23" s="15">
        <f>'[1]Tinh hinh tai chinh'!AR24</f>
        <v>557633015691.25195</v>
      </c>
      <c r="I23" s="15">
        <f>'[1]Tinh hinh tai chinh'!AS24</f>
        <v>613742905725.25195</v>
      </c>
      <c r="J23" s="15">
        <f>'[1]Tinh hinh tai chinh'!AT24</f>
        <v>630876783389.48206</v>
      </c>
      <c r="K23" s="15">
        <f>'[1]Tinh hinh tai chinh'!AU24</f>
        <v>571035083187.48206</v>
      </c>
      <c r="L23" s="15">
        <f>'[1]Tinh hinh tai chinh'!AV24</f>
        <v>562348665912.48206</v>
      </c>
      <c r="M23" s="15">
        <f>'[1]Tinh hinh tai chinh'!AW24</f>
        <v>558117702257.48206</v>
      </c>
      <c r="N23" s="15">
        <f>'[1]Tinh hinh tai chinh'!AX24</f>
        <v>599902987900.48206</v>
      </c>
      <c r="O23" s="15">
        <f>'[1]Tinh hinh tai chinh'!AY24</f>
        <v>614300196665.48206</v>
      </c>
      <c r="P23" s="15">
        <f>'[1]Tinh hinh tai chinh'!AZ24</f>
        <v>580289170770</v>
      </c>
      <c r="Q23" s="15">
        <f>'[1]Tinh hinh tai chinh'!BA24</f>
        <v>500507106354.48199</v>
      </c>
      <c r="R23" s="15">
        <f>'[1]Tinh hinh tai chinh'!BB24</f>
        <v>480641555258.48199</v>
      </c>
      <c r="S23" s="15">
        <f>'[1]Tinh hinh tai chinh'!BC24</f>
        <v>534948091340.48199</v>
      </c>
      <c r="T23" s="15">
        <f>'[1]Tinh hinh tai chinh'!BD24</f>
        <v>540062379851.48199</v>
      </c>
      <c r="U23" s="15">
        <f>'[1]Tinh hinh tai chinh'!BE24</f>
        <v>559774086836.48206</v>
      </c>
      <c r="V23" s="15">
        <f>'[1]Tinh hinh tai chinh'!BF24</f>
        <v>574368996605.48206</v>
      </c>
      <c r="W23" s="15">
        <f>'[1]Tinh hinh tai chinh'!BG24</f>
        <v>572758965444.48206</v>
      </c>
      <c r="X23" s="15">
        <f>'[1]Tinh hinh tai chinh'!BH24</f>
        <v>576109442562.48206</v>
      </c>
      <c r="Y23" s="15">
        <f>'[1]Tinh hinh tai chinh'!BI24</f>
        <v>555856951749.48206</v>
      </c>
      <c r="Z23" s="15">
        <f>'[1]Tinh hinh tai chinh'!BJ24</f>
        <v>558085932410.48206</v>
      </c>
      <c r="AA23" s="15">
        <f>'[1]Tinh hinh tai chinh'!BK24</f>
        <v>570584514136.48206</v>
      </c>
      <c r="AB23" s="15">
        <f ca="1">'Consol BS-DTRG'!D24</f>
        <v>506665287959.81219</v>
      </c>
      <c r="AC23" s="15">
        <f ca="1">'Consol BS-DTRG'!E24</f>
        <v>543923614644.34113</v>
      </c>
      <c r="AD23" s="15">
        <f ca="1">'Consol BS-DTRG'!F24</f>
        <v>629239272339.33154</v>
      </c>
      <c r="AE23" s="15">
        <f ca="1">'Consol BS-DTRG'!G24</f>
        <v>586716653595.91406</v>
      </c>
      <c r="AF23" s="15">
        <f ca="1">'Consol BS-DTRG'!H24</f>
        <v>614060822649.94788</v>
      </c>
      <c r="AG23" s="15">
        <f ca="1">'Consol BS-DTRG'!I24</f>
        <v>637543038986.65601</v>
      </c>
      <c r="AH23" s="15">
        <f ca="1">'Consol BS-DTRG'!J24</f>
        <v>605247769255.37061</v>
      </c>
      <c r="AI23" s="15">
        <f ca="1">'Consol BS-DTRG'!K24</f>
        <v>611584066855.65625</v>
      </c>
      <c r="AJ23" s="15">
        <f ca="1">'Consol BS-DTRG'!L24</f>
        <v>642570321310.00464</v>
      </c>
      <c r="AK23" s="15">
        <f ca="1">'Consol BS-DTRG'!M24</f>
        <v>593572753757.99182</v>
      </c>
      <c r="AL23" s="15">
        <f ca="1">'Consol BS-DTRG'!N24</f>
        <v>619683497508.57458</v>
      </c>
      <c r="AM23" s="15">
        <f ca="1">'Consol BS-DTRG'!O24</f>
        <v>632907703498.47205</v>
      </c>
    </row>
    <row r="24" spans="1:39">
      <c r="A24" s="633">
        <v>22</v>
      </c>
      <c r="B24" s="612" t="s">
        <v>276</v>
      </c>
      <c r="C24" t="s">
        <v>518</v>
      </c>
      <c r="D24" s="15">
        <f>'[1]Tinh hinh tai chinh'!AN25</f>
        <v>0</v>
      </c>
      <c r="E24" s="15">
        <f>'[1]Tinh hinh tai chinh'!AO25</f>
        <v>0</v>
      </c>
      <c r="F24" s="15">
        <f>'[1]Tinh hinh tai chinh'!AP25</f>
        <v>0</v>
      </c>
      <c r="G24" s="15">
        <f>'[1]Tinh hinh tai chinh'!AQ25</f>
        <v>0</v>
      </c>
      <c r="H24" s="15">
        <f>'[1]Tinh hinh tai chinh'!AR25</f>
        <v>0</v>
      </c>
      <c r="I24" s="15">
        <f>'[1]Tinh hinh tai chinh'!AS25</f>
        <v>0</v>
      </c>
      <c r="J24" s="15">
        <f>'[1]Tinh hinh tai chinh'!AT25</f>
        <v>0</v>
      </c>
      <c r="K24" s="15">
        <f>'[1]Tinh hinh tai chinh'!AU25</f>
        <v>0</v>
      </c>
      <c r="L24" s="15">
        <f>'[1]Tinh hinh tai chinh'!AV25</f>
        <v>0</v>
      </c>
      <c r="M24" s="15">
        <f>'[1]Tinh hinh tai chinh'!AW25</f>
        <v>0</v>
      </c>
      <c r="N24" s="15">
        <f>'[1]Tinh hinh tai chinh'!AX25</f>
        <v>0</v>
      </c>
      <c r="O24" s="15">
        <f>'[1]Tinh hinh tai chinh'!AY25</f>
        <v>0</v>
      </c>
      <c r="P24" s="15">
        <f>'[1]Tinh hinh tai chinh'!AZ25</f>
        <v>0</v>
      </c>
      <c r="Q24" s="15">
        <f>'[1]Tinh hinh tai chinh'!BA25</f>
        <v>0</v>
      </c>
      <c r="R24" s="15">
        <f>'[1]Tinh hinh tai chinh'!BB25</f>
        <v>0</v>
      </c>
      <c r="S24" s="15">
        <f>'[1]Tinh hinh tai chinh'!BC25</f>
        <v>0</v>
      </c>
      <c r="T24" s="15">
        <f>'[1]Tinh hinh tai chinh'!BD25</f>
        <v>0</v>
      </c>
      <c r="U24" s="15">
        <f>'[1]Tinh hinh tai chinh'!BE25</f>
        <v>0</v>
      </c>
      <c r="V24" s="15">
        <f>'[1]Tinh hinh tai chinh'!BF25</f>
        <v>0</v>
      </c>
      <c r="W24" s="15">
        <f>'[1]Tinh hinh tai chinh'!BG25</f>
        <v>0</v>
      </c>
      <c r="X24" s="15">
        <f>'[1]Tinh hinh tai chinh'!BH25</f>
        <v>0</v>
      </c>
      <c r="Y24" s="15">
        <f>'[1]Tinh hinh tai chinh'!BI25</f>
        <v>0</v>
      </c>
      <c r="Z24" s="15">
        <f>'[1]Tinh hinh tai chinh'!BJ25</f>
        <v>0</v>
      </c>
      <c r="AA24" s="15">
        <f>'[1]Tinh hinh tai chinh'!BK25</f>
        <v>0</v>
      </c>
      <c r="AB24" s="15">
        <f>'Consol BS-DTRG'!D25</f>
        <v>0</v>
      </c>
      <c r="AC24" s="15">
        <f>'Consol BS-DTRG'!E25</f>
        <v>0</v>
      </c>
      <c r="AD24" s="15">
        <f>'Consol BS-DTRG'!F25</f>
        <v>0</v>
      </c>
      <c r="AE24" s="15">
        <f>'Consol BS-DTRG'!G25</f>
        <v>0</v>
      </c>
      <c r="AF24" s="15">
        <f>'Consol BS-DTRG'!H25</f>
        <v>0</v>
      </c>
      <c r="AG24" s="15">
        <f>'Consol BS-DTRG'!I25</f>
        <v>0</v>
      </c>
      <c r="AH24" s="15">
        <f>'Consol BS-DTRG'!J25</f>
        <v>0</v>
      </c>
      <c r="AI24" s="15">
        <f>'Consol BS-DTRG'!K25</f>
        <v>0</v>
      </c>
      <c r="AJ24" s="15">
        <f>'Consol BS-DTRG'!L25</f>
        <v>0</v>
      </c>
      <c r="AK24" s="15">
        <f>'Consol BS-DTRG'!M25</f>
        <v>0</v>
      </c>
      <c r="AL24" s="15">
        <f>'Consol BS-DTRG'!N25</f>
        <v>0</v>
      </c>
      <c r="AM24" s="15">
        <f>'Consol BS-DTRG'!O25</f>
        <v>0</v>
      </c>
    </row>
    <row r="25" spans="1:39">
      <c r="A25" s="1">
        <v>23</v>
      </c>
      <c r="B25" s="611" t="s">
        <v>277</v>
      </c>
      <c r="D25" s="15">
        <f t="shared" ref="D25:AA25" si="10">SUM(D26:D28)</f>
        <v>0</v>
      </c>
      <c r="E25" s="15">
        <f t="shared" si="10"/>
        <v>0</v>
      </c>
      <c r="F25" s="15">
        <f t="shared" si="10"/>
        <v>0</v>
      </c>
      <c r="G25" s="15">
        <f t="shared" si="10"/>
        <v>0</v>
      </c>
      <c r="H25" s="15">
        <f t="shared" si="10"/>
        <v>0</v>
      </c>
      <c r="I25" s="15">
        <f t="shared" si="10"/>
        <v>0</v>
      </c>
      <c r="J25" s="15">
        <f t="shared" si="10"/>
        <v>0</v>
      </c>
      <c r="K25" s="15">
        <f t="shared" si="10"/>
        <v>0</v>
      </c>
      <c r="L25" s="15">
        <f t="shared" si="10"/>
        <v>0</v>
      </c>
      <c r="M25" s="15">
        <f t="shared" si="10"/>
        <v>0</v>
      </c>
      <c r="N25" s="15">
        <f t="shared" si="10"/>
        <v>0</v>
      </c>
      <c r="O25" s="15">
        <f t="shared" si="10"/>
        <v>0</v>
      </c>
      <c r="P25" s="15">
        <f t="shared" si="10"/>
        <v>0</v>
      </c>
      <c r="Q25" s="15">
        <f t="shared" si="10"/>
        <v>0</v>
      </c>
      <c r="R25" s="15">
        <f t="shared" si="10"/>
        <v>0</v>
      </c>
      <c r="S25" s="15">
        <f t="shared" si="10"/>
        <v>0</v>
      </c>
      <c r="T25" s="15">
        <f t="shared" si="10"/>
        <v>0</v>
      </c>
      <c r="U25" s="15">
        <f t="shared" si="10"/>
        <v>0</v>
      </c>
      <c r="V25" s="15">
        <f t="shared" si="10"/>
        <v>0</v>
      </c>
      <c r="W25" s="15">
        <f t="shared" si="10"/>
        <v>0</v>
      </c>
      <c r="X25" s="15">
        <f t="shared" si="10"/>
        <v>0</v>
      </c>
      <c r="Y25" s="15">
        <f t="shared" si="10"/>
        <v>0</v>
      </c>
      <c r="Z25" s="15">
        <f t="shared" si="10"/>
        <v>0</v>
      </c>
      <c r="AA25" s="15">
        <f t="shared" si="10"/>
        <v>0</v>
      </c>
      <c r="AB25" s="15">
        <f t="shared" ref="AB25:AM25" si="11">SUM(AB26:AB28)</f>
        <v>0</v>
      </c>
      <c r="AC25" s="15">
        <f t="shared" si="11"/>
        <v>0</v>
      </c>
      <c r="AD25" s="15">
        <f t="shared" si="11"/>
        <v>0</v>
      </c>
      <c r="AE25" s="15">
        <f t="shared" si="11"/>
        <v>0</v>
      </c>
      <c r="AF25" s="15">
        <f t="shared" si="11"/>
        <v>0</v>
      </c>
      <c r="AG25" s="15">
        <f t="shared" si="11"/>
        <v>0</v>
      </c>
      <c r="AH25" s="15">
        <f t="shared" si="11"/>
        <v>0</v>
      </c>
      <c r="AI25" s="15">
        <f t="shared" si="11"/>
        <v>0</v>
      </c>
      <c r="AJ25" s="15">
        <f t="shared" si="11"/>
        <v>0</v>
      </c>
      <c r="AK25" s="15">
        <f t="shared" si="11"/>
        <v>0</v>
      </c>
      <c r="AL25" s="15">
        <f t="shared" si="11"/>
        <v>0</v>
      </c>
      <c r="AM25" s="15">
        <f t="shared" si="11"/>
        <v>0</v>
      </c>
    </row>
    <row r="26" spans="1:39">
      <c r="A26" s="633">
        <v>24</v>
      </c>
      <c r="B26" s="612" t="s">
        <v>278</v>
      </c>
      <c r="C26" t="s">
        <v>518</v>
      </c>
      <c r="D26" s="15">
        <f>'[1]Tinh hinh tai chinh'!AN27</f>
        <v>0</v>
      </c>
      <c r="E26" s="15">
        <f>'[1]Tinh hinh tai chinh'!AO27</f>
        <v>0</v>
      </c>
      <c r="F26" s="15">
        <f>'[1]Tinh hinh tai chinh'!AP27</f>
        <v>0</v>
      </c>
      <c r="G26" s="15">
        <f>'[1]Tinh hinh tai chinh'!AQ27</f>
        <v>0</v>
      </c>
      <c r="H26" s="15">
        <f>'[1]Tinh hinh tai chinh'!AR27</f>
        <v>0</v>
      </c>
      <c r="I26" s="15">
        <f>'[1]Tinh hinh tai chinh'!AS27</f>
        <v>0</v>
      </c>
      <c r="J26" s="15">
        <f>'[1]Tinh hinh tai chinh'!AT27</f>
        <v>0</v>
      </c>
      <c r="K26" s="15">
        <f>'[1]Tinh hinh tai chinh'!AU27</f>
        <v>0</v>
      </c>
      <c r="L26" s="15">
        <f>'[1]Tinh hinh tai chinh'!AV27</f>
        <v>0</v>
      </c>
      <c r="M26" s="15">
        <f>'[1]Tinh hinh tai chinh'!AW27</f>
        <v>0</v>
      </c>
      <c r="N26" s="15">
        <f>'[1]Tinh hinh tai chinh'!AX27</f>
        <v>0</v>
      </c>
      <c r="O26" s="15">
        <f>'[1]Tinh hinh tai chinh'!AY27</f>
        <v>0</v>
      </c>
      <c r="P26" s="15">
        <f>'[1]Tinh hinh tai chinh'!AZ27</f>
        <v>0</v>
      </c>
      <c r="Q26" s="15">
        <f>'[1]Tinh hinh tai chinh'!BA27</f>
        <v>0</v>
      </c>
      <c r="R26" s="15">
        <f>'[1]Tinh hinh tai chinh'!BB27</f>
        <v>0</v>
      </c>
      <c r="S26" s="15">
        <f>'[1]Tinh hinh tai chinh'!BC27</f>
        <v>0</v>
      </c>
      <c r="T26" s="15">
        <f>'[1]Tinh hinh tai chinh'!BD27</f>
        <v>0</v>
      </c>
      <c r="U26" s="15">
        <f>'[1]Tinh hinh tai chinh'!BE27</f>
        <v>0</v>
      </c>
      <c r="V26" s="15">
        <f>'[1]Tinh hinh tai chinh'!BF27</f>
        <v>0</v>
      </c>
      <c r="W26" s="15">
        <f>'[1]Tinh hinh tai chinh'!BG27</f>
        <v>0</v>
      </c>
      <c r="X26" s="15">
        <f>'[1]Tinh hinh tai chinh'!BH27</f>
        <v>0</v>
      </c>
      <c r="Y26" s="15">
        <f>'[1]Tinh hinh tai chinh'!BI27</f>
        <v>0</v>
      </c>
      <c r="Z26" s="15">
        <f>'[1]Tinh hinh tai chinh'!BJ27</f>
        <v>0</v>
      </c>
      <c r="AA26" s="15">
        <f>'[1]Tinh hinh tai chinh'!BK27</f>
        <v>0</v>
      </c>
      <c r="AB26" s="15">
        <f>'Consol BS-DTRG'!D27</f>
        <v>0</v>
      </c>
      <c r="AC26" s="15">
        <f>'Consol BS-DTRG'!E27</f>
        <v>0</v>
      </c>
      <c r="AD26" s="15">
        <f>'Consol BS-DTRG'!F27</f>
        <v>0</v>
      </c>
      <c r="AE26" s="15">
        <f>'Consol BS-DTRG'!G27</f>
        <v>0</v>
      </c>
      <c r="AF26" s="15">
        <f>'Consol BS-DTRG'!H27</f>
        <v>0</v>
      </c>
      <c r="AG26" s="15">
        <f>'Consol BS-DTRG'!I27</f>
        <v>0</v>
      </c>
      <c r="AH26" s="15">
        <f>'Consol BS-DTRG'!J27</f>
        <v>0</v>
      </c>
      <c r="AI26" s="15">
        <f>'Consol BS-DTRG'!K27</f>
        <v>0</v>
      </c>
      <c r="AJ26" s="15">
        <f>'Consol BS-DTRG'!L27</f>
        <v>0</v>
      </c>
      <c r="AK26" s="15">
        <f>'Consol BS-DTRG'!M27</f>
        <v>0</v>
      </c>
      <c r="AL26" s="15">
        <f>'Consol BS-DTRG'!N27</f>
        <v>0</v>
      </c>
      <c r="AM26" s="15">
        <f>'Consol BS-DTRG'!O27</f>
        <v>0</v>
      </c>
    </row>
    <row r="27" spans="1:39">
      <c r="A27" s="633">
        <v>25</v>
      </c>
      <c r="B27" s="612" t="s">
        <v>279</v>
      </c>
      <c r="C27" t="s">
        <v>518</v>
      </c>
      <c r="D27" s="15">
        <f>'[1]Tinh hinh tai chinh'!AN28</f>
        <v>0</v>
      </c>
      <c r="E27" s="15">
        <f>'[1]Tinh hinh tai chinh'!AO28</f>
        <v>0</v>
      </c>
      <c r="F27" s="15">
        <f>'[1]Tinh hinh tai chinh'!AP28</f>
        <v>0</v>
      </c>
      <c r="G27" s="15">
        <f>'[1]Tinh hinh tai chinh'!AQ28</f>
        <v>0</v>
      </c>
      <c r="H27" s="15">
        <f>'[1]Tinh hinh tai chinh'!AR28</f>
        <v>0</v>
      </c>
      <c r="I27" s="15">
        <f>'[1]Tinh hinh tai chinh'!AS28</f>
        <v>0</v>
      </c>
      <c r="J27" s="15">
        <f>'[1]Tinh hinh tai chinh'!AT28</f>
        <v>0</v>
      </c>
      <c r="K27" s="15">
        <f>'[1]Tinh hinh tai chinh'!AU28</f>
        <v>0</v>
      </c>
      <c r="L27" s="15">
        <f>'[1]Tinh hinh tai chinh'!AV28</f>
        <v>0</v>
      </c>
      <c r="M27" s="15">
        <f>'[1]Tinh hinh tai chinh'!AW28</f>
        <v>0</v>
      </c>
      <c r="N27" s="15">
        <f>'[1]Tinh hinh tai chinh'!AX28</f>
        <v>0</v>
      </c>
      <c r="O27" s="15">
        <f>'[1]Tinh hinh tai chinh'!AY28</f>
        <v>0</v>
      </c>
      <c r="P27" s="15">
        <f>'[1]Tinh hinh tai chinh'!AZ28</f>
        <v>0</v>
      </c>
      <c r="Q27" s="15">
        <f>'[1]Tinh hinh tai chinh'!BA28</f>
        <v>0</v>
      </c>
      <c r="R27" s="15">
        <f>'[1]Tinh hinh tai chinh'!BB28</f>
        <v>0</v>
      </c>
      <c r="S27" s="15">
        <f>'[1]Tinh hinh tai chinh'!BC28</f>
        <v>0</v>
      </c>
      <c r="T27" s="15">
        <f>'[1]Tinh hinh tai chinh'!BD28</f>
        <v>0</v>
      </c>
      <c r="U27" s="15">
        <f>'[1]Tinh hinh tai chinh'!BE28</f>
        <v>0</v>
      </c>
      <c r="V27" s="15">
        <f>'[1]Tinh hinh tai chinh'!BF28</f>
        <v>0</v>
      </c>
      <c r="W27" s="15">
        <f>'[1]Tinh hinh tai chinh'!BG28</f>
        <v>0</v>
      </c>
      <c r="X27" s="15">
        <f>'[1]Tinh hinh tai chinh'!BH28</f>
        <v>0</v>
      </c>
      <c r="Y27" s="15">
        <f>'[1]Tinh hinh tai chinh'!BI28</f>
        <v>0</v>
      </c>
      <c r="Z27" s="15">
        <f>'[1]Tinh hinh tai chinh'!BJ28</f>
        <v>0</v>
      </c>
      <c r="AA27" s="15">
        <f>'[1]Tinh hinh tai chinh'!BK28</f>
        <v>0</v>
      </c>
      <c r="AB27" s="15">
        <f>'Consol BS-DTRG'!D28</f>
        <v>0</v>
      </c>
      <c r="AC27" s="15">
        <f>'Consol BS-DTRG'!E28</f>
        <v>0</v>
      </c>
      <c r="AD27" s="15">
        <f>'Consol BS-DTRG'!F28</f>
        <v>0</v>
      </c>
      <c r="AE27" s="15">
        <f>'Consol BS-DTRG'!G28</f>
        <v>0</v>
      </c>
      <c r="AF27" s="15">
        <f>'Consol BS-DTRG'!H28</f>
        <v>0</v>
      </c>
      <c r="AG27" s="15">
        <f>'Consol BS-DTRG'!I28</f>
        <v>0</v>
      </c>
      <c r="AH27" s="15">
        <f>'Consol BS-DTRG'!J28</f>
        <v>0</v>
      </c>
      <c r="AI27" s="15">
        <f>'Consol BS-DTRG'!K28</f>
        <v>0</v>
      </c>
      <c r="AJ27" s="15">
        <f>'Consol BS-DTRG'!L28</f>
        <v>0</v>
      </c>
      <c r="AK27" s="15">
        <f>'Consol BS-DTRG'!M28</f>
        <v>0</v>
      </c>
      <c r="AL27" s="15">
        <f>'Consol BS-DTRG'!N28</f>
        <v>0</v>
      </c>
      <c r="AM27" s="15">
        <f>'Consol BS-DTRG'!O28</f>
        <v>0</v>
      </c>
    </row>
    <row r="28" spans="1:39">
      <c r="A28" s="633">
        <v>26</v>
      </c>
      <c r="B28" s="612" t="s">
        <v>280</v>
      </c>
      <c r="C28" t="s">
        <v>518</v>
      </c>
      <c r="D28" s="15">
        <f>'[1]Tinh hinh tai chinh'!AN29</f>
        <v>0</v>
      </c>
      <c r="E28" s="15">
        <f>'[1]Tinh hinh tai chinh'!AO29</f>
        <v>0</v>
      </c>
      <c r="F28" s="15">
        <f>'[1]Tinh hinh tai chinh'!AP29</f>
        <v>0</v>
      </c>
      <c r="G28" s="15">
        <f>'[1]Tinh hinh tai chinh'!AQ29</f>
        <v>0</v>
      </c>
      <c r="H28" s="15">
        <f>'[1]Tinh hinh tai chinh'!AR29</f>
        <v>0</v>
      </c>
      <c r="I28" s="15">
        <f>'[1]Tinh hinh tai chinh'!AS29</f>
        <v>0</v>
      </c>
      <c r="J28" s="15">
        <f>'[1]Tinh hinh tai chinh'!AT29</f>
        <v>0</v>
      </c>
      <c r="K28" s="15">
        <f>'[1]Tinh hinh tai chinh'!AU29</f>
        <v>0</v>
      </c>
      <c r="L28" s="15">
        <f>'[1]Tinh hinh tai chinh'!AV29</f>
        <v>0</v>
      </c>
      <c r="M28" s="15">
        <f>'[1]Tinh hinh tai chinh'!AW29</f>
        <v>0</v>
      </c>
      <c r="N28" s="15">
        <f>'[1]Tinh hinh tai chinh'!AX29</f>
        <v>0</v>
      </c>
      <c r="O28" s="15">
        <f>'[1]Tinh hinh tai chinh'!AY29</f>
        <v>0</v>
      </c>
      <c r="P28" s="15">
        <f>'[1]Tinh hinh tai chinh'!AZ29</f>
        <v>0</v>
      </c>
      <c r="Q28" s="15">
        <f>'[1]Tinh hinh tai chinh'!BA29</f>
        <v>0</v>
      </c>
      <c r="R28" s="15">
        <f>'[1]Tinh hinh tai chinh'!BB29</f>
        <v>0</v>
      </c>
      <c r="S28" s="15">
        <f>'[1]Tinh hinh tai chinh'!BC29</f>
        <v>0</v>
      </c>
      <c r="T28" s="15">
        <f>'[1]Tinh hinh tai chinh'!BD29</f>
        <v>0</v>
      </c>
      <c r="U28" s="15">
        <f>'[1]Tinh hinh tai chinh'!BE29</f>
        <v>0</v>
      </c>
      <c r="V28" s="15">
        <f>'[1]Tinh hinh tai chinh'!BF29</f>
        <v>0</v>
      </c>
      <c r="W28" s="15">
        <f>'[1]Tinh hinh tai chinh'!BG29</f>
        <v>0</v>
      </c>
      <c r="X28" s="15">
        <f>'[1]Tinh hinh tai chinh'!BH29</f>
        <v>0</v>
      </c>
      <c r="Y28" s="15">
        <f>'[1]Tinh hinh tai chinh'!BI29</f>
        <v>0</v>
      </c>
      <c r="Z28" s="15">
        <f>'[1]Tinh hinh tai chinh'!BJ29</f>
        <v>0</v>
      </c>
      <c r="AA28" s="15">
        <f>'[1]Tinh hinh tai chinh'!BK29</f>
        <v>0</v>
      </c>
      <c r="AB28" s="15">
        <f>'Consol BS-DTRG'!D29</f>
        <v>0</v>
      </c>
      <c r="AC28" s="15">
        <f>'Consol BS-DTRG'!E29</f>
        <v>0</v>
      </c>
      <c r="AD28" s="15">
        <f>'Consol BS-DTRG'!F29</f>
        <v>0</v>
      </c>
      <c r="AE28" s="15">
        <f>'Consol BS-DTRG'!G29</f>
        <v>0</v>
      </c>
      <c r="AF28" s="15">
        <f>'Consol BS-DTRG'!H29</f>
        <v>0</v>
      </c>
      <c r="AG28" s="15">
        <f>'Consol BS-DTRG'!I29</f>
        <v>0</v>
      </c>
      <c r="AH28" s="15">
        <f>'Consol BS-DTRG'!J29</f>
        <v>0</v>
      </c>
      <c r="AI28" s="15">
        <f>'Consol BS-DTRG'!K29</f>
        <v>0</v>
      </c>
      <c r="AJ28" s="15">
        <f>'Consol BS-DTRG'!L29</f>
        <v>0</v>
      </c>
      <c r="AK28" s="15">
        <f>'Consol BS-DTRG'!M29</f>
        <v>0</v>
      </c>
      <c r="AL28" s="15">
        <f>'Consol BS-DTRG'!N29</f>
        <v>0</v>
      </c>
      <c r="AM28" s="15">
        <f>'Consol BS-DTRG'!O29</f>
        <v>0</v>
      </c>
    </row>
    <row r="29" spans="1:39">
      <c r="A29" s="1">
        <v>27</v>
      </c>
      <c r="B29" s="611" t="s">
        <v>281</v>
      </c>
      <c r="D29" s="14">
        <f t="shared" ref="D29:AA29" si="12">SUM(D30:D34)</f>
        <v>48962900416</v>
      </c>
      <c r="E29" s="14">
        <f t="shared" si="12"/>
        <v>52918232539</v>
      </c>
      <c r="F29" s="14">
        <f t="shared" si="12"/>
        <v>54010150554</v>
      </c>
      <c r="G29" s="14">
        <f t="shared" si="12"/>
        <v>60398986934</v>
      </c>
      <c r="H29" s="14">
        <f t="shared" si="12"/>
        <v>65075235400</v>
      </c>
      <c r="I29" s="14">
        <f t="shared" si="12"/>
        <v>42414017441</v>
      </c>
      <c r="J29" s="14">
        <f t="shared" si="12"/>
        <v>47346796070</v>
      </c>
      <c r="K29" s="14">
        <f t="shared" si="12"/>
        <v>49263253112</v>
      </c>
      <c r="L29" s="14">
        <f t="shared" si="12"/>
        <v>57483105866</v>
      </c>
      <c r="M29" s="14">
        <f t="shared" si="12"/>
        <v>60763422160</v>
      </c>
      <c r="N29" s="14">
        <f t="shared" si="12"/>
        <v>33278015559</v>
      </c>
      <c r="O29" s="14">
        <f t="shared" si="12"/>
        <v>31534122458</v>
      </c>
      <c r="P29" s="14">
        <f t="shared" si="12"/>
        <v>34362267223</v>
      </c>
      <c r="Q29" s="14">
        <f t="shared" si="12"/>
        <v>35248494736</v>
      </c>
      <c r="R29" s="14">
        <f t="shared" si="12"/>
        <v>40503750775</v>
      </c>
      <c r="S29" s="14">
        <f t="shared" si="12"/>
        <v>49178776302</v>
      </c>
      <c r="T29" s="14">
        <f t="shared" si="12"/>
        <v>57921393429</v>
      </c>
      <c r="U29" s="14">
        <f t="shared" si="12"/>
        <v>67675492589</v>
      </c>
      <c r="V29" s="14">
        <f t="shared" si="12"/>
        <v>75037706236</v>
      </c>
      <c r="W29" s="14">
        <f t="shared" si="12"/>
        <v>46127608829</v>
      </c>
      <c r="X29" s="14">
        <f t="shared" si="12"/>
        <v>47471844315</v>
      </c>
      <c r="Y29" s="14">
        <f t="shared" si="12"/>
        <v>46651672817</v>
      </c>
      <c r="Z29" s="14">
        <f t="shared" si="12"/>
        <v>44467014084</v>
      </c>
      <c r="AA29" s="14">
        <f t="shared" si="12"/>
        <v>23132754098</v>
      </c>
      <c r="AB29" s="14">
        <f t="shared" ref="AB29:AM29" si="13">SUM(AB30:AB34)</f>
        <v>62681278249</v>
      </c>
      <c r="AC29" s="14">
        <f t="shared" si="13"/>
        <v>67681278249</v>
      </c>
      <c r="AD29" s="14">
        <f t="shared" si="13"/>
        <v>72681278249</v>
      </c>
      <c r="AE29" s="14">
        <f t="shared" si="13"/>
        <v>77681278249</v>
      </c>
      <c r="AF29" s="14">
        <f t="shared" si="13"/>
        <v>82681278249</v>
      </c>
      <c r="AG29" s="14">
        <f t="shared" si="13"/>
        <v>87681278249</v>
      </c>
      <c r="AH29" s="14">
        <f t="shared" si="13"/>
        <v>92681278249.000015</v>
      </c>
      <c r="AI29" s="14">
        <f t="shared" si="13"/>
        <v>97681278249.000015</v>
      </c>
      <c r="AJ29" s="14">
        <f t="shared" si="13"/>
        <v>102681278249.00002</v>
      </c>
      <c r="AK29" s="14">
        <f t="shared" si="13"/>
        <v>107681278249.00002</v>
      </c>
      <c r="AL29" s="14">
        <f t="shared" si="13"/>
        <v>112681278249.00002</v>
      </c>
      <c r="AM29" s="14">
        <f t="shared" si="13"/>
        <v>117681278249.00002</v>
      </c>
    </row>
    <row r="30" spans="1:39">
      <c r="A30" s="633">
        <v>28</v>
      </c>
      <c r="B30" s="614" t="s">
        <v>282</v>
      </c>
      <c r="C30" t="s">
        <v>518</v>
      </c>
      <c r="D30" s="15">
        <f>'[1]Tinh hinh tai chinh'!AN31</f>
        <v>7035999486</v>
      </c>
      <c r="E30" s="15">
        <f>'[1]Tinh hinh tai chinh'!AO31</f>
        <v>8848304154</v>
      </c>
      <c r="F30" s="15">
        <f>'[1]Tinh hinh tai chinh'!AP31</f>
        <v>7783371139</v>
      </c>
      <c r="G30" s="15">
        <f>'[1]Tinh hinh tai chinh'!AQ31</f>
        <v>8731138492</v>
      </c>
      <c r="H30" s="15">
        <f>'[1]Tinh hinh tai chinh'!AR31</f>
        <v>8451404044</v>
      </c>
      <c r="I30" s="15">
        <f>'[1]Tinh hinh tai chinh'!AS31</f>
        <v>9556103747</v>
      </c>
      <c r="J30" s="15">
        <f>'[1]Tinh hinh tai chinh'!AT31</f>
        <v>11050173464</v>
      </c>
      <c r="K30" s="15">
        <f>'[1]Tinh hinh tai chinh'!AU31</f>
        <v>11388113648</v>
      </c>
      <c r="L30" s="15">
        <f>'[1]Tinh hinh tai chinh'!AV31</f>
        <v>12602861919</v>
      </c>
      <c r="M30" s="15">
        <f>'[1]Tinh hinh tai chinh'!AW31</f>
        <v>11727591383</v>
      </c>
      <c r="N30" s="15">
        <f>'[1]Tinh hinh tai chinh'!AX31</f>
        <v>10973880534</v>
      </c>
      <c r="O30" s="15">
        <f>'[1]Tinh hinh tai chinh'!AY31</f>
        <v>10657489774</v>
      </c>
      <c r="P30" s="15">
        <f>'[1]Tinh hinh tai chinh'!AZ31</f>
        <v>11395924021</v>
      </c>
      <c r="Q30" s="15">
        <f>'[1]Tinh hinh tai chinh'!BA31</f>
        <v>11989589155</v>
      </c>
      <c r="R30" s="15">
        <f>'[1]Tinh hinh tai chinh'!BB31</f>
        <v>11598601196</v>
      </c>
      <c r="S30" s="15">
        <f>'[1]Tinh hinh tai chinh'!BC31</f>
        <v>10468261049</v>
      </c>
      <c r="T30" s="15">
        <f>'[1]Tinh hinh tai chinh'!BD31</f>
        <v>9171782469</v>
      </c>
      <c r="U30" s="15">
        <f>'[1]Tinh hinh tai chinh'!BE31</f>
        <v>14684835555</v>
      </c>
      <c r="V30" s="15">
        <f>'[1]Tinh hinh tai chinh'!BF31</f>
        <v>15885866296</v>
      </c>
      <c r="W30" s="15">
        <f>'[1]Tinh hinh tai chinh'!BG31</f>
        <v>16474015139</v>
      </c>
      <c r="X30" s="15">
        <f>'[1]Tinh hinh tai chinh'!BH31</f>
        <v>13849463748</v>
      </c>
      <c r="Y30" s="15">
        <f>'[1]Tinh hinh tai chinh'!BI31</f>
        <v>11763139600</v>
      </c>
      <c r="Z30" s="15">
        <f>'[1]Tinh hinh tai chinh'!BJ31</f>
        <v>9200737004</v>
      </c>
      <c r="AA30" s="15">
        <f>'[1]Tinh hinh tai chinh'!BK31</f>
        <v>9528997722</v>
      </c>
      <c r="AB30" s="15">
        <f>'Consol BS-DTRG'!D31</f>
        <v>0</v>
      </c>
      <c r="AC30" s="15">
        <f>'Consol BS-DTRG'!E31</f>
        <v>0</v>
      </c>
      <c r="AD30" s="15">
        <f>'Consol BS-DTRG'!F31</f>
        <v>0</v>
      </c>
      <c r="AE30" s="15">
        <f>'Consol BS-DTRG'!G31</f>
        <v>0</v>
      </c>
      <c r="AF30" s="15">
        <f>'Consol BS-DTRG'!H31</f>
        <v>0</v>
      </c>
      <c r="AG30" s="15">
        <f>'Consol BS-DTRG'!I31</f>
        <v>0</v>
      </c>
      <c r="AH30" s="15">
        <f>'Consol BS-DTRG'!J31</f>
        <v>0</v>
      </c>
      <c r="AI30" s="15">
        <f>'Consol BS-DTRG'!K31</f>
        <v>0</v>
      </c>
      <c r="AJ30" s="15">
        <f>'Consol BS-DTRG'!L31</f>
        <v>0</v>
      </c>
      <c r="AK30" s="15">
        <f>'Consol BS-DTRG'!M31</f>
        <v>0</v>
      </c>
      <c r="AL30" s="15">
        <f>'Consol BS-DTRG'!N31</f>
        <v>0</v>
      </c>
      <c r="AM30" s="15">
        <f>'Consol BS-DTRG'!O31</f>
        <v>0</v>
      </c>
    </row>
    <row r="31" spans="1:39">
      <c r="A31" s="633">
        <v>29</v>
      </c>
      <c r="B31" s="614" t="s">
        <v>283</v>
      </c>
      <c r="C31" t="s">
        <v>518</v>
      </c>
      <c r="D31" s="15">
        <f>'[1]Tinh hinh tai chinh'!AN32</f>
        <v>41926900930</v>
      </c>
      <c r="E31" s="15">
        <f>'[1]Tinh hinh tai chinh'!AO32</f>
        <v>43981339223</v>
      </c>
      <c r="F31" s="15">
        <f>'[1]Tinh hinh tai chinh'!AP32</f>
        <v>46171681706</v>
      </c>
      <c r="G31" s="15">
        <f>'[1]Tinh hinh tai chinh'!AQ32</f>
        <v>51636650946</v>
      </c>
      <c r="H31" s="15">
        <f>'[1]Tinh hinh tai chinh'!AR32</f>
        <v>56579510013</v>
      </c>
      <c r="I31" s="15">
        <f>'[1]Tinh hinh tai chinh'!AS32</f>
        <v>32789088899</v>
      </c>
      <c r="J31" s="15">
        <f>'[1]Tinh hinh tai chinh'!AT32</f>
        <v>36250538837</v>
      </c>
      <c r="K31" s="15">
        <f>'[1]Tinh hinh tai chinh'!AU32</f>
        <v>37779643794</v>
      </c>
      <c r="L31" s="15">
        <f>'[1]Tinh hinh tai chinh'!AV32</f>
        <v>44831223018</v>
      </c>
      <c r="M31" s="15">
        <f>'[1]Tinh hinh tai chinh'!AW32</f>
        <v>48983963098</v>
      </c>
      <c r="N31" s="15">
        <f>'[1]Tinh hinh tai chinh'!AX32</f>
        <v>22259084600</v>
      </c>
      <c r="O31" s="15">
        <f>'[1]Tinh hinh tai chinh'!AY32</f>
        <v>20876632684</v>
      </c>
      <c r="P31" s="15">
        <f>'[1]Tinh hinh tai chinh'!AZ32</f>
        <v>22966343202</v>
      </c>
      <c r="Q31" s="15">
        <f>'[1]Tinh hinh tai chinh'!BA32</f>
        <v>23255035548</v>
      </c>
      <c r="R31" s="15">
        <f>'[1]Tinh hinh tai chinh'!BB32</f>
        <v>28905149579</v>
      </c>
      <c r="S31" s="15">
        <f>'[1]Tinh hinh tai chinh'!BC32</f>
        <v>38710515253</v>
      </c>
      <c r="T31" s="15">
        <f>'[1]Tinh hinh tai chinh'!BD32</f>
        <v>48749610960</v>
      </c>
      <c r="U31" s="15">
        <f>'[1]Tinh hinh tai chinh'!BE32</f>
        <v>52990657034</v>
      </c>
      <c r="V31" s="15">
        <f>'[1]Tinh hinh tai chinh'!BF32</f>
        <v>59140177682</v>
      </c>
      <c r="W31" s="15">
        <f>'[1]Tinh hinh tai chinh'!BG32</f>
        <v>29653593690</v>
      </c>
      <c r="X31" s="15">
        <f>'[1]Tinh hinh tai chinh'!BH32</f>
        <v>33622380567</v>
      </c>
      <c r="Y31" s="15">
        <f>'[1]Tinh hinh tai chinh'!BI32</f>
        <v>34888533217</v>
      </c>
      <c r="Z31" s="15">
        <f>'[1]Tinh hinh tai chinh'!BJ32</f>
        <v>35266277080</v>
      </c>
      <c r="AA31" s="15">
        <f>'[1]Tinh hinh tai chinh'!BK32</f>
        <v>13603756376</v>
      </c>
      <c r="AB31" s="15">
        <f>'Consol BS-DTRG'!D32</f>
        <v>40327002681</v>
      </c>
      <c r="AC31" s="15">
        <f>'Consol BS-DTRG'!E32</f>
        <v>45327002681</v>
      </c>
      <c r="AD31" s="15">
        <f>'Consol BS-DTRG'!F32</f>
        <v>50327002681</v>
      </c>
      <c r="AE31" s="15">
        <f>'Consol BS-DTRG'!G32</f>
        <v>55327002681</v>
      </c>
      <c r="AF31" s="15">
        <f>'Consol BS-DTRG'!H32</f>
        <v>60327002681</v>
      </c>
      <c r="AG31" s="15">
        <f>'Consol BS-DTRG'!I32</f>
        <v>65327002681</v>
      </c>
      <c r="AH31" s="15">
        <f>'Consol BS-DTRG'!J32</f>
        <v>70327002681.000015</v>
      </c>
      <c r="AI31" s="15">
        <f>'Consol BS-DTRG'!K32</f>
        <v>75327002681.000015</v>
      </c>
      <c r="AJ31" s="15">
        <f>'Consol BS-DTRG'!L32</f>
        <v>80327002681.000015</v>
      </c>
      <c r="AK31" s="15">
        <f>'Consol BS-DTRG'!M32</f>
        <v>85327002681.000015</v>
      </c>
      <c r="AL31" s="15">
        <f>'Consol BS-DTRG'!N32</f>
        <v>90327002681.000015</v>
      </c>
      <c r="AM31" s="15">
        <f>'Consol BS-DTRG'!O32</f>
        <v>95327002681.000015</v>
      </c>
    </row>
    <row r="32" spans="1:39">
      <c r="A32" s="633">
        <v>30</v>
      </c>
      <c r="B32" s="614" t="s">
        <v>284</v>
      </c>
      <c r="C32" t="s">
        <v>518</v>
      </c>
      <c r="D32" s="15">
        <f>'[1]Tinh hinh tai chinh'!AN33</f>
        <v>0</v>
      </c>
      <c r="E32" s="15">
        <f>'[1]Tinh hinh tai chinh'!AO33</f>
        <v>88589162</v>
      </c>
      <c r="F32" s="15">
        <f>'[1]Tinh hinh tai chinh'!AP33</f>
        <v>55097709</v>
      </c>
      <c r="G32" s="15">
        <f>'[1]Tinh hinh tai chinh'!AQ33</f>
        <v>31197496</v>
      </c>
      <c r="H32" s="15">
        <f>'[1]Tinh hinh tai chinh'!AR33</f>
        <v>44321343</v>
      </c>
      <c r="I32" s="15">
        <f>'[1]Tinh hinh tai chinh'!AS33</f>
        <v>68824795</v>
      </c>
      <c r="J32" s="15">
        <f>'[1]Tinh hinh tai chinh'!AT33</f>
        <v>46083769</v>
      </c>
      <c r="K32" s="15">
        <f>'[1]Tinh hinh tai chinh'!AU33</f>
        <v>95495670</v>
      </c>
      <c r="L32" s="15">
        <f>'[1]Tinh hinh tai chinh'!AV33</f>
        <v>49020929</v>
      </c>
      <c r="M32" s="15">
        <f>'[1]Tinh hinh tai chinh'!AW33</f>
        <v>51867679</v>
      </c>
      <c r="N32" s="15">
        <f>'[1]Tinh hinh tai chinh'!AX33</f>
        <v>45050425</v>
      </c>
      <c r="O32" s="15">
        <f>'[1]Tinh hinh tai chinh'!AY33</f>
        <v>0</v>
      </c>
      <c r="P32" s="15">
        <f>'[1]Tinh hinh tai chinh'!AZ33</f>
        <v>0</v>
      </c>
      <c r="Q32" s="15">
        <f>'[1]Tinh hinh tai chinh'!BA33</f>
        <v>3870033</v>
      </c>
      <c r="R32" s="15">
        <f>'[1]Tinh hinh tai chinh'!BB33</f>
        <v>0</v>
      </c>
      <c r="S32" s="15">
        <f>'[1]Tinh hinh tai chinh'!BC33</f>
        <v>0</v>
      </c>
      <c r="T32" s="15">
        <f>'[1]Tinh hinh tai chinh'!BD33</f>
        <v>0</v>
      </c>
      <c r="U32" s="15">
        <f>'[1]Tinh hinh tai chinh'!BE33</f>
        <v>0</v>
      </c>
      <c r="V32" s="15">
        <f>'[1]Tinh hinh tai chinh'!BF33</f>
        <v>11662258</v>
      </c>
      <c r="W32" s="15">
        <f>'[1]Tinh hinh tai chinh'!BG33</f>
        <v>0</v>
      </c>
      <c r="X32" s="15">
        <f>'[1]Tinh hinh tai chinh'!BH33</f>
        <v>0</v>
      </c>
      <c r="Y32" s="15">
        <f>'[1]Tinh hinh tai chinh'!BI33</f>
        <v>0</v>
      </c>
      <c r="Z32" s="15">
        <f>'[1]Tinh hinh tai chinh'!BJ33</f>
        <v>0</v>
      </c>
      <c r="AA32" s="15">
        <f>'[1]Tinh hinh tai chinh'!BK33</f>
        <v>0</v>
      </c>
      <c r="AB32" s="15">
        <f>'Consol BS-DTRG'!D33</f>
        <v>0</v>
      </c>
      <c r="AC32" s="15">
        <f>'Consol BS-DTRG'!E33</f>
        <v>0</v>
      </c>
      <c r="AD32" s="15">
        <f>'Consol BS-DTRG'!F33</f>
        <v>0</v>
      </c>
      <c r="AE32" s="15">
        <f>'Consol BS-DTRG'!G33</f>
        <v>0</v>
      </c>
      <c r="AF32" s="15">
        <f>'Consol BS-DTRG'!H33</f>
        <v>0</v>
      </c>
      <c r="AG32" s="15">
        <f>'Consol BS-DTRG'!I33</f>
        <v>0</v>
      </c>
      <c r="AH32" s="15">
        <f>'Consol BS-DTRG'!J33</f>
        <v>0</v>
      </c>
      <c r="AI32" s="15">
        <f>'Consol BS-DTRG'!K33</f>
        <v>0</v>
      </c>
      <c r="AJ32" s="15">
        <f>'Consol BS-DTRG'!L33</f>
        <v>0</v>
      </c>
      <c r="AK32" s="15">
        <f>'Consol BS-DTRG'!M33</f>
        <v>0</v>
      </c>
      <c r="AL32" s="15">
        <f>'Consol BS-DTRG'!N33</f>
        <v>0</v>
      </c>
      <c r="AM32" s="15">
        <f>'Consol BS-DTRG'!O33</f>
        <v>0</v>
      </c>
    </row>
    <row r="33" spans="1:39">
      <c r="A33" s="633">
        <v>31</v>
      </c>
      <c r="B33" s="614" t="s">
        <v>285</v>
      </c>
      <c r="C33" t="s">
        <v>518</v>
      </c>
      <c r="D33" s="15">
        <f>'[1]Tinh hinh tai chinh'!AN34</f>
        <v>0</v>
      </c>
      <c r="E33" s="15">
        <f>'[1]Tinh hinh tai chinh'!AO34</f>
        <v>0</v>
      </c>
      <c r="F33" s="15">
        <f>'[1]Tinh hinh tai chinh'!AP34</f>
        <v>0</v>
      </c>
      <c r="G33" s="15">
        <f>'[1]Tinh hinh tai chinh'!AQ34</f>
        <v>0</v>
      </c>
      <c r="H33" s="15">
        <f>'[1]Tinh hinh tai chinh'!AR34</f>
        <v>0</v>
      </c>
      <c r="I33" s="15">
        <f>'[1]Tinh hinh tai chinh'!AS34</f>
        <v>0</v>
      </c>
      <c r="J33" s="15">
        <f>'[1]Tinh hinh tai chinh'!AT34</f>
        <v>0</v>
      </c>
      <c r="K33" s="15">
        <f>'[1]Tinh hinh tai chinh'!AU34</f>
        <v>0</v>
      </c>
      <c r="L33" s="15">
        <f>'[1]Tinh hinh tai chinh'!AV34</f>
        <v>0</v>
      </c>
      <c r="M33" s="15">
        <f>'[1]Tinh hinh tai chinh'!AW34</f>
        <v>0</v>
      </c>
      <c r="N33" s="15">
        <f>'[1]Tinh hinh tai chinh'!AX34</f>
        <v>0</v>
      </c>
      <c r="O33" s="15">
        <f>'[1]Tinh hinh tai chinh'!AY34</f>
        <v>0</v>
      </c>
      <c r="P33" s="15">
        <f>'[1]Tinh hinh tai chinh'!AZ34</f>
        <v>0</v>
      </c>
      <c r="Q33" s="15">
        <f>'[1]Tinh hinh tai chinh'!BA34</f>
        <v>0</v>
      </c>
      <c r="R33" s="15">
        <f>'[1]Tinh hinh tai chinh'!BB34</f>
        <v>0</v>
      </c>
      <c r="S33" s="15">
        <f>'[1]Tinh hinh tai chinh'!BC34</f>
        <v>0</v>
      </c>
      <c r="T33" s="15">
        <f>'[1]Tinh hinh tai chinh'!BD34</f>
        <v>0</v>
      </c>
      <c r="U33" s="15">
        <f>'[1]Tinh hinh tai chinh'!BE34</f>
        <v>0</v>
      </c>
      <c r="V33" s="15">
        <f>'[1]Tinh hinh tai chinh'!BF34</f>
        <v>0</v>
      </c>
      <c r="W33" s="15">
        <f>'[1]Tinh hinh tai chinh'!BG34</f>
        <v>0</v>
      </c>
      <c r="X33" s="15">
        <f>'[1]Tinh hinh tai chinh'!BH34</f>
        <v>0</v>
      </c>
      <c r="Y33" s="15">
        <f>'[1]Tinh hinh tai chinh'!BI34</f>
        <v>0</v>
      </c>
      <c r="Z33" s="15">
        <f>'[1]Tinh hinh tai chinh'!BJ34</f>
        <v>0</v>
      </c>
      <c r="AA33" s="15">
        <f>'[1]Tinh hinh tai chinh'!BK34</f>
        <v>0</v>
      </c>
      <c r="AB33" s="15">
        <f>'Consol BS-DTRG'!D34</f>
        <v>0</v>
      </c>
      <c r="AC33" s="15">
        <f>'Consol BS-DTRG'!E34</f>
        <v>0</v>
      </c>
      <c r="AD33" s="15">
        <f>'Consol BS-DTRG'!F34</f>
        <v>0</v>
      </c>
      <c r="AE33" s="15">
        <f>'Consol BS-DTRG'!G34</f>
        <v>0</v>
      </c>
      <c r="AF33" s="15">
        <f>'Consol BS-DTRG'!H34</f>
        <v>0</v>
      </c>
      <c r="AG33" s="15">
        <f>'Consol BS-DTRG'!I34</f>
        <v>0</v>
      </c>
      <c r="AH33" s="15">
        <f>'Consol BS-DTRG'!J34</f>
        <v>0</v>
      </c>
      <c r="AI33" s="15">
        <f>'Consol BS-DTRG'!K34</f>
        <v>0</v>
      </c>
      <c r="AJ33" s="15">
        <f>'Consol BS-DTRG'!L34</f>
        <v>0</v>
      </c>
      <c r="AK33" s="15">
        <f>'Consol BS-DTRG'!M34</f>
        <v>0</v>
      </c>
      <c r="AL33" s="15">
        <f>'Consol BS-DTRG'!N34</f>
        <v>0</v>
      </c>
      <c r="AM33" s="15">
        <f>'Consol BS-DTRG'!O34</f>
        <v>0</v>
      </c>
    </row>
    <row r="34" spans="1:39">
      <c r="A34" s="633">
        <v>32</v>
      </c>
      <c r="B34" s="614" t="s">
        <v>286</v>
      </c>
      <c r="C34" t="s">
        <v>518</v>
      </c>
      <c r="D34" s="15">
        <f>'[1]Tinh hinh tai chinh'!AN35</f>
        <v>0</v>
      </c>
      <c r="E34" s="15">
        <f>'[1]Tinh hinh tai chinh'!AO35</f>
        <v>0</v>
      </c>
      <c r="F34" s="15">
        <f>'[1]Tinh hinh tai chinh'!AP35</f>
        <v>0</v>
      </c>
      <c r="G34" s="15">
        <f>'[1]Tinh hinh tai chinh'!AQ35</f>
        <v>0</v>
      </c>
      <c r="H34" s="15">
        <f>'[1]Tinh hinh tai chinh'!AR35</f>
        <v>0</v>
      </c>
      <c r="I34" s="15">
        <f>'[1]Tinh hinh tai chinh'!AS35</f>
        <v>0</v>
      </c>
      <c r="J34" s="15">
        <f>'[1]Tinh hinh tai chinh'!AT35</f>
        <v>0</v>
      </c>
      <c r="K34" s="15">
        <f>'[1]Tinh hinh tai chinh'!AU35</f>
        <v>0</v>
      </c>
      <c r="L34" s="15">
        <f>'[1]Tinh hinh tai chinh'!AV35</f>
        <v>0</v>
      </c>
      <c r="M34" s="15">
        <f>'[1]Tinh hinh tai chinh'!AW35</f>
        <v>0</v>
      </c>
      <c r="N34" s="15">
        <f>'[1]Tinh hinh tai chinh'!AX35</f>
        <v>0</v>
      </c>
      <c r="O34" s="15">
        <f>'[1]Tinh hinh tai chinh'!AY35</f>
        <v>0</v>
      </c>
      <c r="P34" s="15">
        <f>'[1]Tinh hinh tai chinh'!AZ35</f>
        <v>0</v>
      </c>
      <c r="Q34" s="15">
        <f>'[1]Tinh hinh tai chinh'!BA35</f>
        <v>0</v>
      </c>
      <c r="R34" s="15">
        <f>'[1]Tinh hinh tai chinh'!BB35</f>
        <v>0</v>
      </c>
      <c r="S34" s="15">
        <f>'[1]Tinh hinh tai chinh'!BC35</f>
        <v>0</v>
      </c>
      <c r="T34" s="15">
        <f>'[1]Tinh hinh tai chinh'!BD35</f>
        <v>0</v>
      </c>
      <c r="U34" s="15">
        <f>'[1]Tinh hinh tai chinh'!BE35</f>
        <v>0</v>
      </c>
      <c r="V34" s="15">
        <f>'[1]Tinh hinh tai chinh'!BF35</f>
        <v>0</v>
      </c>
      <c r="W34" s="15">
        <f>'[1]Tinh hinh tai chinh'!BG35</f>
        <v>0</v>
      </c>
      <c r="X34" s="15">
        <f>'[1]Tinh hinh tai chinh'!BH35</f>
        <v>0</v>
      </c>
      <c r="Y34" s="15">
        <f>'[1]Tinh hinh tai chinh'!BI35</f>
        <v>0</v>
      </c>
      <c r="Z34" s="15">
        <f>'[1]Tinh hinh tai chinh'!BJ35</f>
        <v>0</v>
      </c>
      <c r="AA34" s="15">
        <f>'[1]Tinh hinh tai chinh'!BK35</f>
        <v>0</v>
      </c>
      <c r="AB34" s="15">
        <f>'Consol BS-DTRG'!D35</f>
        <v>22354275568</v>
      </c>
      <c r="AC34" s="15">
        <f>'Consol BS-DTRG'!E35</f>
        <v>22354275568</v>
      </c>
      <c r="AD34" s="15">
        <f>'Consol BS-DTRG'!F35</f>
        <v>22354275568</v>
      </c>
      <c r="AE34" s="15">
        <f>'Consol BS-DTRG'!G35</f>
        <v>22354275568</v>
      </c>
      <c r="AF34" s="15">
        <f>'Consol BS-DTRG'!H35</f>
        <v>22354275568</v>
      </c>
      <c r="AG34" s="15">
        <f>'Consol BS-DTRG'!I35</f>
        <v>22354275568</v>
      </c>
      <c r="AH34" s="15">
        <f>'Consol BS-DTRG'!J35</f>
        <v>22354275568</v>
      </c>
      <c r="AI34" s="15">
        <f>'Consol BS-DTRG'!K35</f>
        <v>22354275568</v>
      </c>
      <c r="AJ34" s="15">
        <f>'Consol BS-DTRG'!L35</f>
        <v>22354275568</v>
      </c>
      <c r="AK34" s="15">
        <f>'Consol BS-DTRG'!M35</f>
        <v>22354275568</v>
      </c>
      <c r="AL34" s="15">
        <f>'Consol BS-DTRG'!N35</f>
        <v>22354275568</v>
      </c>
      <c r="AM34" s="15">
        <f>'Consol BS-DTRG'!O35</f>
        <v>22354275568</v>
      </c>
    </row>
    <row r="35" spans="1:39">
      <c r="A35" s="634">
        <v>33</v>
      </c>
      <c r="B35" s="616" t="s">
        <v>287</v>
      </c>
      <c r="D35" s="639">
        <f t="shared" ref="D35:AA35" si="14">D36+D43+D53+D62+D65+D68+D75</f>
        <v>332625414815</v>
      </c>
      <c r="E35" s="639">
        <f t="shared" si="14"/>
        <v>328842339529</v>
      </c>
      <c r="F35" s="639">
        <f t="shared" si="14"/>
        <v>326860219147</v>
      </c>
      <c r="G35" s="639">
        <f t="shared" si="14"/>
        <v>325876836997</v>
      </c>
      <c r="H35" s="639">
        <f t="shared" si="14"/>
        <v>323966420495</v>
      </c>
      <c r="I35" s="639">
        <f t="shared" si="14"/>
        <v>324626376319</v>
      </c>
      <c r="J35" s="639">
        <f t="shared" si="14"/>
        <v>322169750156</v>
      </c>
      <c r="K35" s="639">
        <f t="shared" si="14"/>
        <v>326771678464</v>
      </c>
      <c r="L35" s="639">
        <f t="shared" si="14"/>
        <v>324411130594</v>
      </c>
      <c r="M35" s="639">
        <f t="shared" si="14"/>
        <v>324205243077</v>
      </c>
      <c r="N35" s="639">
        <f t="shared" si="14"/>
        <v>324813983532</v>
      </c>
      <c r="O35" s="639">
        <f t="shared" si="14"/>
        <v>336474874329</v>
      </c>
      <c r="P35" s="639">
        <f t="shared" si="14"/>
        <v>340380140059</v>
      </c>
      <c r="Q35" s="639">
        <f t="shared" si="14"/>
        <v>335623957890</v>
      </c>
      <c r="R35" s="639">
        <f t="shared" si="14"/>
        <v>337167352653</v>
      </c>
      <c r="S35" s="639">
        <f t="shared" si="14"/>
        <v>345195829633</v>
      </c>
      <c r="T35" s="639">
        <f t="shared" si="14"/>
        <v>349130154104</v>
      </c>
      <c r="U35" s="639">
        <f t="shared" si="14"/>
        <v>349265800786</v>
      </c>
      <c r="V35" s="639">
        <f t="shared" si="14"/>
        <v>347766774950</v>
      </c>
      <c r="W35" s="639">
        <f t="shared" si="14"/>
        <v>347596408883</v>
      </c>
      <c r="X35" s="639">
        <f t="shared" si="14"/>
        <v>354522543809</v>
      </c>
      <c r="Y35" s="639">
        <f t="shared" si="14"/>
        <v>365541010978</v>
      </c>
      <c r="Z35" s="639">
        <f t="shared" si="14"/>
        <v>364826588171</v>
      </c>
      <c r="AA35" s="639">
        <f t="shared" si="14"/>
        <v>370861183445</v>
      </c>
      <c r="AB35" s="639">
        <f t="shared" ref="AB35:AM35" si="15">AB36+AB43+AB53+AB62+AB65+AB68+AB75</f>
        <v>814643892888.76636</v>
      </c>
      <c r="AC35" s="639">
        <f t="shared" si="15"/>
        <v>822876651917.6897</v>
      </c>
      <c r="AD35" s="639">
        <f t="shared" si="15"/>
        <v>821744089065.19788</v>
      </c>
      <c r="AE35" s="639">
        <f t="shared" si="15"/>
        <v>832163315275.20801</v>
      </c>
      <c r="AF35" s="639">
        <f t="shared" si="15"/>
        <v>845723884429.21802</v>
      </c>
      <c r="AG35" s="639">
        <f t="shared" si="15"/>
        <v>839005558445.22803</v>
      </c>
      <c r="AH35" s="639">
        <f t="shared" si="15"/>
        <v>832287232461.23816</v>
      </c>
      <c r="AI35" s="639">
        <f t="shared" si="15"/>
        <v>825568906477.24817</v>
      </c>
      <c r="AJ35" s="639">
        <f t="shared" si="15"/>
        <v>822696410493.25818</v>
      </c>
      <c r="AK35" s="639">
        <f t="shared" si="15"/>
        <v>815947903965.15698</v>
      </c>
      <c r="AL35" s="639">
        <f t="shared" si="15"/>
        <v>810672397437.05603</v>
      </c>
      <c r="AM35" s="639">
        <f t="shared" si="15"/>
        <v>967903727019.95483</v>
      </c>
    </row>
    <row r="36" spans="1:39">
      <c r="A36" s="1">
        <v>34</v>
      </c>
      <c r="B36" s="611" t="s">
        <v>288</v>
      </c>
      <c r="D36" s="14">
        <f t="shared" ref="D36:AA36" si="16">SUM(D37:D42)</f>
        <v>240000000</v>
      </c>
      <c r="E36" s="14">
        <f t="shared" si="16"/>
        <v>240000000</v>
      </c>
      <c r="F36" s="14">
        <f t="shared" si="16"/>
        <v>240000000</v>
      </c>
      <c r="G36" s="14">
        <f t="shared" si="16"/>
        <v>240000000</v>
      </c>
      <c r="H36" s="14">
        <f t="shared" si="16"/>
        <v>240000000</v>
      </c>
      <c r="I36" s="14">
        <f t="shared" si="16"/>
        <v>1140000000</v>
      </c>
      <c r="J36" s="14">
        <f t="shared" si="16"/>
        <v>930823092</v>
      </c>
      <c r="K36" s="14">
        <f t="shared" si="16"/>
        <v>930823092</v>
      </c>
      <c r="L36" s="14">
        <f t="shared" si="16"/>
        <v>930823092</v>
      </c>
      <c r="M36" s="14">
        <f t="shared" si="16"/>
        <v>930823092</v>
      </c>
      <c r="N36" s="14">
        <f t="shared" si="16"/>
        <v>930823092</v>
      </c>
      <c r="O36" s="14">
        <f t="shared" si="16"/>
        <v>6530823092</v>
      </c>
      <c r="P36" s="14">
        <f t="shared" si="16"/>
        <v>6530823092</v>
      </c>
      <c r="Q36" s="14">
        <f t="shared" si="16"/>
        <v>6530823092</v>
      </c>
      <c r="R36" s="14">
        <f t="shared" si="16"/>
        <v>6530823092</v>
      </c>
      <c r="S36" s="14">
        <f t="shared" si="16"/>
        <v>6530823092</v>
      </c>
      <c r="T36" s="14">
        <f t="shared" si="16"/>
        <v>6530823092</v>
      </c>
      <c r="U36" s="14">
        <f t="shared" si="16"/>
        <v>6530823092</v>
      </c>
      <c r="V36" s="14">
        <f t="shared" si="16"/>
        <v>6530823092</v>
      </c>
      <c r="W36" s="14">
        <f t="shared" si="16"/>
        <v>6530823092</v>
      </c>
      <c r="X36" s="14">
        <f t="shared" si="16"/>
        <v>6530823092</v>
      </c>
      <c r="Y36" s="14">
        <f t="shared" si="16"/>
        <v>6530823092</v>
      </c>
      <c r="Z36" s="14">
        <f t="shared" si="16"/>
        <v>6530823092</v>
      </c>
      <c r="AA36" s="14">
        <f t="shared" si="16"/>
        <v>5600000000</v>
      </c>
      <c r="AB36" s="14">
        <f t="shared" ref="AB36:AM36" si="17">SUM(AB37:AB42)</f>
        <v>5600000000</v>
      </c>
      <c r="AC36" s="14">
        <f t="shared" si="17"/>
        <v>5600000000</v>
      </c>
      <c r="AD36" s="14">
        <f t="shared" si="17"/>
        <v>5600000000</v>
      </c>
      <c r="AE36" s="14">
        <f t="shared" si="17"/>
        <v>5600000000</v>
      </c>
      <c r="AF36" s="14">
        <f t="shared" si="17"/>
        <v>5600000000</v>
      </c>
      <c r="AG36" s="14">
        <f t="shared" si="17"/>
        <v>5600000000</v>
      </c>
      <c r="AH36" s="14">
        <f t="shared" si="17"/>
        <v>5600000000</v>
      </c>
      <c r="AI36" s="14">
        <f t="shared" si="17"/>
        <v>5600000000</v>
      </c>
      <c r="AJ36" s="14">
        <f t="shared" si="17"/>
        <v>5600000000</v>
      </c>
      <c r="AK36" s="14">
        <f t="shared" si="17"/>
        <v>5600000000</v>
      </c>
      <c r="AL36" s="14">
        <f t="shared" si="17"/>
        <v>5600000000</v>
      </c>
      <c r="AM36" s="14">
        <f t="shared" si="17"/>
        <v>5600000000</v>
      </c>
    </row>
    <row r="37" spans="1:39">
      <c r="A37" s="633">
        <v>35</v>
      </c>
      <c r="B37" s="612" t="s">
        <v>289</v>
      </c>
      <c r="C37" t="s">
        <v>518</v>
      </c>
      <c r="D37" s="15">
        <f>'[1]Tinh hinh tai chinh'!AN38</f>
        <v>0</v>
      </c>
      <c r="E37" s="15">
        <f>'[1]Tinh hinh tai chinh'!AO38</f>
        <v>0</v>
      </c>
      <c r="F37" s="15">
        <f>'[1]Tinh hinh tai chinh'!AP38</f>
        <v>0</v>
      </c>
      <c r="G37" s="15">
        <f>'[1]Tinh hinh tai chinh'!AQ38</f>
        <v>0</v>
      </c>
      <c r="H37" s="15">
        <f>'[1]Tinh hinh tai chinh'!AR38</f>
        <v>0</v>
      </c>
      <c r="I37" s="15">
        <f>'[1]Tinh hinh tai chinh'!AS38</f>
        <v>0</v>
      </c>
      <c r="J37" s="15">
        <f>'[1]Tinh hinh tai chinh'!AT38</f>
        <v>0</v>
      </c>
      <c r="K37" s="15">
        <f>'[1]Tinh hinh tai chinh'!AU38</f>
        <v>0</v>
      </c>
      <c r="L37" s="15">
        <f>'[1]Tinh hinh tai chinh'!AV38</f>
        <v>0</v>
      </c>
      <c r="M37" s="15">
        <f>'[1]Tinh hinh tai chinh'!AW38</f>
        <v>0</v>
      </c>
      <c r="N37" s="15">
        <f>'[1]Tinh hinh tai chinh'!AX38</f>
        <v>0</v>
      </c>
      <c r="O37" s="15">
        <f>'[1]Tinh hinh tai chinh'!AY38</f>
        <v>0</v>
      </c>
      <c r="P37" s="15">
        <f>'[1]Tinh hinh tai chinh'!AZ38</f>
        <v>0</v>
      </c>
      <c r="Q37" s="15">
        <f>'[1]Tinh hinh tai chinh'!BA38</f>
        <v>0</v>
      </c>
      <c r="R37" s="15">
        <f>'[1]Tinh hinh tai chinh'!BB38</f>
        <v>0</v>
      </c>
      <c r="S37" s="15">
        <f>'[1]Tinh hinh tai chinh'!BC38</f>
        <v>0</v>
      </c>
      <c r="T37" s="15">
        <f>'[1]Tinh hinh tai chinh'!BD38</f>
        <v>0</v>
      </c>
      <c r="U37" s="15">
        <f>'[1]Tinh hinh tai chinh'!BE38</f>
        <v>0</v>
      </c>
      <c r="V37" s="15">
        <f>'[1]Tinh hinh tai chinh'!BF38</f>
        <v>0</v>
      </c>
      <c r="W37" s="15">
        <f>'[1]Tinh hinh tai chinh'!BG38</f>
        <v>0</v>
      </c>
      <c r="X37" s="15">
        <f>'[1]Tinh hinh tai chinh'!BH38</f>
        <v>0</v>
      </c>
      <c r="Y37" s="15">
        <f>'[1]Tinh hinh tai chinh'!BI38</f>
        <v>0</v>
      </c>
      <c r="Z37" s="15">
        <f>'[1]Tinh hinh tai chinh'!BJ38</f>
        <v>0</v>
      </c>
      <c r="AA37" s="15">
        <f>'[1]Tinh hinh tai chinh'!BK38</f>
        <v>0</v>
      </c>
      <c r="AB37" s="15">
        <f>'Consol BS-DTRG'!D38</f>
        <v>0</v>
      </c>
      <c r="AC37" s="15">
        <f>'Consol BS-DTRG'!E38</f>
        <v>0</v>
      </c>
      <c r="AD37" s="15">
        <f>'Consol BS-DTRG'!F38</f>
        <v>0</v>
      </c>
      <c r="AE37" s="15">
        <f>'Consol BS-DTRG'!G38</f>
        <v>0</v>
      </c>
      <c r="AF37" s="15">
        <f>'Consol BS-DTRG'!H38</f>
        <v>0</v>
      </c>
      <c r="AG37" s="15">
        <f>'Consol BS-DTRG'!I38</f>
        <v>0</v>
      </c>
      <c r="AH37" s="15">
        <f>'Consol BS-DTRG'!J38</f>
        <v>0</v>
      </c>
      <c r="AI37" s="15">
        <f>'Consol BS-DTRG'!K38</f>
        <v>0</v>
      </c>
      <c r="AJ37" s="15">
        <f>'Consol BS-DTRG'!L38</f>
        <v>0</v>
      </c>
      <c r="AK37" s="15">
        <f>'Consol BS-DTRG'!M38</f>
        <v>0</v>
      </c>
      <c r="AL37" s="15">
        <f>'Consol BS-DTRG'!N38</f>
        <v>0</v>
      </c>
      <c r="AM37" s="15">
        <f>'Consol BS-DTRG'!O38</f>
        <v>0</v>
      </c>
    </row>
    <row r="38" spans="1:39">
      <c r="A38" s="633">
        <v>36</v>
      </c>
      <c r="B38" s="612" t="s">
        <v>290</v>
      </c>
      <c r="C38" t="s">
        <v>518</v>
      </c>
      <c r="D38" s="15">
        <f>'[1]Tinh hinh tai chinh'!AN39</f>
        <v>0</v>
      </c>
      <c r="E38" s="15">
        <f>'[1]Tinh hinh tai chinh'!AO39</f>
        <v>0</v>
      </c>
      <c r="F38" s="15">
        <f>'[1]Tinh hinh tai chinh'!AP39</f>
        <v>0</v>
      </c>
      <c r="G38" s="15">
        <f>'[1]Tinh hinh tai chinh'!AQ39</f>
        <v>0</v>
      </c>
      <c r="H38" s="15">
        <f>'[1]Tinh hinh tai chinh'!AR39</f>
        <v>0</v>
      </c>
      <c r="I38" s="15">
        <f>'[1]Tinh hinh tai chinh'!AS39</f>
        <v>0</v>
      </c>
      <c r="J38" s="15">
        <f>'[1]Tinh hinh tai chinh'!AT39</f>
        <v>0</v>
      </c>
      <c r="K38" s="15">
        <f>'[1]Tinh hinh tai chinh'!AU39</f>
        <v>0</v>
      </c>
      <c r="L38" s="15">
        <f>'[1]Tinh hinh tai chinh'!AV39</f>
        <v>0</v>
      </c>
      <c r="M38" s="15">
        <f>'[1]Tinh hinh tai chinh'!AW39</f>
        <v>0</v>
      </c>
      <c r="N38" s="15">
        <f>'[1]Tinh hinh tai chinh'!AX39</f>
        <v>0</v>
      </c>
      <c r="O38" s="15">
        <f>'[1]Tinh hinh tai chinh'!AY39</f>
        <v>0</v>
      </c>
      <c r="P38" s="15">
        <f>'[1]Tinh hinh tai chinh'!AZ39</f>
        <v>0</v>
      </c>
      <c r="Q38" s="15">
        <f>'[1]Tinh hinh tai chinh'!BA39</f>
        <v>0</v>
      </c>
      <c r="R38" s="15">
        <f>'[1]Tinh hinh tai chinh'!BB39</f>
        <v>0</v>
      </c>
      <c r="S38" s="15">
        <f>'[1]Tinh hinh tai chinh'!BC39</f>
        <v>0</v>
      </c>
      <c r="T38" s="15">
        <f>'[1]Tinh hinh tai chinh'!BD39</f>
        <v>0</v>
      </c>
      <c r="U38" s="15">
        <f>'[1]Tinh hinh tai chinh'!BE39</f>
        <v>0</v>
      </c>
      <c r="V38" s="15">
        <f>'[1]Tinh hinh tai chinh'!BF39</f>
        <v>0</v>
      </c>
      <c r="W38" s="15">
        <f>'[1]Tinh hinh tai chinh'!BG39</f>
        <v>0</v>
      </c>
      <c r="X38" s="15">
        <f>'[1]Tinh hinh tai chinh'!BH39</f>
        <v>0</v>
      </c>
      <c r="Y38" s="15">
        <f>'[1]Tinh hinh tai chinh'!BI39</f>
        <v>0</v>
      </c>
      <c r="Z38" s="15">
        <f>'[1]Tinh hinh tai chinh'!BJ39</f>
        <v>0</v>
      </c>
      <c r="AA38" s="15">
        <f>'[1]Tinh hinh tai chinh'!BK39</f>
        <v>0</v>
      </c>
      <c r="AB38" s="15">
        <f>'Consol BS-DTRG'!D39</f>
        <v>0</v>
      </c>
      <c r="AC38" s="15">
        <f>'Consol BS-DTRG'!E39</f>
        <v>0</v>
      </c>
      <c r="AD38" s="15">
        <f>'Consol BS-DTRG'!F39</f>
        <v>0</v>
      </c>
      <c r="AE38" s="15">
        <f>'Consol BS-DTRG'!G39</f>
        <v>0</v>
      </c>
      <c r="AF38" s="15">
        <f>'Consol BS-DTRG'!H39</f>
        <v>0</v>
      </c>
      <c r="AG38" s="15">
        <f>'Consol BS-DTRG'!I39</f>
        <v>0</v>
      </c>
      <c r="AH38" s="15">
        <f>'Consol BS-DTRG'!J39</f>
        <v>0</v>
      </c>
      <c r="AI38" s="15">
        <f>'Consol BS-DTRG'!K39</f>
        <v>0</v>
      </c>
      <c r="AJ38" s="15">
        <f>'Consol BS-DTRG'!L39</f>
        <v>0</v>
      </c>
      <c r="AK38" s="15">
        <f>'Consol BS-DTRG'!M39</f>
        <v>0</v>
      </c>
      <c r="AL38" s="15">
        <f>'Consol BS-DTRG'!N39</f>
        <v>0</v>
      </c>
      <c r="AM38" s="15">
        <f>'Consol BS-DTRG'!O39</f>
        <v>0</v>
      </c>
    </row>
    <row r="39" spans="1:39">
      <c r="A39" s="633">
        <v>37</v>
      </c>
      <c r="B39" s="612" t="s">
        <v>291</v>
      </c>
      <c r="C39" t="s">
        <v>518</v>
      </c>
      <c r="D39" s="15">
        <f>'[1]Tinh hinh tai chinh'!AN40</f>
        <v>0</v>
      </c>
      <c r="E39" s="15">
        <f>'[1]Tinh hinh tai chinh'!AO40</f>
        <v>0</v>
      </c>
      <c r="F39" s="15">
        <f>'[1]Tinh hinh tai chinh'!AP40</f>
        <v>0</v>
      </c>
      <c r="G39" s="15">
        <f>'[1]Tinh hinh tai chinh'!AQ40</f>
        <v>0</v>
      </c>
      <c r="H39" s="15">
        <f>'[1]Tinh hinh tai chinh'!AR40</f>
        <v>0</v>
      </c>
      <c r="I39" s="15">
        <f>'[1]Tinh hinh tai chinh'!AS40</f>
        <v>0</v>
      </c>
      <c r="J39" s="15">
        <f>'[1]Tinh hinh tai chinh'!AT40</f>
        <v>0</v>
      </c>
      <c r="K39" s="15">
        <f>'[1]Tinh hinh tai chinh'!AU40</f>
        <v>0</v>
      </c>
      <c r="L39" s="15">
        <f>'[1]Tinh hinh tai chinh'!AV40</f>
        <v>0</v>
      </c>
      <c r="M39" s="15">
        <f>'[1]Tinh hinh tai chinh'!AW40</f>
        <v>0</v>
      </c>
      <c r="N39" s="15">
        <f>'[1]Tinh hinh tai chinh'!AX40</f>
        <v>0</v>
      </c>
      <c r="O39" s="15">
        <f>'[1]Tinh hinh tai chinh'!AY40</f>
        <v>0</v>
      </c>
      <c r="P39" s="15">
        <f>'[1]Tinh hinh tai chinh'!AZ40</f>
        <v>0</v>
      </c>
      <c r="Q39" s="15">
        <f>'[1]Tinh hinh tai chinh'!BA40</f>
        <v>0</v>
      </c>
      <c r="R39" s="15">
        <f>'[1]Tinh hinh tai chinh'!BB40</f>
        <v>0</v>
      </c>
      <c r="S39" s="15">
        <f>'[1]Tinh hinh tai chinh'!BC40</f>
        <v>0</v>
      </c>
      <c r="T39" s="15">
        <f>'[1]Tinh hinh tai chinh'!BD40</f>
        <v>0</v>
      </c>
      <c r="U39" s="15">
        <f>'[1]Tinh hinh tai chinh'!BE40</f>
        <v>0</v>
      </c>
      <c r="V39" s="15">
        <f>'[1]Tinh hinh tai chinh'!BF40</f>
        <v>0</v>
      </c>
      <c r="W39" s="15">
        <f>'[1]Tinh hinh tai chinh'!BG40</f>
        <v>0</v>
      </c>
      <c r="X39" s="15">
        <f>'[1]Tinh hinh tai chinh'!BH40</f>
        <v>0</v>
      </c>
      <c r="Y39" s="15">
        <f>'[1]Tinh hinh tai chinh'!BI40</f>
        <v>0</v>
      </c>
      <c r="Z39" s="15">
        <f>'[1]Tinh hinh tai chinh'!BJ40</f>
        <v>0</v>
      </c>
      <c r="AA39" s="15">
        <f>'[1]Tinh hinh tai chinh'!BK40</f>
        <v>0</v>
      </c>
      <c r="AB39" s="15">
        <f>'Consol BS-DTRG'!D40</f>
        <v>0</v>
      </c>
      <c r="AC39" s="15">
        <f>'Consol BS-DTRG'!E40</f>
        <v>0</v>
      </c>
      <c r="AD39" s="15">
        <f>'Consol BS-DTRG'!F40</f>
        <v>0</v>
      </c>
      <c r="AE39" s="15">
        <f>'Consol BS-DTRG'!G40</f>
        <v>0</v>
      </c>
      <c r="AF39" s="15">
        <f>'Consol BS-DTRG'!H40</f>
        <v>0</v>
      </c>
      <c r="AG39" s="15">
        <f>'Consol BS-DTRG'!I40</f>
        <v>0</v>
      </c>
      <c r="AH39" s="15">
        <f>'Consol BS-DTRG'!J40</f>
        <v>0</v>
      </c>
      <c r="AI39" s="15">
        <f>'Consol BS-DTRG'!K40</f>
        <v>0</v>
      </c>
      <c r="AJ39" s="15">
        <f>'Consol BS-DTRG'!L40</f>
        <v>0</v>
      </c>
      <c r="AK39" s="15">
        <f>'Consol BS-DTRG'!M40</f>
        <v>0</v>
      </c>
      <c r="AL39" s="15">
        <f>'Consol BS-DTRG'!N40</f>
        <v>0</v>
      </c>
      <c r="AM39" s="15">
        <f>'Consol BS-DTRG'!O40</f>
        <v>0</v>
      </c>
    </row>
    <row r="40" spans="1:39">
      <c r="A40" s="633">
        <v>38</v>
      </c>
      <c r="B40" s="612" t="s">
        <v>292</v>
      </c>
      <c r="C40" t="s">
        <v>518</v>
      </c>
      <c r="D40" s="15">
        <f>'[1]Tinh hinh tai chinh'!AN41</f>
        <v>0</v>
      </c>
      <c r="E40" s="15">
        <f>'[1]Tinh hinh tai chinh'!AO41</f>
        <v>0</v>
      </c>
      <c r="F40" s="15">
        <f>'[1]Tinh hinh tai chinh'!AP41</f>
        <v>0</v>
      </c>
      <c r="G40" s="15">
        <f>'[1]Tinh hinh tai chinh'!AQ41</f>
        <v>0</v>
      </c>
      <c r="H40" s="15">
        <f>'[1]Tinh hinh tai chinh'!AR41</f>
        <v>0</v>
      </c>
      <c r="I40" s="15">
        <f>'[1]Tinh hinh tai chinh'!AS41</f>
        <v>0</v>
      </c>
      <c r="J40" s="15">
        <f>'[1]Tinh hinh tai chinh'!AT41</f>
        <v>0</v>
      </c>
      <c r="K40" s="15">
        <f>'[1]Tinh hinh tai chinh'!AU41</f>
        <v>0</v>
      </c>
      <c r="L40" s="15">
        <f>'[1]Tinh hinh tai chinh'!AV41</f>
        <v>0</v>
      </c>
      <c r="M40" s="15">
        <f>'[1]Tinh hinh tai chinh'!AW41</f>
        <v>0</v>
      </c>
      <c r="N40" s="15">
        <f>'[1]Tinh hinh tai chinh'!AX41</f>
        <v>0</v>
      </c>
      <c r="O40" s="15">
        <f>'[1]Tinh hinh tai chinh'!AY41</f>
        <v>0</v>
      </c>
      <c r="P40" s="15">
        <f>'[1]Tinh hinh tai chinh'!AZ41</f>
        <v>0</v>
      </c>
      <c r="Q40" s="15">
        <f>'[1]Tinh hinh tai chinh'!BA41</f>
        <v>0</v>
      </c>
      <c r="R40" s="15">
        <f>'[1]Tinh hinh tai chinh'!BB41</f>
        <v>0</v>
      </c>
      <c r="S40" s="15">
        <f>'[1]Tinh hinh tai chinh'!BC41</f>
        <v>0</v>
      </c>
      <c r="T40" s="15">
        <f>'[1]Tinh hinh tai chinh'!BD41</f>
        <v>0</v>
      </c>
      <c r="U40" s="15">
        <f>'[1]Tinh hinh tai chinh'!BE41</f>
        <v>0</v>
      </c>
      <c r="V40" s="15">
        <f>'[1]Tinh hinh tai chinh'!BF41</f>
        <v>0</v>
      </c>
      <c r="W40" s="15">
        <f>'[1]Tinh hinh tai chinh'!BG41</f>
        <v>0</v>
      </c>
      <c r="X40" s="15">
        <f>'[1]Tinh hinh tai chinh'!BH41</f>
        <v>0</v>
      </c>
      <c r="Y40" s="15">
        <f>'[1]Tinh hinh tai chinh'!BI41</f>
        <v>0</v>
      </c>
      <c r="Z40" s="15">
        <f>'[1]Tinh hinh tai chinh'!BJ41</f>
        <v>0</v>
      </c>
      <c r="AA40" s="15">
        <f>'[1]Tinh hinh tai chinh'!BK41</f>
        <v>0</v>
      </c>
      <c r="AB40" s="15">
        <f>'Consol BS-DTRG'!D41</f>
        <v>0</v>
      </c>
      <c r="AC40" s="15">
        <f>'Consol BS-DTRG'!E41</f>
        <v>0</v>
      </c>
      <c r="AD40" s="15">
        <f>'Consol BS-DTRG'!F41</f>
        <v>0</v>
      </c>
      <c r="AE40" s="15">
        <f>'Consol BS-DTRG'!G41</f>
        <v>0</v>
      </c>
      <c r="AF40" s="15">
        <f>'Consol BS-DTRG'!H41</f>
        <v>0</v>
      </c>
      <c r="AG40" s="15">
        <f>'Consol BS-DTRG'!I41</f>
        <v>0</v>
      </c>
      <c r="AH40" s="15">
        <f>'Consol BS-DTRG'!J41</f>
        <v>0</v>
      </c>
      <c r="AI40" s="15">
        <f>'Consol BS-DTRG'!K41</f>
        <v>0</v>
      </c>
      <c r="AJ40" s="15">
        <f>'Consol BS-DTRG'!L41</f>
        <v>0</v>
      </c>
      <c r="AK40" s="15">
        <f>'Consol BS-DTRG'!M41</f>
        <v>0</v>
      </c>
      <c r="AL40" s="15">
        <f>'Consol BS-DTRG'!N41</f>
        <v>0</v>
      </c>
      <c r="AM40" s="15">
        <f>'Consol BS-DTRG'!O41</f>
        <v>0</v>
      </c>
    </row>
    <row r="41" spans="1:39">
      <c r="A41" s="633">
        <v>39</v>
      </c>
      <c r="B41" s="612" t="s">
        <v>293</v>
      </c>
      <c r="C41" t="s">
        <v>518</v>
      </c>
      <c r="D41" s="15">
        <f>'[1]Tinh hinh tai chinh'!AN42</f>
        <v>240000000</v>
      </c>
      <c r="E41" s="15">
        <f>'[1]Tinh hinh tai chinh'!AO42</f>
        <v>240000000</v>
      </c>
      <c r="F41" s="15">
        <f>'[1]Tinh hinh tai chinh'!AP42</f>
        <v>240000000</v>
      </c>
      <c r="G41" s="15">
        <f>'[1]Tinh hinh tai chinh'!AQ42</f>
        <v>240000000</v>
      </c>
      <c r="H41" s="15">
        <f>'[1]Tinh hinh tai chinh'!AR42</f>
        <v>240000000</v>
      </c>
      <c r="I41" s="15">
        <f>'[1]Tinh hinh tai chinh'!AS42</f>
        <v>1140000000</v>
      </c>
      <c r="J41" s="15">
        <f>'[1]Tinh hinh tai chinh'!AT42</f>
        <v>930823092</v>
      </c>
      <c r="K41" s="15">
        <f>'[1]Tinh hinh tai chinh'!AU42</f>
        <v>930823092</v>
      </c>
      <c r="L41" s="15">
        <f>'[1]Tinh hinh tai chinh'!AV42</f>
        <v>930823092</v>
      </c>
      <c r="M41" s="15">
        <f>'[1]Tinh hinh tai chinh'!AW42</f>
        <v>930823092</v>
      </c>
      <c r="N41" s="15">
        <f>'[1]Tinh hinh tai chinh'!AX42</f>
        <v>930823092</v>
      </c>
      <c r="O41" s="15">
        <f>'[1]Tinh hinh tai chinh'!AY42</f>
        <v>6530823092</v>
      </c>
      <c r="P41" s="15">
        <f>'[1]Tinh hinh tai chinh'!AZ42</f>
        <v>6530823092</v>
      </c>
      <c r="Q41" s="15">
        <f>'[1]Tinh hinh tai chinh'!BA42</f>
        <v>6530823092</v>
      </c>
      <c r="R41" s="15">
        <f>'[1]Tinh hinh tai chinh'!BB42</f>
        <v>6530823092</v>
      </c>
      <c r="S41" s="15">
        <f>'[1]Tinh hinh tai chinh'!BC42</f>
        <v>6530823092</v>
      </c>
      <c r="T41" s="15">
        <f>'[1]Tinh hinh tai chinh'!BD42</f>
        <v>6530823092</v>
      </c>
      <c r="U41" s="15">
        <f>'[1]Tinh hinh tai chinh'!BE42</f>
        <v>6530823092</v>
      </c>
      <c r="V41" s="15">
        <f>'[1]Tinh hinh tai chinh'!BF42</f>
        <v>6530823092</v>
      </c>
      <c r="W41" s="15">
        <f>'[1]Tinh hinh tai chinh'!BG42</f>
        <v>6530823092</v>
      </c>
      <c r="X41" s="15">
        <f>'[1]Tinh hinh tai chinh'!BH42</f>
        <v>6530823092</v>
      </c>
      <c r="Y41" s="15">
        <f>'[1]Tinh hinh tai chinh'!BI42</f>
        <v>6530823092</v>
      </c>
      <c r="Z41" s="15">
        <f>'[1]Tinh hinh tai chinh'!BJ42</f>
        <v>6530823092</v>
      </c>
      <c r="AA41" s="15">
        <f>'[1]Tinh hinh tai chinh'!BK42</f>
        <v>5600000000</v>
      </c>
      <c r="AB41" s="15">
        <f>'Consol BS-DTRG'!D42</f>
        <v>5600000000</v>
      </c>
      <c r="AC41" s="15">
        <f>'Consol BS-DTRG'!E42</f>
        <v>5600000000</v>
      </c>
      <c r="AD41" s="15">
        <f>'Consol BS-DTRG'!F42</f>
        <v>5600000000</v>
      </c>
      <c r="AE41" s="15">
        <f>'Consol BS-DTRG'!G42</f>
        <v>5600000000</v>
      </c>
      <c r="AF41" s="15">
        <f>'Consol BS-DTRG'!H42</f>
        <v>5600000000</v>
      </c>
      <c r="AG41" s="15">
        <f>'Consol BS-DTRG'!I42</f>
        <v>5600000000</v>
      </c>
      <c r="AH41" s="15">
        <f>'Consol BS-DTRG'!J42</f>
        <v>5600000000</v>
      </c>
      <c r="AI41" s="15">
        <f>'Consol BS-DTRG'!K42</f>
        <v>5600000000</v>
      </c>
      <c r="AJ41" s="15">
        <f>'Consol BS-DTRG'!L42</f>
        <v>5600000000</v>
      </c>
      <c r="AK41" s="15">
        <f>'Consol BS-DTRG'!M42</f>
        <v>5600000000</v>
      </c>
      <c r="AL41" s="15">
        <f>'Consol BS-DTRG'!N42</f>
        <v>5600000000</v>
      </c>
      <c r="AM41" s="15">
        <f>'Consol BS-DTRG'!O42</f>
        <v>5600000000</v>
      </c>
    </row>
    <row r="42" spans="1:39">
      <c r="A42" s="633">
        <v>40</v>
      </c>
      <c r="B42" s="612" t="s">
        <v>294</v>
      </c>
      <c r="C42" t="s">
        <v>518</v>
      </c>
      <c r="D42" s="15">
        <f>'[1]Tinh hinh tai chinh'!AN43</f>
        <v>0</v>
      </c>
      <c r="E42" s="15">
        <f>'[1]Tinh hinh tai chinh'!AO43</f>
        <v>0</v>
      </c>
      <c r="F42" s="15">
        <f>'[1]Tinh hinh tai chinh'!AP43</f>
        <v>0</v>
      </c>
      <c r="G42" s="15">
        <f>'[1]Tinh hinh tai chinh'!AQ43</f>
        <v>0</v>
      </c>
      <c r="H42" s="15">
        <f>'[1]Tinh hinh tai chinh'!AR43</f>
        <v>0</v>
      </c>
      <c r="I42" s="15">
        <f>'[1]Tinh hinh tai chinh'!AS43</f>
        <v>0</v>
      </c>
      <c r="J42" s="15">
        <f>'[1]Tinh hinh tai chinh'!AT43</f>
        <v>0</v>
      </c>
      <c r="K42" s="15">
        <f>'[1]Tinh hinh tai chinh'!AU43</f>
        <v>0</v>
      </c>
      <c r="L42" s="15">
        <f>'[1]Tinh hinh tai chinh'!AV43</f>
        <v>0</v>
      </c>
      <c r="M42" s="15">
        <f>'[1]Tinh hinh tai chinh'!AW43</f>
        <v>0</v>
      </c>
      <c r="N42" s="15">
        <f>'[1]Tinh hinh tai chinh'!AX43</f>
        <v>0</v>
      </c>
      <c r="O42" s="15">
        <f>'[1]Tinh hinh tai chinh'!AY43</f>
        <v>0</v>
      </c>
      <c r="P42" s="15">
        <f>'[1]Tinh hinh tai chinh'!AZ43</f>
        <v>0</v>
      </c>
      <c r="Q42" s="15">
        <f>'[1]Tinh hinh tai chinh'!BA43</f>
        <v>0</v>
      </c>
      <c r="R42" s="15">
        <f>'[1]Tinh hinh tai chinh'!BB43</f>
        <v>0</v>
      </c>
      <c r="S42" s="15">
        <f>'[1]Tinh hinh tai chinh'!BC43</f>
        <v>0</v>
      </c>
      <c r="T42" s="15">
        <f>'[1]Tinh hinh tai chinh'!BD43</f>
        <v>0</v>
      </c>
      <c r="U42" s="15">
        <f>'[1]Tinh hinh tai chinh'!BE43</f>
        <v>0</v>
      </c>
      <c r="V42" s="15">
        <f>'[1]Tinh hinh tai chinh'!BF43</f>
        <v>0</v>
      </c>
      <c r="W42" s="15">
        <f>'[1]Tinh hinh tai chinh'!BG43</f>
        <v>0</v>
      </c>
      <c r="X42" s="15">
        <f>'[1]Tinh hinh tai chinh'!BH43</f>
        <v>0</v>
      </c>
      <c r="Y42" s="15">
        <f>'[1]Tinh hinh tai chinh'!BI43</f>
        <v>0</v>
      </c>
      <c r="Z42" s="15">
        <f>'[1]Tinh hinh tai chinh'!BJ43</f>
        <v>0</v>
      </c>
      <c r="AA42" s="15">
        <f>'[1]Tinh hinh tai chinh'!BK43</f>
        <v>0</v>
      </c>
      <c r="AB42" s="15">
        <f>'Consol BS-DTRG'!D43</f>
        <v>0</v>
      </c>
      <c r="AC42" s="15">
        <f>'Consol BS-DTRG'!E43</f>
        <v>0</v>
      </c>
      <c r="AD42" s="15">
        <f>'Consol BS-DTRG'!F43</f>
        <v>0</v>
      </c>
      <c r="AE42" s="15">
        <f>'Consol BS-DTRG'!G43</f>
        <v>0</v>
      </c>
      <c r="AF42" s="15">
        <f>'Consol BS-DTRG'!H43</f>
        <v>0</v>
      </c>
      <c r="AG42" s="15">
        <f>'Consol BS-DTRG'!I43</f>
        <v>0</v>
      </c>
      <c r="AH42" s="15">
        <f>'Consol BS-DTRG'!J43</f>
        <v>0</v>
      </c>
      <c r="AI42" s="15">
        <f>'Consol BS-DTRG'!K43</f>
        <v>0</v>
      </c>
      <c r="AJ42" s="15">
        <f>'Consol BS-DTRG'!L43</f>
        <v>0</v>
      </c>
      <c r="AK42" s="15">
        <f>'Consol BS-DTRG'!M43</f>
        <v>0</v>
      </c>
      <c r="AL42" s="15">
        <f>'Consol BS-DTRG'!N43</f>
        <v>0</v>
      </c>
      <c r="AM42" s="15">
        <f>'Consol BS-DTRG'!O43</f>
        <v>0</v>
      </c>
    </row>
    <row r="43" spans="1:39">
      <c r="A43" s="1">
        <v>41</v>
      </c>
      <c r="B43" s="617" t="s">
        <v>295</v>
      </c>
      <c r="D43" s="14">
        <f t="shared" ref="D43:AA43" si="18">D44+D47+D50</f>
        <v>249655788198</v>
      </c>
      <c r="E43" s="14">
        <f t="shared" si="18"/>
        <v>245716365002</v>
      </c>
      <c r="F43" s="14">
        <f t="shared" si="18"/>
        <v>275559746506</v>
      </c>
      <c r="G43" s="14">
        <f t="shared" si="18"/>
        <v>277827593851</v>
      </c>
      <c r="H43" s="14">
        <f t="shared" si="18"/>
        <v>276054917951</v>
      </c>
      <c r="I43" s="14">
        <f t="shared" si="18"/>
        <v>271729373194</v>
      </c>
      <c r="J43" s="14">
        <f t="shared" si="18"/>
        <v>269325388109</v>
      </c>
      <c r="K43" s="14">
        <f t="shared" si="18"/>
        <v>275400557911</v>
      </c>
      <c r="L43" s="14">
        <f t="shared" si="18"/>
        <v>272127241547</v>
      </c>
      <c r="M43" s="14">
        <f t="shared" si="18"/>
        <v>271857790006</v>
      </c>
      <c r="N43" s="14">
        <f t="shared" si="18"/>
        <v>287235595670</v>
      </c>
      <c r="O43" s="14">
        <f t="shared" si="18"/>
        <v>284367832366</v>
      </c>
      <c r="P43" s="14">
        <f t="shared" si="18"/>
        <v>280850195913</v>
      </c>
      <c r="Q43" s="14">
        <f t="shared" si="18"/>
        <v>286751550270</v>
      </c>
      <c r="R43" s="14">
        <f t="shared" si="18"/>
        <v>290751177313</v>
      </c>
      <c r="S43" s="14">
        <f t="shared" si="18"/>
        <v>287962022032</v>
      </c>
      <c r="T43" s="14">
        <f t="shared" si="18"/>
        <v>282781975426</v>
      </c>
      <c r="U43" s="14">
        <f t="shared" si="18"/>
        <v>278127416000</v>
      </c>
      <c r="V43" s="14">
        <f t="shared" si="18"/>
        <v>275654584449</v>
      </c>
      <c r="W43" s="14">
        <f t="shared" si="18"/>
        <v>293217640642</v>
      </c>
      <c r="X43" s="14">
        <f t="shared" si="18"/>
        <v>289918627327</v>
      </c>
      <c r="Y43" s="14">
        <f t="shared" si="18"/>
        <v>287386592779</v>
      </c>
      <c r="Z43" s="14">
        <f t="shared" si="18"/>
        <v>291084744995</v>
      </c>
      <c r="AA43" s="14">
        <f t="shared" si="18"/>
        <v>289479799346</v>
      </c>
      <c r="AB43" s="14">
        <f>AB44+AB47+AB50</f>
        <v>798332447621.76636</v>
      </c>
      <c r="AC43" s="14">
        <f t="shared" ref="AC43:AM43" si="19">AC44+AC47+AC50</f>
        <v>806565206650.6897</v>
      </c>
      <c r="AD43" s="14">
        <f t="shared" si="19"/>
        <v>805432643798.19788</v>
      </c>
      <c r="AE43" s="14">
        <f t="shared" si="19"/>
        <v>815851870008.20801</v>
      </c>
      <c r="AF43" s="14">
        <f t="shared" si="19"/>
        <v>829412439162.21802</v>
      </c>
      <c r="AG43" s="14">
        <f t="shared" si="19"/>
        <v>822694113178.22803</v>
      </c>
      <c r="AH43" s="14">
        <f t="shared" si="19"/>
        <v>815975787194.23816</v>
      </c>
      <c r="AI43" s="14">
        <f t="shared" si="19"/>
        <v>809257461210.24817</v>
      </c>
      <c r="AJ43" s="14">
        <f t="shared" si="19"/>
        <v>806384965226.25818</v>
      </c>
      <c r="AK43" s="14">
        <f t="shared" si="19"/>
        <v>799636458698.15698</v>
      </c>
      <c r="AL43" s="14">
        <f t="shared" si="19"/>
        <v>794360952170.05603</v>
      </c>
      <c r="AM43" s="14">
        <f t="shared" si="19"/>
        <v>951592281752.95483</v>
      </c>
    </row>
    <row r="44" spans="1:39">
      <c r="A44" s="1">
        <v>42</v>
      </c>
      <c r="B44" s="618" t="s">
        <v>296</v>
      </c>
      <c r="D44" s="14">
        <f t="shared" ref="D44:AA44" si="20">SUM(D45:D46)</f>
        <v>247686311862</v>
      </c>
      <c r="E44" s="14">
        <f t="shared" si="20"/>
        <v>243789053467</v>
      </c>
      <c r="F44" s="14">
        <f t="shared" si="20"/>
        <v>273243299734</v>
      </c>
      <c r="G44" s="14">
        <f t="shared" si="20"/>
        <v>275565292437</v>
      </c>
      <c r="H44" s="14">
        <f t="shared" si="20"/>
        <v>273846761895</v>
      </c>
      <c r="I44" s="14">
        <f t="shared" si="20"/>
        <v>269575362499</v>
      </c>
      <c r="J44" s="14">
        <f t="shared" si="20"/>
        <v>267225522772</v>
      </c>
      <c r="K44" s="14">
        <f t="shared" si="20"/>
        <v>273354837931</v>
      </c>
      <c r="L44" s="14">
        <f t="shared" si="20"/>
        <v>270135666926</v>
      </c>
      <c r="M44" s="14">
        <f t="shared" si="20"/>
        <v>269920360744</v>
      </c>
      <c r="N44" s="14">
        <f t="shared" si="20"/>
        <v>259897766310</v>
      </c>
      <c r="O44" s="14">
        <f t="shared" si="20"/>
        <v>257088680605</v>
      </c>
      <c r="P44" s="14">
        <f t="shared" si="20"/>
        <v>254173542509</v>
      </c>
      <c r="Q44" s="14">
        <f t="shared" si="20"/>
        <v>260677395229</v>
      </c>
      <c r="R44" s="14">
        <f t="shared" si="20"/>
        <v>264791909848</v>
      </c>
      <c r="S44" s="14">
        <f t="shared" si="20"/>
        <v>262618797672</v>
      </c>
      <c r="T44" s="14">
        <f t="shared" si="20"/>
        <v>258054794170</v>
      </c>
      <c r="U44" s="14">
        <f t="shared" si="20"/>
        <v>254016277850</v>
      </c>
      <c r="V44" s="14">
        <f t="shared" si="20"/>
        <v>252159489399</v>
      </c>
      <c r="W44" s="14">
        <f t="shared" si="20"/>
        <v>270337414891</v>
      </c>
      <c r="X44" s="14">
        <f t="shared" si="20"/>
        <v>265713293890</v>
      </c>
      <c r="Y44" s="14">
        <f t="shared" si="20"/>
        <v>263835030905</v>
      </c>
      <c r="Z44" s="14">
        <f t="shared" si="20"/>
        <v>268186954686</v>
      </c>
      <c r="AA44" s="14">
        <f t="shared" si="20"/>
        <v>267235780601</v>
      </c>
      <c r="AB44" s="14">
        <f t="shared" ref="AB44:AM44" si="21">SUM(AB45:AB46)</f>
        <v>773597750603.16772</v>
      </c>
      <c r="AC44" s="14">
        <f t="shared" si="21"/>
        <v>782038405452.82568</v>
      </c>
      <c r="AD44" s="14">
        <f t="shared" si="21"/>
        <v>781113738421.0686</v>
      </c>
      <c r="AE44" s="14">
        <f t="shared" si="21"/>
        <v>791740860451.81335</v>
      </c>
      <c r="AF44" s="14">
        <f t="shared" si="21"/>
        <v>804058000704.55811</v>
      </c>
      <c r="AG44" s="14">
        <f t="shared" si="21"/>
        <v>797571454152.30273</v>
      </c>
      <c r="AH44" s="14">
        <f t="shared" si="21"/>
        <v>791084907600.04749</v>
      </c>
      <c r="AI44" s="14">
        <f t="shared" si="21"/>
        <v>784598361047.79211</v>
      </c>
      <c r="AJ44" s="14">
        <f t="shared" si="21"/>
        <v>781957644495.53687</v>
      </c>
      <c r="AK44" s="14">
        <f t="shared" si="21"/>
        <v>775440917399.17041</v>
      </c>
      <c r="AL44" s="14">
        <f t="shared" si="21"/>
        <v>770397190302.80408</v>
      </c>
      <c r="AM44" s="14">
        <f t="shared" si="21"/>
        <v>927860299317.4375</v>
      </c>
    </row>
    <row r="45" spans="1:39">
      <c r="A45" s="633">
        <v>43</v>
      </c>
      <c r="B45" s="619" t="s">
        <v>297</v>
      </c>
      <c r="C45" t="s">
        <v>518</v>
      </c>
      <c r="D45" s="15">
        <f>'[1]Tinh hinh tai chinh'!AN46</f>
        <v>320763061585</v>
      </c>
      <c r="E45" s="15">
        <f>'[1]Tinh hinh tai chinh'!AO46</f>
        <v>320763061585</v>
      </c>
      <c r="F45" s="15">
        <f>'[1]Tinh hinh tai chinh'!AP46</f>
        <v>354111019751</v>
      </c>
      <c r="G45" s="15">
        <f>'[1]Tinh hinh tai chinh'!AQ46</f>
        <v>360410194088</v>
      </c>
      <c r="H45" s="15">
        <f>'[1]Tinh hinh tai chinh'!AR46</f>
        <v>362896921284</v>
      </c>
      <c r="I45" s="15">
        <f>'[1]Tinh hinh tai chinh'!AS46</f>
        <v>362777184617</v>
      </c>
      <c r="J45" s="15">
        <f>'[1]Tinh hinh tai chinh'!AT46</f>
        <v>364651866569</v>
      </c>
      <c r="K45" s="15">
        <f>'[1]Tinh hinh tai chinh'!AU46</f>
        <v>374855872549</v>
      </c>
      <c r="L45" s="15">
        <f>'[1]Tinh hinh tai chinh'!AV46</f>
        <v>376024168845</v>
      </c>
      <c r="M45" s="15">
        <f>'[1]Tinh hinh tai chinh'!AW46</f>
        <v>380073671166</v>
      </c>
      <c r="N45" s="15">
        <f>'[1]Tinh hinh tai chinh'!AX46</f>
        <v>358508874510</v>
      </c>
      <c r="O45" s="15">
        <f>'[1]Tinh hinh tai chinh'!AY46</f>
        <v>359916452008</v>
      </c>
      <c r="P45" s="15">
        <f>'[1]Tinh hinh tai chinh'!AZ46</f>
        <v>361070968177</v>
      </c>
      <c r="Q45" s="15">
        <f>'[1]Tinh hinh tai chinh'!BA46</f>
        <v>371841366827</v>
      </c>
      <c r="R45" s="15">
        <f>'[1]Tinh hinh tai chinh'!BB46</f>
        <v>380424978133</v>
      </c>
      <c r="S45" s="15">
        <f>'[1]Tinh hinh tai chinh'!BC46</f>
        <v>382236063184</v>
      </c>
      <c r="T45" s="15">
        <f>'[1]Tinh hinh tai chinh'!BD46</f>
        <v>382230780224</v>
      </c>
      <c r="U45" s="15">
        <f>'[1]Tinh hinh tai chinh'!BE46</f>
        <v>382070975608</v>
      </c>
      <c r="V45" s="15">
        <f>'[1]Tinh hinh tai chinh'!BF46</f>
        <v>384541494580</v>
      </c>
      <c r="W45" s="15">
        <f>'[1]Tinh hinh tai chinh'!BG46</f>
        <v>406915782897</v>
      </c>
      <c r="X45" s="15">
        <f>'[1]Tinh hinh tai chinh'!BH46</f>
        <v>407229367127</v>
      </c>
      <c r="Y45" s="15">
        <f>'[1]Tinh hinh tai chinh'!BI46</f>
        <v>410101780731</v>
      </c>
      <c r="Z45" s="15">
        <f>'[1]Tinh hinh tai chinh'!BJ46</f>
        <v>419369408793</v>
      </c>
      <c r="AA45" s="15">
        <f>'[1]Tinh hinh tai chinh'!BK46</f>
        <v>423259856618</v>
      </c>
      <c r="AB45" s="15">
        <f>'Consol BS-DTRG'!D46</f>
        <v>933674007757.99988</v>
      </c>
      <c r="AC45" s="15">
        <f>'Consol BS-DTRG'!E46</f>
        <v>948284273195.19983</v>
      </c>
      <c r="AD45" s="15">
        <f>'Consol BS-DTRG'!F46</f>
        <v>953636873195.19983</v>
      </c>
      <c r="AE45" s="15">
        <f>'Consol BS-DTRG'!G46</f>
        <v>970616497195.19983</v>
      </c>
      <c r="AF45" s="15">
        <f>'Consol BS-DTRG'!H46</f>
        <v>989293417195.19983</v>
      </c>
      <c r="AG45" s="15">
        <f>'Consol BS-DTRG'!I46</f>
        <v>989293417195.19983</v>
      </c>
      <c r="AH45" s="15">
        <f>'Consol BS-DTRG'!J46</f>
        <v>989293417195.19983</v>
      </c>
      <c r="AI45" s="15">
        <f>'Consol BS-DTRG'!K46</f>
        <v>989293417195.19983</v>
      </c>
      <c r="AJ45" s="15">
        <f>'Consol BS-DTRG'!L46</f>
        <v>993139247195.19983</v>
      </c>
      <c r="AK45" s="15">
        <f>'Consol BS-DTRG'!M46</f>
        <v>993139247195.19983</v>
      </c>
      <c r="AL45" s="15">
        <f>'Consol BS-DTRG'!N46</f>
        <v>994612247195.19983</v>
      </c>
      <c r="AM45" s="15">
        <f>'Consol BS-DTRG'!O46</f>
        <v>1158598247195.1997</v>
      </c>
    </row>
    <row r="46" spans="1:39">
      <c r="A46" s="633">
        <v>44</v>
      </c>
      <c r="B46" s="619" t="s">
        <v>298</v>
      </c>
      <c r="C46" t="s">
        <v>518</v>
      </c>
      <c r="D46" s="15">
        <f>'[1]Tinh hinh tai chinh'!AN47</f>
        <v>-73076749723</v>
      </c>
      <c r="E46" s="15">
        <f>'[1]Tinh hinh tai chinh'!AO47</f>
        <v>-76974008118</v>
      </c>
      <c r="F46" s="15">
        <f>'[1]Tinh hinh tai chinh'!AP47</f>
        <v>-80867720017</v>
      </c>
      <c r="G46" s="15">
        <f>'[1]Tinh hinh tai chinh'!AQ47</f>
        <v>-84844901651</v>
      </c>
      <c r="H46" s="15">
        <f>'[1]Tinh hinh tai chinh'!AR47</f>
        <v>-89050159389</v>
      </c>
      <c r="I46" s="15">
        <f>'[1]Tinh hinh tai chinh'!AS47</f>
        <v>-93201822118</v>
      </c>
      <c r="J46" s="15">
        <f>'[1]Tinh hinh tai chinh'!AT47</f>
        <v>-97426343797</v>
      </c>
      <c r="K46" s="15">
        <f>'[1]Tinh hinh tai chinh'!AU47</f>
        <v>-101501034618</v>
      </c>
      <c r="L46" s="15">
        <f>'[1]Tinh hinh tai chinh'!AV47</f>
        <v>-105888501919</v>
      </c>
      <c r="M46" s="15">
        <f>'[1]Tinh hinh tai chinh'!AW47</f>
        <v>-110153310422</v>
      </c>
      <c r="N46" s="15">
        <f>'[1]Tinh hinh tai chinh'!AX47</f>
        <v>-98611108200</v>
      </c>
      <c r="O46" s="15">
        <f>'[1]Tinh hinh tai chinh'!AY47</f>
        <v>-102827771403</v>
      </c>
      <c r="P46" s="15">
        <f>'[1]Tinh hinh tai chinh'!AZ47</f>
        <v>-106897425668</v>
      </c>
      <c r="Q46" s="15">
        <f>'[1]Tinh hinh tai chinh'!BA47</f>
        <v>-111163971598</v>
      </c>
      <c r="R46" s="15">
        <f>'[1]Tinh hinh tai chinh'!BB47</f>
        <v>-115633068285</v>
      </c>
      <c r="S46" s="15">
        <f>'[1]Tinh hinh tai chinh'!BC47</f>
        <v>-119617265512</v>
      </c>
      <c r="T46" s="15">
        <f>'[1]Tinh hinh tai chinh'!BD47</f>
        <v>-124175986054</v>
      </c>
      <c r="U46" s="15">
        <f>'[1]Tinh hinh tai chinh'!BE47</f>
        <v>-128054697758</v>
      </c>
      <c r="V46" s="15">
        <f>'[1]Tinh hinh tai chinh'!BF47</f>
        <v>-132382005181</v>
      </c>
      <c r="W46" s="15">
        <f>'[1]Tinh hinh tai chinh'!BG47</f>
        <v>-136578368006</v>
      </c>
      <c r="X46" s="15">
        <f>'[1]Tinh hinh tai chinh'!BH47</f>
        <v>-141516073237</v>
      </c>
      <c r="Y46" s="15">
        <f>'[1]Tinh hinh tai chinh'!BI47</f>
        <v>-146266749826</v>
      </c>
      <c r="Z46" s="15">
        <f>'[1]Tinh hinh tai chinh'!BJ47</f>
        <v>-151182454107</v>
      </c>
      <c r="AA46" s="15">
        <f>'[1]Tinh hinh tai chinh'!BK47</f>
        <v>-156024076017</v>
      </c>
      <c r="AB46" s="15">
        <f>'Consol BS-DTRG'!D47</f>
        <v>-160076257154.83209</v>
      </c>
      <c r="AC46" s="15">
        <f>'Consol BS-DTRG'!E47</f>
        <v>-166245867742.37411</v>
      </c>
      <c r="AD46" s="15">
        <f>'Consol BS-DTRG'!F47</f>
        <v>-172523134774.13123</v>
      </c>
      <c r="AE46" s="15">
        <f>'Consol BS-DTRG'!G47</f>
        <v>-178875636743.38647</v>
      </c>
      <c r="AF46" s="15">
        <f>'Consol BS-DTRG'!H47</f>
        <v>-185235416490.64178</v>
      </c>
      <c r="AG46" s="15">
        <f>'Consol BS-DTRG'!I47</f>
        <v>-191721963042.89713</v>
      </c>
      <c r="AH46" s="15">
        <f>'Consol BS-DTRG'!J47</f>
        <v>-198208509595.15237</v>
      </c>
      <c r="AI46" s="15">
        <f>'Consol BS-DTRG'!K47</f>
        <v>-204695056147.40771</v>
      </c>
      <c r="AJ46" s="15">
        <f>'Consol BS-DTRG'!L47</f>
        <v>-211181602699.66296</v>
      </c>
      <c r="AK46" s="15">
        <f>'Consol BS-DTRG'!M47</f>
        <v>-217698329796.02939</v>
      </c>
      <c r="AL46" s="15">
        <f>'Consol BS-DTRG'!N47</f>
        <v>-224215056892.39575</v>
      </c>
      <c r="AM46" s="15">
        <f>'Consol BS-DTRG'!O47</f>
        <v>-230737947877.76221</v>
      </c>
    </row>
    <row r="47" spans="1:39">
      <c r="A47" s="1">
        <v>45</v>
      </c>
      <c r="B47" s="618" t="s">
        <v>299</v>
      </c>
      <c r="D47" s="14">
        <f t="shared" ref="D47:AA47" si="22">SUM(D48:D49)</f>
        <v>21543584</v>
      </c>
      <c r="E47" s="14">
        <f t="shared" si="22"/>
        <v>20347932</v>
      </c>
      <c r="F47" s="14">
        <f t="shared" si="22"/>
        <v>19152280</v>
      </c>
      <c r="G47" s="14">
        <f t="shared" si="22"/>
        <v>17956628</v>
      </c>
      <c r="H47" s="14">
        <f t="shared" si="22"/>
        <v>16760976</v>
      </c>
      <c r="I47" s="14">
        <f t="shared" si="22"/>
        <v>15565324</v>
      </c>
      <c r="J47" s="14">
        <f t="shared" si="22"/>
        <v>14369672</v>
      </c>
      <c r="K47" s="14">
        <f t="shared" si="22"/>
        <v>13174020</v>
      </c>
      <c r="L47" s="14">
        <f t="shared" si="22"/>
        <v>11978368</v>
      </c>
      <c r="M47" s="14">
        <f t="shared" si="22"/>
        <v>10782716</v>
      </c>
      <c r="N47" s="14">
        <f t="shared" si="22"/>
        <v>25464132519</v>
      </c>
      <c r="O47" s="14">
        <f t="shared" si="22"/>
        <v>24929281727</v>
      </c>
      <c r="P47" s="14">
        <f t="shared" si="22"/>
        <v>24387235175</v>
      </c>
      <c r="Q47" s="14">
        <f t="shared" si="22"/>
        <v>23853580028</v>
      </c>
      <c r="R47" s="14">
        <f t="shared" si="22"/>
        <v>23319924886</v>
      </c>
      <c r="S47" s="14">
        <f t="shared" si="22"/>
        <v>22786269743</v>
      </c>
      <c r="T47" s="14">
        <f t="shared" si="22"/>
        <v>22252614599</v>
      </c>
      <c r="U47" s="14">
        <f t="shared" si="22"/>
        <v>21718959455</v>
      </c>
      <c r="V47" s="14">
        <f t="shared" si="22"/>
        <v>21185304314</v>
      </c>
      <c r="W47" s="14">
        <f t="shared" si="22"/>
        <v>20651649171</v>
      </c>
      <c r="X47" s="14">
        <f t="shared" si="22"/>
        <v>20117994030</v>
      </c>
      <c r="Y47" s="14">
        <f t="shared" si="22"/>
        <v>19584338888</v>
      </c>
      <c r="Z47" s="14">
        <f t="shared" si="22"/>
        <v>19050683744</v>
      </c>
      <c r="AA47" s="14">
        <f t="shared" si="22"/>
        <v>18517028601</v>
      </c>
      <c r="AB47" s="14">
        <f t="shared" ref="AB47:AM47" si="23">SUM(AB48:AB49)</f>
        <v>18371809550.87608</v>
      </c>
      <c r="AC47" s="14">
        <f t="shared" si="23"/>
        <v>18226590500.752151</v>
      </c>
      <c r="AD47" s="14">
        <f t="shared" si="23"/>
        <v>18081371450.628235</v>
      </c>
      <c r="AE47" s="14">
        <f t="shared" si="23"/>
        <v>17936152400.504314</v>
      </c>
      <c r="AF47" s="14">
        <f t="shared" si="23"/>
        <v>17790933350.380402</v>
      </c>
      <c r="AG47" s="14">
        <f t="shared" si="23"/>
        <v>17645714300.256474</v>
      </c>
      <c r="AH47" s="14">
        <f t="shared" si="23"/>
        <v>17500495250.132553</v>
      </c>
      <c r="AI47" s="14">
        <f t="shared" si="23"/>
        <v>17355276200.008629</v>
      </c>
      <c r="AJ47" s="14">
        <f t="shared" si="23"/>
        <v>17210057149.884716</v>
      </c>
      <c r="AK47" s="14">
        <f t="shared" si="23"/>
        <v>17064838099.760788</v>
      </c>
      <c r="AL47" s="14">
        <f t="shared" si="23"/>
        <v>16919619049.636868</v>
      </c>
      <c r="AM47" s="14">
        <f t="shared" si="23"/>
        <v>16774399999.512947</v>
      </c>
    </row>
    <row r="48" spans="1:39">
      <c r="A48" s="633">
        <v>46</v>
      </c>
      <c r="B48" s="619" t="s">
        <v>300</v>
      </c>
      <c r="C48" t="s">
        <v>518</v>
      </c>
      <c r="D48" s="15">
        <f>'[1]Tinh hinh tai chinh'!AN49</f>
        <v>55000000</v>
      </c>
      <c r="E48" s="15">
        <f>'[1]Tinh hinh tai chinh'!AO49</f>
        <v>55000000</v>
      </c>
      <c r="F48" s="15">
        <f>'[1]Tinh hinh tai chinh'!AP49</f>
        <v>55000000</v>
      </c>
      <c r="G48" s="15">
        <f>'[1]Tinh hinh tai chinh'!AQ49</f>
        <v>55000000</v>
      </c>
      <c r="H48" s="15">
        <f>'[1]Tinh hinh tai chinh'!AR49</f>
        <v>55000000</v>
      </c>
      <c r="I48" s="15">
        <f>'[1]Tinh hinh tai chinh'!AS49</f>
        <v>55000000</v>
      </c>
      <c r="J48" s="15">
        <f>'[1]Tinh hinh tai chinh'!AT49</f>
        <v>55000000</v>
      </c>
      <c r="K48" s="15">
        <f>'[1]Tinh hinh tai chinh'!AU49</f>
        <v>55000000</v>
      </c>
      <c r="L48" s="15">
        <f>'[1]Tinh hinh tai chinh'!AV49</f>
        <v>55000000</v>
      </c>
      <c r="M48" s="15">
        <f>'[1]Tinh hinh tai chinh'!AW49</f>
        <v>55000000</v>
      </c>
      <c r="N48" s="15">
        <f>'[1]Tinh hinh tai chinh'!AX49</f>
        <v>25509545455</v>
      </c>
      <c r="O48" s="15">
        <f>'[1]Tinh hinh tai chinh'!AY49</f>
        <v>25509545455</v>
      </c>
      <c r="P48" s="15">
        <f>'[1]Tinh hinh tai chinh'!AZ49</f>
        <v>25454545455</v>
      </c>
      <c r="Q48" s="15">
        <f>'[1]Tinh hinh tai chinh'!BA49</f>
        <v>25454545455</v>
      </c>
      <c r="R48" s="15">
        <f>'[1]Tinh hinh tai chinh'!BB49</f>
        <v>25454545455</v>
      </c>
      <c r="S48" s="15">
        <f>'[1]Tinh hinh tai chinh'!BC49</f>
        <v>25454545455</v>
      </c>
      <c r="T48" s="15">
        <f>'[1]Tinh hinh tai chinh'!BD49</f>
        <v>25454545455</v>
      </c>
      <c r="U48" s="15">
        <f>'[1]Tinh hinh tai chinh'!BE49</f>
        <v>25454545455</v>
      </c>
      <c r="V48" s="15">
        <f>'[1]Tinh hinh tai chinh'!BF49</f>
        <v>25454545455</v>
      </c>
      <c r="W48" s="15">
        <f>'[1]Tinh hinh tai chinh'!BG49</f>
        <v>25454545455</v>
      </c>
      <c r="X48" s="15">
        <f>'[1]Tinh hinh tai chinh'!BH49</f>
        <v>25454545455</v>
      </c>
      <c r="Y48" s="15">
        <f>'[1]Tinh hinh tai chinh'!BI49</f>
        <v>25454545455</v>
      </c>
      <c r="Z48" s="15">
        <f>'[1]Tinh hinh tai chinh'!BJ49</f>
        <v>25454545455</v>
      </c>
      <c r="AA48" s="15">
        <f>'[1]Tinh hinh tai chinh'!BK49</f>
        <v>25454545455</v>
      </c>
      <c r="AB48" s="15">
        <f>'Consol BS-DTRG'!D49</f>
        <v>25454545455</v>
      </c>
      <c r="AC48" s="15">
        <f>'Consol BS-DTRG'!E49</f>
        <v>25454545455</v>
      </c>
      <c r="AD48" s="15">
        <f>'Consol BS-DTRG'!F49</f>
        <v>25454545455</v>
      </c>
      <c r="AE48" s="15">
        <f>'Consol BS-DTRG'!G49</f>
        <v>25454545455</v>
      </c>
      <c r="AF48" s="15">
        <f>'Consol BS-DTRG'!H49</f>
        <v>25454545455</v>
      </c>
      <c r="AG48" s="15">
        <f>'Consol BS-DTRG'!I49</f>
        <v>25454545455</v>
      </c>
      <c r="AH48" s="15">
        <f>'Consol BS-DTRG'!J49</f>
        <v>25454545455</v>
      </c>
      <c r="AI48" s="15">
        <f>'Consol BS-DTRG'!K49</f>
        <v>25454545455</v>
      </c>
      <c r="AJ48" s="15">
        <f>'Consol BS-DTRG'!L49</f>
        <v>25454545455</v>
      </c>
      <c r="AK48" s="15">
        <f>'Consol BS-DTRG'!M49</f>
        <v>25454545455</v>
      </c>
      <c r="AL48" s="15">
        <f>'Consol BS-DTRG'!N49</f>
        <v>25454545455</v>
      </c>
      <c r="AM48" s="15">
        <f>'Consol BS-DTRG'!O49</f>
        <v>25454545455</v>
      </c>
    </row>
    <row r="49" spans="1:39">
      <c r="A49" s="633">
        <v>47</v>
      </c>
      <c r="B49" s="619" t="s">
        <v>301</v>
      </c>
      <c r="C49" t="s">
        <v>518</v>
      </c>
      <c r="D49" s="15">
        <f>'[1]Tinh hinh tai chinh'!AN50</f>
        <v>-33456416</v>
      </c>
      <c r="E49" s="15">
        <f>'[1]Tinh hinh tai chinh'!AO50</f>
        <v>-34652068</v>
      </c>
      <c r="F49" s="15">
        <f>'[1]Tinh hinh tai chinh'!AP50</f>
        <v>-35847720</v>
      </c>
      <c r="G49" s="15">
        <f>'[1]Tinh hinh tai chinh'!AQ50</f>
        <v>-37043372</v>
      </c>
      <c r="H49" s="15">
        <f>'[1]Tinh hinh tai chinh'!AR50</f>
        <v>-38239024</v>
      </c>
      <c r="I49" s="15">
        <f>'[1]Tinh hinh tai chinh'!AS50</f>
        <v>-39434676</v>
      </c>
      <c r="J49" s="15">
        <f>'[1]Tinh hinh tai chinh'!AT50</f>
        <v>-40630328</v>
      </c>
      <c r="K49" s="15">
        <f>'[1]Tinh hinh tai chinh'!AU50</f>
        <v>-41825980</v>
      </c>
      <c r="L49" s="15">
        <f>'[1]Tinh hinh tai chinh'!AV50</f>
        <v>-43021632</v>
      </c>
      <c r="M49" s="15">
        <f>'[1]Tinh hinh tai chinh'!AW50</f>
        <v>-44217284</v>
      </c>
      <c r="N49" s="15">
        <f>'[1]Tinh hinh tai chinh'!AX50</f>
        <v>-45412936</v>
      </c>
      <c r="O49" s="15">
        <f>'[1]Tinh hinh tai chinh'!AY50</f>
        <v>-580263728</v>
      </c>
      <c r="P49" s="15">
        <f>'[1]Tinh hinh tai chinh'!AZ50</f>
        <v>-1067310280</v>
      </c>
      <c r="Q49" s="15">
        <f>'[1]Tinh hinh tai chinh'!BA50</f>
        <v>-1600965427</v>
      </c>
      <c r="R49" s="15">
        <f>'[1]Tinh hinh tai chinh'!BB50</f>
        <v>-2134620569</v>
      </c>
      <c r="S49" s="15">
        <f>'[1]Tinh hinh tai chinh'!BC50</f>
        <v>-2668275712</v>
      </c>
      <c r="T49" s="15">
        <f>'[1]Tinh hinh tai chinh'!BD50</f>
        <v>-3201930856</v>
      </c>
      <c r="U49" s="15">
        <f>'[1]Tinh hinh tai chinh'!BE50</f>
        <v>-3735586000</v>
      </c>
      <c r="V49" s="15">
        <f>'[1]Tinh hinh tai chinh'!BF50</f>
        <v>-4269241141</v>
      </c>
      <c r="W49" s="15">
        <f>'[1]Tinh hinh tai chinh'!BG50</f>
        <v>-4802896284</v>
      </c>
      <c r="X49" s="15">
        <f>'[1]Tinh hinh tai chinh'!BH50</f>
        <v>-5336551425</v>
      </c>
      <c r="Y49" s="15">
        <f>'[1]Tinh hinh tai chinh'!BI50</f>
        <v>-5870206567</v>
      </c>
      <c r="Z49" s="15">
        <f>'[1]Tinh hinh tai chinh'!BJ50</f>
        <v>-6403861711</v>
      </c>
      <c r="AA49" s="15">
        <f>'[1]Tinh hinh tai chinh'!BK50</f>
        <v>-6937516854</v>
      </c>
      <c r="AB49" s="15">
        <f>'Consol BS-DTRG'!D50</f>
        <v>-7082735904.1239204</v>
      </c>
      <c r="AC49" s="15">
        <f>'Consol BS-DTRG'!E50</f>
        <v>-7227954954.2478485</v>
      </c>
      <c r="AD49" s="15">
        <f>'Consol BS-DTRG'!F50</f>
        <v>-7373174004.3717651</v>
      </c>
      <c r="AE49" s="15">
        <f>'Consol BS-DTRG'!G50</f>
        <v>-7518393054.4956856</v>
      </c>
      <c r="AF49" s="15">
        <f>'Consol BS-DTRG'!H50</f>
        <v>-7663612104.6195984</v>
      </c>
      <c r="AG49" s="15">
        <f>'Consol BS-DTRG'!I50</f>
        <v>-7808831154.7435265</v>
      </c>
      <c r="AH49" s="15">
        <f>'Consol BS-DTRG'!J50</f>
        <v>-7954050204.8674469</v>
      </c>
      <c r="AI49" s="15">
        <f>'Consol BS-DTRG'!K50</f>
        <v>-8099269254.9913712</v>
      </c>
      <c r="AJ49" s="15">
        <f>'Consol BS-DTRG'!L50</f>
        <v>-8244488305.115284</v>
      </c>
      <c r="AK49" s="15">
        <f>'Consol BS-DTRG'!M50</f>
        <v>-8389707355.239212</v>
      </c>
      <c r="AL49" s="15">
        <f>'Consol BS-DTRG'!N50</f>
        <v>-8534926405.3631325</v>
      </c>
      <c r="AM49" s="15">
        <f>'Consol BS-DTRG'!O50</f>
        <v>-8680145455.4870529</v>
      </c>
    </row>
    <row r="50" spans="1:39">
      <c r="A50" s="1">
        <v>48</v>
      </c>
      <c r="B50" s="618" t="s">
        <v>302</v>
      </c>
      <c r="D50" s="14">
        <f t="shared" ref="D50:AA50" si="24">SUM(D51:D52)</f>
        <v>1947932752</v>
      </c>
      <c r="E50" s="14">
        <f t="shared" si="24"/>
        <v>1906963603</v>
      </c>
      <c r="F50" s="14">
        <f t="shared" si="24"/>
        <v>2297294492</v>
      </c>
      <c r="G50" s="14">
        <f t="shared" si="24"/>
        <v>2244344786</v>
      </c>
      <c r="H50" s="14">
        <f t="shared" si="24"/>
        <v>2191395080</v>
      </c>
      <c r="I50" s="14">
        <f t="shared" si="24"/>
        <v>2138445371</v>
      </c>
      <c r="J50" s="14">
        <f t="shared" si="24"/>
        <v>2085495665</v>
      </c>
      <c r="K50" s="14">
        <f t="shared" si="24"/>
        <v>2032545960</v>
      </c>
      <c r="L50" s="14">
        <f t="shared" si="24"/>
        <v>1979596253</v>
      </c>
      <c r="M50" s="14">
        <f t="shared" si="24"/>
        <v>1926646546</v>
      </c>
      <c r="N50" s="14">
        <f t="shared" si="24"/>
        <v>1873696841</v>
      </c>
      <c r="O50" s="14">
        <f t="shared" si="24"/>
        <v>2349870034</v>
      </c>
      <c r="P50" s="14">
        <f t="shared" si="24"/>
        <v>2289418229</v>
      </c>
      <c r="Q50" s="14">
        <f t="shared" si="24"/>
        <v>2220575013</v>
      </c>
      <c r="R50" s="14">
        <f t="shared" si="24"/>
        <v>2639342579</v>
      </c>
      <c r="S50" s="14">
        <f t="shared" si="24"/>
        <v>2556954617</v>
      </c>
      <c r="T50" s="14">
        <f t="shared" si="24"/>
        <v>2474566657</v>
      </c>
      <c r="U50" s="14">
        <f t="shared" si="24"/>
        <v>2392178695</v>
      </c>
      <c r="V50" s="14">
        <f t="shared" si="24"/>
        <v>2309790736</v>
      </c>
      <c r="W50" s="14">
        <f t="shared" si="24"/>
        <v>2228576580</v>
      </c>
      <c r="X50" s="14">
        <f t="shared" si="24"/>
        <v>4087339407</v>
      </c>
      <c r="Y50" s="14">
        <f t="shared" si="24"/>
        <v>3967222986</v>
      </c>
      <c r="Z50" s="14">
        <f t="shared" si="24"/>
        <v>3847106565</v>
      </c>
      <c r="AA50" s="14">
        <f t="shared" si="24"/>
        <v>3726990144</v>
      </c>
      <c r="AB50" s="14">
        <f t="shared" ref="AB50:AM50" si="25">SUM(AB51:AB52)</f>
        <v>6362887467.7225857</v>
      </c>
      <c r="AC50" s="14">
        <f t="shared" si="25"/>
        <v>6300210697.1118374</v>
      </c>
      <c r="AD50" s="14">
        <f t="shared" si="25"/>
        <v>6237533926.5010891</v>
      </c>
      <c r="AE50" s="14">
        <f t="shared" si="25"/>
        <v>6174857155.8903399</v>
      </c>
      <c r="AF50" s="14">
        <f t="shared" si="25"/>
        <v>7563505107.2795906</v>
      </c>
      <c r="AG50" s="14">
        <f t="shared" si="25"/>
        <v>7476944725.6688423</v>
      </c>
      <c r="AH50" s="14">
        <f t="shared" si="25"/>
        <v>7390384344.058094</v>
      </c>
      <c r="AI50" s="14">
        <f t="shared" si="25"/>
        <v>7303823962.4473457</v>
      </c>
      <c r="AJ50" s="14">
        <f t="shared" si="25"/>
        <v>7217263580.8365974</v>
      </c>
      <c r="AK50" s="14">
        <f t="shared" si="25"/>
        <v>7130703199.2258492</v>
      </c>
      <c r="AL50" s="14">
        <f t="shared" si="25"/>
        <v>7044142817.6151009</v>
      </c>
      <c r="AM50" s="14">
        <f t="shared" si="25"/>
        <v>6957582436.0043526</v>
      </c>
    </row>
    <row r="51" spans="1:39">
      <c r="A51" s="633">
        <v>49</v>
      </c>
      <c r="B51" s="619" t="s">
        <v>303</v>
      </c>
      <c r="C51" t="s">
        <v>518</v>
      </c>
      <c r="D51" s="15">
        <f>'[1]Tinh hinh tai chinh'!AN52</f>
        <v>3076542391</v>
      </c>
      <c r="E51" s="15">
        <f>'[1]Tinh hinh tai chinh'!AO52</f>
        <v>3076542391</v>
      </c>
      <c r="F51" s="15">
        <f>'[1]Tinh hinh tai chinh'!AP52</f>
        <v>3507842430</v>
      </c>
      <c r="G51" s="15">
        <f>'[1]Tinh hinh tai chinh'!AQ52</f>
        <v>3507842430</v>
      </c>
      <c r="H51" s="15">
        <f>'[1]Tinh hinh tai chinh'!AR52</f>
        <v>3507842430</v>
      </c>
      <c r="I51" s="15">
        <f>'[1]Tinh hinh tai chinh'!AS52</f>
        <v>3507842430</v>
      </c>
      <c r="J51" s="15">
        <f>'[1]Tinh hinh tai chinh'!AT52</f>
        <v>3507842430</v>
      </c>
      <c r="K51" s="15">
        <f>'[1]Tinh hinh tai chinh'!AU52</f>
        <v>3507842430</v>
      </c>
      <c r="L51" s="15">
        <f>'[1]Tinh hinh tai chinh'!AV52</f>
        <v>3507842430</v>
      </c>
      <c r="M51" s="15">
        <f>'[1]Tinh hinh tai chinh'!AW52</f>
        <v>3507842430</v>
      </c>
      <c r="N51" s="15">
        <f>'[1]Tinh hinh tai chinh'!AX52</f>
        <v>3507842430</v>
      </c>
      <c r="O51" s="15">
        <f>'[1]Tinh hinh tai chinh'!AY52</f>
        <v>4036965329</v>
      </c>
      <c r="P51" s="15">
        <f>'[1]Tinh hinh tai chinh'!AZ52</f>
        <v>4091965329</v>
      </c>
      <c r="Q51" s="15">
        <f>'[1]Tinh hinh tai chinh'!BA52</f>
        <v>4091965329</v>
      </c>
      <c r="R51" s="15">
        <f>'[1]Tinh hinh tai chinh'!BB52</f>
        <v>4579576112</v>
      </c>
      <c r="S51" s="15">
        <f>'[1]Tinh hinh tai chinh'!BC52</f>
        <v>4579576112</v>
      </c>
      <c r="T51" s="15">
        <f>'[1]Tinh hinh tai chinh'!BD52</f>
        <v>4579576112</v>
      </c>
      <c r="U51" s="15">
        <f>'[1]Tinh hinh tai chinh'!BE52</f>
        <v>4579576112</v>
      </c>
      <c r="V51" s="15">
        <f>'[1]Tinh hinh tai chinh'!BF52</f>
        <v>4579576112</v>
      </c>
      <c r="W51" s="15">
        <f>'[1]Tinh hinh tai chinh'!BG52</f>
        <v>4579576112</v>
      </c>
      <c r="X51" s="15">
        <f>'[1]Tinh hinh tai chinh'!BH52</f>
        <v>6518070070</v>
      </c>
      <c r="Y51" s="15">
        <f>'[1]Tinh hinh tai chinh'!BI52</f>
        <v>6518070070</v>
      </c>
      <c r="Z51" s="15">
        <f>'[1]Tinh hinh tai chinh'!BJ52</f>
        <v>6518070070</v>
      </c>
      <c r="AA51" s="15">
        <f>'[1]Tinh hinh tai chinh'!BK52</f>
        <v>6518070070</v>
      </c>
      <c r="AB51" s="15">
        <f>'Consol BS-DTRG'!D52</f>
        <v>8626725465.333334</v>
      </c>
      <c r="AC51" s="15">
        <f>'Consol BS-DTRG'!E52</f>
        <v>8626725465.333334</v>
      </c>
      <c r="AD51" s="15">
        <f>'Consol BS-DTRG'!F52</f>
        <v>8626725465.333334</v>
      </c>
      <c r="AE51" s="15">
        <f>'Consol BS-DTRG'!G52</f>
        <v>8626725465.333334</v>
      </c>
      <c r="AF51" s="15">
        <f>'Consol BS-DTRG'!H52</f>
        <v>10086725465.333332</v>
      </c>
      <c r="AG51" s="15">
        <f>'Consol BS-DTRG'!I52</f>
        <v>10086725465.333332</v>
      </c>
      <c r="AH51" s="15">
        <f>'Consol BS-DTRG'!J52</f>
        <v>10086725465.333332</v>
      </c>
      <c r="AI51" s="15">
        <f>'Consol BS-DTRG'!K52</f>
        <v>10086725465.333332</v>
      </c>
      <c r="AJ51" s="15">
        <f>'Consol BS-DTRG'!L52</f>
        <v>10086725465.333332</v>
      </c>
      <c r="AK51" s="15">
        <f>'Consol BS-DTRG'!M52</f>
        <v>10086725465.333332</v>
      </c>
      <c r="AL51" s="15">
        <f>'Consol BS-DTRG'!N52</f>
        <v>10086725465.333332</v>
      </c>
      <c r="AM51" s="15">
        <f>'Consol BS-DTRG'!O52</f>
        <v>10086725465.333332</v>
      </c>
    </row>
    <row r="52" spans="1:39">
      <c r="A52" s="633">
        <v>50</v>
      </c>
      <c r="B52" s="619" t="s">
        <v>304</v>
      </c>
      <c r="C52" t="s">
        <v>518</v>
      </c>
      <c r="D52" s="15">
        <f>'[1]Tinh hinh tai chinh'!AN53</f>
        <v>-1128609639</v>
      </c>
      <c r="E52" s="15">
        <f>'[1]Tinh hinh tai chinh'!AO53</f>
        <v>-1169578788</v>
      </c>
      <c r="F52" s="15">
        <f>'[1]Tinh hinh tai chinh'!AP53</f>
        <v>-1210547938</v>
      </c>
      <c r="G52" s="15">
        <f>'[1]Tinh hinh tai chinh'!AQ53</f>
        <v>-1263497644</v>
      </c>
      <c r="H52" s="15">
        <f>'[1]Tinh hinh tai chinh'!AR53</f>
        <v>-1316447350</v>
      </c>
      <c r="I52" s="15">
        <f>'[1]Tinh hinh tai chinh'!AS53</f>
        <v>-1369397059</v>
      </c>
      <c r="J52" s="15">
        <f>'[1]Tinh hinh tai chinh'!AT53</f>
        <v>-1422346765</v>
      </c>
      <c r="K52" s="15">
        <f>'[1]Tinh hinh tai chinh'!AU53</f>
        <v>-1475296470</v>
      </c>
      <c r="L52" s="15">
        <f>'[1]Tinh hinh tai chinh'!AV53</f>
        <v>-1528246177</v>
      </c>
      <c r="M52" s="15">
        <f>'[1]Tinh hinh tai chinh'!AW53</f>
        <v>-1581195884</v>
      </c>
      <c r="N52" s="15">
        <f>'[1]Tinh hinh tai chinh'!AX53</f>
        <v>-1634145589</v>
      </c>
      <c r="O52" s="15">
        <f>'[1]Tinh hinh tai chinh'!AY53</f>
        <v>-1687095295</v>
      </c>
      <c r="P52" s="15">
        <f>'[1]Tinh hinh tai chinh'!AZ53</f>
        <v>-1802547100</v>
      </c>
      <c r="Q52" s="15">
        <f>'[1]Tinh hinh tai chinh'!BA53</f>
        <v>-1871390316</v>
      </c>
      <c r="R52" s="15">
        <f>'[1]Tinh hinh tai chinh'!BB53</f>
        <v>-1940233533</v>
      </c>
      <c r="S52" s="15">
        <f>'[1]Tinh hinh tai chinh'!BC53</f>
        <v>-2022621495</v>
      </c>
      <c r="T52" s="15">
        <f>'[1]Tinh hinh tai chinh'!BD53</f>
        <v>-2105009455</v>
      </c>
      <c r="U52" s="15">
        <f>'[1]Tinh hinh tai chinh'!BE53</f>
        <v>-2187397417</v>
      </c>
      <c r="V52" s="15">
        <f>'[1]Tinh hinh tai chinh'!BF53</f>
        <v>-2269785376</v>
      </c>
      <c r="W52" s="15">
        <f>'[1]Tinh hinh tai chinh'!BG53</f>
        <v>-2350999532</v>
      </c>
      <c r="X52" s="15">
        <f>'[1]Tinh hinh tai chinh'!BH53</f>
        <v>-2430730663</v>
      </c>
      <c r="Y52" s="15">
        <f>'[1]Tinh hinh tai chinh'!BI53</f>
        <v>-2550847084</v>
      </c>
      <c r="Z52" s="15">
        <f>'[1]Tinh hinh tai chinh'!BJ53</f>
        <v>-2670963505</v>
      </c>
      <c r="AA52" s="15">
        <f>'[1]Tinh hinh tai chinh'!BK53</f>
        <v>-2791079926</v>
      </c>
      <c r="AB52" s="15">
        <f>'Consol BS-DTRG'!D53</f>
        <v>-2263837997.6107483</v>
      </c>
      <c r="AC52" s="15">
        <f>'Consol BS-DTRG'!E53</f>
        <v>-2326514768.2214971</v>
      </c>
      <c r="AD52" s="15">
        <f>'Consol BS-DTRG'!F53</f>
        <v>-2389191538.8322453</v>
      </c>
      <c r="AE52" s="15">
        <f>'Consol BS-DTRG'!G53</f>
        <v>-2451868309.4429941</v>
      </c>
      <c r="AF52" s="15">
        <f>'Consol BS-DTRG'!H53</f>
        <v>-2523220358.0537419</v>
      </c>
      <c r="AG52" s="15">
        <f>'Consol BS-DTRG'!I53</f>
        <v>-2609780739.6644902</v>
      </c>
      <c r="AH52" s="15">
        <f>'Consol BS-DTRG'!J53</f>
        <v>-2696341121.2752385</v>
      </c>
      <c r="AI52" s="15">
        <f>'Consol BS-DTRG'!K53</f>
        <v>-2782901502.8859868</v>
      </c>
      <c r="AJ52" s="15">
        <f>'Consol BS-DTRG'!L53</f>
        <v>-2869461884.4967351</v>
      </c>
      <c r="AK52" s="15">
        <f>'Consol BS-DTRG'!M53</f>
        <v>-2956022266.1074834</v>
      </c>
      <c r="AL52" s="15">
        <f>'Consol BS-DTRG'!N53</f>
        <v>-3042582647.7182312</v>
      </c>
      <c r="AM52" s="15">
        <f>'Consol BS-DTRG'!O53</f>
        <v>-3129143029.3289795</v>
      </c>
    </row>
    <row r="53" spans="1:39">
      <c r="A53" s="1">
        <v>51</v>
      </c>
      <c r="B53" s="617" t="s">
        <v>305</v>
      </c>
      <c r="D53" s="15">
        <f t="shared" ref="D53:AA53" si="26">SUM(D54,D59:D61)</f>
        <v>0</v>
      </c>
      <c r="E53" s="15">
        <f t="shared" si="26"/>
        <v>0</v>
      </c>
      <c r="F53" s="15">
        <f t="shared" si="26"/>
        <v>0</v>
      </c>
      <c r="G53" s="15">
        <f t="shared" si="26"/>
        <v>0</v>
      </c>
      <c r="H53" s="15">
        <f t="shared" si="26"/>
        <v>0</v>
      </c>
      <c r="I53" s="15">
        <f t="shared" si="26"/>
        <v>0</v>
      </c>
      <c r="J53" s="15">
        <f t="shared" si="26"/>
        <v>0</v>
      </c>
      <c r="K53" s="15">
        <f t="shared" si="26"/>
        <v>0</v>
      </c>
      <c r="L53" s="15">
        <f t="shared" si="26"/>
        <v>0</v>
      </c>
      <c r="M53" s="15">
        <f t="shared" si="26"/>
        <v>0</v>
      </c>
      <c r="N53" s="15">
        <f t="shared" si="26"/>
        <v>0</v>
      </c>
      <c r="O53" s="15">
        <f t="shared" si="26"/>
        <v>0</v>
      </c>
      <c r="P53" s="15">
        <f t="shared" si="26"/>
        <v>0</v>
      </c>
      <c r="Q53" s="15">
        <f t="shared" si="26"/>
        <v>0</v>
      </c>
      <c r="R53" s="15">
        <f t="shared" si="26"/>
        <v>0</v>
      </c>
      <c r="S53" s="15">
        <f t="shared" si="26"/>
        <v>0</v>
      </c>
      <c r="T53" s="15">
        <f t="shared" si="26"/>
        <v>0</v>
      </c>
      <c r="U53" s="15">
        <f t="shared" si="26"/>
        <v>0</v>
      </c>
      <c r="V53" s="15">
        <f t="shared" si="26"/>
        <v>0</v>
      </c>
      <c r="W53" s="15">
        <f t="shared" si="26"/>
        <v>0</v>
      </c>
      <c r="X53" s="15">
        <f t="shared" si="26"/>
        <v>0</v>
      </c>
      <c r="Y53" s="15">
        <f t="shared" si="26"/>
        <v>0</v>
      </c>
      <c r="Z53" s="15">
        <f t="shared" si="26"/>
        <v>0</v>
      </c>
      <c r="AA53" s="15">
        <f t="shared" si="26"/>
        <v>0</v>
      </c>
      <c r="AB53" s="15">
        <f t="shared" ref="AB53:AM53" si="27">SUM(AB54,AB59:AB61)</f>
        <v>0</v>
      </c>
      <c r="AC53" s="15">
        <f t="shared" si="27"/>
        <v>0</v>
      </c>
      <c r="AD53" s="15">
        <f t="shared" si="27"/>
        <v>0</v>
      </c>
      <c r="AE53" s="15">
        <f t="shared" si="27"/>
        <v>0</v>
      </c>
      <c r="AF53" s="15">
        <f t="shared" si="27"/>
        <v>0</v>
      </c>
      <c r="AG53" s="15">
        <f t="shared" si="27"/>
        <v>0</v>
      </c>
      <c r="AH53" s="15">
        <f t="shared" si="27"/>
        <v>0</v>
      </c>
      <c r="AI53" s="15">
        <f t="shared" si="27"/>
        <v>0</v>
      </c>
      <c r="AJ53" s="15">
        <f t="shared" si="27"/>
        <v>0</v>
      </c>
      <c r="AK53" s="15">
        <f t="shared" si="27"/>
        <v>0</v>
      </c>
      <c r="AL53" s="15">
        <f t="shared" si="27"/>
        <v>0</v>
      </c>
      <c r="AM53" s="15">
        <f t="shared" si="27"/>
        <v>0</v>
      </c>
    </row>
    <row r="54" spans="1:39">
      <c r="A54" s="633">
        <v>52</v>
      </c>
      <c r="B54" s="620" t="s">
        <v>306</v>
      </c>
      <c r="D54" s="15">
        <f t="shared" ref="D54:AA54" si="28">SUM(D55:D56)</f>
        <v>0</v>
      </c>
      <c r="E54" s="15">
        <f t="shared" si="28"/>
        <v>0</v>
      </c>
      <c r="F54" s="15">
        <f t="shared" si="28"/>
        <v>0</v>
      </c>
      <c r="G54" s="15">
        <f t="shared" si="28"/>
        <v>0</v>
      </c>
      <c r="H54" s="15">
        <f t="shared" si="28"/>
        <v>0</v>
      </c>
      <c r="I54" s="15">
        <f t="shared" si="28"/>
        <v>0</v>
      </c>
      <c r="J54" s="15">
        <f t="shared" si="28"/>
        <v>0</v>
      </c>
      <c r="K54" s="15">
        <f t="shared" si="28"/>
        <v>0</v>
      </c>
      <c r="L54" s="15">
        <f t="shared" si="28"/>
        <v>0</v>
      </c>
      <c r="M54" s="15">
        <f t="shared" si="28"/>
        <v>0</v>
      </c>
      <c r="N54" s="15">
        <f t="shared" si="28"/>
        <v>0</v>
      </c>
      <c r="O54" s="15">
        <f t="shared" si="28"/>
        <v>0</v>
      </c>
      <c r="P54" s="15">
        <f t="shared" si="28"/>
        <v>0</v>
      </c>
      <c r="Q54" s="15">
        <f t="shared" si="28"/>
        <v>0</v>
      </c>
      <c r="R54" s="15">
        <f t="shared" si="28"/>
        <v>0</v>
      </c>
      <c r="S54" s="15">
        <f t="shared" si="28"/>
        <v>0</v>
      </c>
      <c r="T54" s="15">
        <f t="shared" si="28"/>
        <v>0</v>
      </c>
      <c r="U54" s="15">
        <f t="shared" si="28"/>
        <v>0</v>
      </c>
      <c r="V54" s="15">
        <f t="shared" si="28"/>
        <v>0</v>
      </c>
      <c r="W54" s="15">
        <f t="shared" si="28"/>
        <v>0</v>
      </c>
      <c r="X54" s="15">
        <f t="shared" si="28"/>
        <v>0</v>
      </c>
      <c r="Y54" s="15">
        <f t="shared" si="28"/>
        <v>0</v>
      </c>
      <c r="Z54" s="15">
        <f t="shared" si="28"/>
        <v>0</v>
      </c>
      <c r="AA54" s="15">
        <f t="shared" si="28"/>
        <v>0</v>
      </c>
      <c r="AB54" s="15">
        <f t="shared" ref="AB54:AM56" si="29">SUM(AB55:AB56)</f>
        <v>0</v>
      </c>
      <c r="AC54" s="15">
        <f t="shared" si="29"/>
        <v>0</v>
      </c>
      <c r="AD54" s="15">
        <f t="shared" si="29"/>
        <v>0</v>
      </c>
      <c r="AE54" s="15">
        <f t="shared" si="29"/>
        <v>0</v>
      </c>
      <c r="AF54" s="15">
        <f t="shared" si="29"/>
        <v>0</v>
      </c>
      <c r="AG54" s="15">
        <f t="shared" si="29"/>
        <v>0</v>
      </c>
      <c r="AH54" s="15">
        <f t="shared" si="29"/>
        <v>0</v>
      </c>
      <c r="AI54" s="15">
        <f t="shared" si="29"/>
        <v>0</v>
      </c>
      <c r="AJ54" s="15">
        <f t="shared" si="29"/>
        <v>0</v>
      </c>
      <c r="AK54" s="15">
        <f t="shared" si="29"/>
        <v>0</v>
      </c>
      <c r="AL54" s="15">
        <f t="shared" si="29"/>
        <v>0</v>
      </c>
      <c r="AM54" s="15">
        <f t="shared" si="29"/>
        <v>0</v>
      </c>
    </row>
    <row r="55" spans="1:39">
      <c r="A55" s="633">
        <v>53</v>
      </c>
      <c r="B55" s="619" t="s">
        <v>307</v>
      </c>
      <c r="C55" t="s">
        <v>518</v>
      </c>
      <c r="D55" s="15">
        <f>'[1]Tinh hinh tai chinh'!AN56</f>
        <v>0</v>
      </c>
      <c r="E55" s="15">
        <f>'[1]Tinh hinh tai chinh'!AO56</f>
        <v>0</v>
      </c>
      <c r="F55" s="15">
        <f>'[1]Tinh hinh tai chinh'!AP56</f>
        <v>0</v>
      </c>
      <c r="G55" s="15">
        <f>'[1]Tinh hinh tai chinh'!AQ56</f>
        <v>0</v>
      </c>
      <c r="H55" s="15">
        <f>'[1]Tinh hinh tai chinh'!AR56</f>
        <v>0</v>
      </c>
      <c r="I55" s="15">
        <f>'[1]Tinh hinh tai chinh'!AS56</f>
        <v>0</v>
      </c>
      <c r="J55" s="15">
        <f>'[1]Tinh hinh tai chinh'!AT56</f>
        <v>0</v>
      </c>
      <c r="K55" s="15">
        <f>'[1]Tinh hinh tai chinh'!AU56</f>
        <v>0</v>
      </c>
      <c r="L55" s="15">
        <f>'[1]Tinh hinh tai chinh'!AV56</f>
        <v>0</v>
      </c>
      <c r="M55" s="15">
        <f>'[1]Tinh hinh tai chinh'!AW56</f>
        <v>0</v>
      </c>
      <c r="N55" s="15">
        <f>'[1]Tinh hinh tai chinh'!AX56</f>
        <v>0</v>
      </c>
      <c r="O55" s="15">
        <f>'[1]Tinh hinh tai chinh'!AY56</f>
        <v>0</v>
      </c>
      <c r="P55" s="15">
        <f>'[1]Tinh hinh tai chinh'!AZ56</f>
        <v>0</v>
      </c>
      <c r="Q55" s="15">
        <f>'[1]Tinh hinh tai chinh'!BA56</f>
        <v>0</v>
      </c>
      <c r="R55" s="15">
        <f>'[1]Tinh hinh tai chinh'!BB56</f>
        <v>0</v>
      </c>
      <c r="S55" s="15">
        <f>'[1]Tinh hinh tai chinh'!BC56</f>
        <v>0</v>
      </c>
      <c r="T55" s="15">
        <f>'[1]Tinh hinh tai chinh'!BD56</f>
        <v>0</v>
      </c>
      <c r="U55" s="15">
        <f>'[1]Tinh hinh tai chinh'!BE56</f>
        <v>0</v>
      </c>
      <c r="V55" s="15">
        <f>'[1]Tinh hinh tai chinh'!BF56</f>
        <v>0</v>
      </c>
      <c r="W55" s="15">
        <f>'[1]Tinh hinh tai chinh'!BG56</f>
        <v>0</v>
      </c>
      <c r="X55" s="15">
        <f>'[1]Tinh hinh tai chinh'!BH56</f>
        <v>0</v>
      </c>
      <c r="Y55" s="15">
        <f>'[1]Tinh hinh tai chinh'!BI56</f>
        <v>0</v>
      </c>
      <c r="Z55" s="15">
        <f>'[1]Tinh hinh tai chinh'!BJ56</f>
        <v>0</v>
      </c>
      <c r="AA55" s="15">
        <f>'[1]Tinh hinh tai chinh'!BK56</f>
        <v>0</v>
      </c>
      <c r="AB55" s="15">
        <f>'Consol BS-DTRG'!D56</f>
        <v>0</v>
      </c>
      <c r="AC55" s="15">
        <f>'Consol BS-DTRG'!E56</f>
        <v>0</v>
      </c>
      <c r="AD55" s="15">
        <f>'Consol BS-DTRG'!F56</f>
        <v>0</v>
      </c>
      <c r="AE55" s="15">
        <f>'Consol BS-DTRG'!G56</f>
        <v>0</v>
      </c>
      <c r="AF55" s="15">
        <f>'Consol BS-DTRG'!H56</f>
        <v>0</v>
      </c>
      <c r="AG55" s="15">
        <f>'Consol BS-DTRG'!I56</f>
        <v>0</v>
      </c>
      <c r="AH55" s="15">
        <f>'Consol BS-DTRG'!J56</f>
        <v>0</v>
      </c>
      <c r="AI55" s="15">
        <f>'Consol BS-DTRG'!K56</f>
        <v>0</v>
      </c>
      <c r="AJ55" s="15">
        <f>'Consol BS-DTRG'!L56</f>
        <v>0</v>
      </c>
      <c r="AK55" s="15">
        <f>'Consol BS-DTRG'!M56</f>
        <v>0</v>
      </c>
      <c r="AL55" s="15">
        <f>'Consol BS-DTRG'!N56</f>
        <v>0</v>
      </c>
      <c r="AM55" s="15">
        <f>'Consol BS-DTRG'!O56</f>
        <v>0</v>
      </c>
    </row>
    <row r="56" spans="1:39">
      <c r="A56" s="633">
        <v>54</v>
      </c>
      <c r="B56" s="619" t="s">
        <v>308</v>
      </c>
      <c r="D56" s="15">
        <f t="shared" ref="D56:AA56" si="30">SUM(D57:D58)</f>
        <v>0</v>
      </c>
      <c r="E56" s="15">
        <f t="shared" si="30"/>
        <v>0</v>
      </c>
      <c r="F56" s="15">
        <f t="shared" si="30"/>
        <v>0</v>
      </c>
      <c r="G56" s="15">
        <f t="shared" si="30"/>
        <v>0</v>
      </c>
      <c r="H56" s="15">
        <f t="shared" si="30"/>
        <v>0</v>
      </c>
      <c r="I56" s="15">
        <f t="shared" si="30"/>
        <v>0</v>
      </c>
      <c r="J56" s="15">
        <f t="shared" si="30"/>
        <v>0</v>
      </c>
      <c r="K56" s="15">
        <f t="shared" si="30"/>
        <v>0</v>
      </c>
      <c r="L56" s="15">
        <f t="shared" si="30"/>
        <v>0</v>
      </c>
      <c r="M56" s="15">
        <f t="shared" si="30"/>
        <v>0</v>
      </c>
      <c r="N56" s="15">
        <f t="shared" si="30"/>
        <v>0</v>
      </c>
      <c r="O56" s="15">
        <f t="shared" si="30"/>
        <v>0</v>
      </c>
      <c r="P56" s="15">
        <f t="shared" si="30"/>
        <v>0</v>
      </c>
      <c r="Q56" s="15">
        <f t="shared" si="30"/>
        <v>0</v>
      </c>
      <c r="R56" s="15">
        <f t="shared" si="30"/>
        <v>0</v>
      </c>
      <c r="S56" s="15">
        <f t="shared" si="30"/>
        <v>0</v>
      </c>
      <c r="T56" s="15">
        <f t="shared" si="30"/>
        <v>0</v>
      </c>
      <c r="U56" s="15">
        <f t="shared" si="30"/>
        <v>0</v>
      </c>
      <c r="V56" s="15">
        <f t="shared" si="30"/>
        <v>0</v>
      </c>
      <c r="W56" s="15">
        <f t="shared" si="30"/>
        <v>0</v>
      </c>
      <c r="X56" s="15">
        <f t="shared" si="30"/>
        <v>0</v>
      </c>
      <c r="Y56" s="15">
        <f t="shared" si="30"/>
        <v>0</v>
      </c>
      <c r="Z56" s="15">
        <f t="shared" si="30"/>
        <v>0</v>
      </c>
      <c r="AA56" s="15">
        <f t="shared" si="30"/>
        <v>0</v>
      </c>
      <c r="AB56" s="15">
        <f t="shared" si="29"/>
        <v>0</v>
      </c>
      <c r="AC56" s="15">
        <f t="shared" si="29"/>
        <v>0</v>
      </c>
      <c r="AD56" s="15">
        <f t="shared" si="29"/>
        <v>0</v>
      </c>
      <c r="AE56" s="15">
        <f t="shared" si="29"/>
        <v>0</v>
      </c>
      <c r="AF56" s="15">
        <f t="shared" si="29"/>
        <v>0</v>
      </c>
      <c r="AG56" s="15">
        <f t="shared" si="29"/>
        <v>0</v>
      </c>
      <c r="AH56" s="15">
        <f t="shared" si="29"/>
        <v>0</v>
      </c>
      <c r="AI56" s="15">
        <f t="shared" si="29"/>
        <v>0</v>
      </c>
      <c r="AJ56" s="15">
        <f t="shared" si="29"/>
        <v>0</v>
      </c>
      <c r="AK56" s="15">
        <f t="shared" si="29"/>
        <v>0</v>
      </c>
      <c r="AL56" s="15">
        <f t="shared" si="29"/>
        <v>0</v>
      </c>
      <c r="AM56" s="15">
        <f t="shared" si="29"/>
        <v>0</v>
      </c>
    </row>
    <row r="57" spans="1:39">
      <c r="A57" s="633">
        <v>55</v>
      </c>
      <c r="B57" s="621" t="s">
        <v>224</v>
      </c>
      <c r="C57" t="s">
        <v>518</v>
      </c>
      <c r="D57" s="15">
        <f>'[1]Tinh hinh tai chinh'!AN58</f>
        <v>0</v>
      </c>
      <c r="E57" s="15">
        <f>'[1]Tinh hinh tai chinh'!AO58</f>
        <v>0</v>
      </c>
      <c r="F57" s="15">
        <f>'[1]Tinh hinh tai chinh'!AP58</f>
        <v>0</v>
      </c>
      <c r="G57" s="15">
        <f>'[1]Tinh hinh tai chinh'!AQ58</f>
        <v>0</v>
      </c>
      <c r="H57" s="15">
        <f>'[1]Tinh hinh tai chinh'!AR58</f>
        <v>0</v>
      </c>
      <c r="I57" s="15">
        <f>'[1]Tinh hinh tai chinh'!AS58</f>
        <v>0</v>
      </c>
      <c r="J57" s="15">
        <f>'[1]Tinh hinh tai chinh'!AT58</f>
        <v>0</v>
      </c>
      <c r="K57" s="15">
        <f>'[1]Tinh hinh tai chinh'!AU58</f>
        <v>0</v>
      </c>
      <c r="L57" s="15">
        <f>'[1]Tinh hinh tai chinh'!AV58</f>
        <v>0</v>
      </c>
      <c r="M57" s="15">
        <f>'[1]Tinh hinh tai chinh'!AW58</f>
        <v>0</v>
      </c>
      <c r="N57" s="15">
        <f>'[1]Tinh hinh tai chinh'!AX58</f>
        <v>0</v>
      </c>
      <c r="O57" s="15">
        <f>'[1]Tinh hinh tai chinh'!AY58</f>
        <v>0</v>
      </c>
      <c r="P57" s="15">
        <f>'[1]Tinh hinh tai chinh'!AZ58</f>
        <v>0</v>
      </c>
      <c r="Q57" s="15">
        <f>'[1]Tinh hinh tai chinh'!BA58</f>
        <v>0</v>
      </c>
      <c r="R57" s="15">
        <f>'[1]Tinh hinh tai chinh'!BB58</f>
        <v>0</v>
      </c>
      <c r="S57" s="15">
        <f>'[1]Tinh hinh tai chinh'!BC58</f>
        <v>0</v>
      </c>
      <c r="T57" s="15">
        <f>'[1]Tinh hinh tai chinh'!BD58</f>
        <v>0</v>
      </c>
      <c r="U57" s="15">
        <f>'[1]Tinh hinh tai chinh'!BE58</f>
        <v>0</v>
      </c>
      <c r="V57" s="15">
        <f>'[1]Tinh hinh tai chinh'!BF58</f>
        <v>0</v>
      </c>
      <c r="W57" s="15">
        <f>'[1]Tinh hinh tai chinh'!BG58</f>
        <v>0</v>
      </c>
      <c r="X57" s="15">
        <f>'[1]Tinh hinh tai chinh'!BH58</f>
        <v>0</v>
      </c>
      <c r="Y57" s="15">
        <f>'[1]Tinh hinh tai chinh'!BI58</f>
        <v>0</v>
      </c>
      <c r="Z57" s="15">
        <f>'[1]Tinh hinh tai chinh'!BJ58</f>
        <v>0</v>
      </c>
      <c r="AA57" s="15">
        <f>'[1]Tinh hinh tai chinh'!BK58</f>
        <v>0</v>
      </c>
      <c r="AB57" s="15">
        <f>'Consol BS-DTRG'!D58</f>
        <v>0</v>
      </c>
      <c r="AC57" s="15">
        <f>'Consol BS-DTRG'!E58</f>
        <v>0</v>
      </c>
      <c r="AD57" s="15">
        <f>'Consol BS-DTRG'!F58</f>
        <v>0</v>
      </c>
      <c r="AE57" s="15">
        <f>'Consol BS-DTRG'!G58</f>
        <v>0</v>
      </c>
      <c r="AF57" s="15">
        <f>'Consol BS-DTRG'!H58</f>
        <v>0</v>
      </c>
      <c r="AG57" s="15">
        <f>'Consol BS-DTRG'!I58</f>
        <v>0</v>
      </c>
      <c r="AH57" s="15">
        <f>'Consol BS-DTRG'!J58</f>
        <v>0</v>
      </c>
      <c r="AI57" s="15">
        <f>'Consol BS-DTRG'!K58</f>
        <v>0</v>
      </c>
      <c r="AJ57" s="15">
        <f>'Consol BS-DTRG'!L58</f>
        <v>0</v>
      </c>
      <c r="AK57" s="15">
        <f>'Consol BS-DTRG'!M58</f>
        <v>0</v>
      </c>
      <c r="AL57" s="15">
        <f>'Consol BS-DTRG'!N58</f>
        <v>0</v>
      </c>
      <c r="AM57" s="15">
        <f>'Consol BS-DTRG'!O58</f>
        <v>0</v>
      </c>
    </row>
    <row r="58" spans="1:39">
      <c r="A58" s="633">
        <v>56</v>
      </c>
      <c r="B58" s="621" t="s">
        <v>309</v>
      </c>
      <c r="C58" t="s">
        <v>518</v>
      </c>
      <c r="D58" s="15">
        <f>'[1]Tinh hinh tai chinh'!AN59</f>
        <v>0</v>
      </c>
      <c r="E58" s="15">
        <f>'[1]Tinh hinh tai chinh'!AO59</f>
        <v>0</v>
      </c>
      <c r="F58" s="15">
        <f>'[1]Tinh hinh tai chinh'!AP59</f>
        <v>0</v>
      </c>
      <c r="G58" s="15">
        <f>'[1]Tinh hinh tai chinh'!AQ59</f>
        <v>0</v>
      </c>
      <c r="H58" s="15">
        <f>'[1]Tinh hinh tai chinh'!AR59</f>
        <v>0</v>
      </c>
      <c r="I58" s="15">
        <f>'[1]Tinh hinh tai chinh'!AS59</f>
        <v>0</v>
      </c>
      <c r="J58" s="15">
        <f>'[1]Tinh hinh tai chinh'!AT59</f>
        <v>0</v>
      </c>
      <c r="K58" s="15">
        <f>'[1]Tinh hinh tai chinh'!AU59</f>
        <v>0</v>
      </c>
      <c r="L58" s="15">
        <f>'[1]Tinh hinh tai chinh'!AV59</f>
        <v>0</v>
      </c>
      <c r="M58" s="15">
        <f>'[1]Tinh hinh tai chinh'!AW59</f>
        <v>0</v>
      </c>
      <c r="N58" s="15">
        <f>'[1]Tinh hinh tai chinh'!AX59</f>
        <v>0</v>
      </c>
      <c r="O58" s="15">
        <f>'[1]Tinh hinh tai chinh'!AY59</f>
        <v>0</v>
      </c>
      <c r="P58" s="15">
        <f>'[1]Tinh hinh tai chinh'!AZ59</f>
        <v>0</v>
      </c>
      <c r="Q58" s="15">
        <f>'[1]Tinh hinh tai chinh'!BA59</f>
        <v>0</v>
      </c>
      <c r="R58" s="15">
        <f>'[1]Tinh hinh tai chinh'!BB59</f>
        <v>0</v>
      </c>
      <c r="S58" s="15">
        <f>'[1]Tinh hinh tai chinh'!BC59</f>
        <v>0</v>
      </c>
      <c r="T58" s="15">
        <f>'[1]Tinh hinh tai chinh'!BD59</f>
        <v>0</v>
      </c>
      <c r="U58" s="15">
        <f>'[1]Tinh hinh tai chinh'!BE59</f>
        <v>0</v>
      </c>
      <c r="V58" s="15">
        <f>'[1]Tinh hinh tai chinh'!BF59</f>
        <v>0</v>
      </c>
      <c r="W58" s="15">
        <f>'[1]Tinh hinh tai chinh'!BG59</f>
        <v>0</v>
      </c>
      <c r="X58" s="15">
        <f>'[1]Tinh hinh tai chinh'!BH59</f>
        <v>0</v>
      </c>
      <c r="Y58" s="15">
        <f>'[1]Tinh hinh tai chinh'!BI59</f>
        <v>0</v>
      </c>
      <c r="Z58" s="15">
        <f>'[1]Tinh hinh tai chinh'!BJ59</f>
        <v>0</v>
      </c>
      <c r="AA58" s="15">
        <f>'[1]Tinh hinh tai chinh'!BK59</f>
        <v>0</v>
      </c>
      <c r="AB58" s="15">
        <f>'Consol BS-DTRG'!D59</f>
        <v>0</v>
      </c>
      <c r="AC58" s="15">
        <f>'Consol BS-DTRG'!E59</f>
        <v>0</v>
      </c>
      <c r="AD58" s="15">
        <f>'Consol BS-DTRG'!F59</f>
        <v>0</v>
      </c>
      <c r="AE58" s="15">
        <f>'Consol BS-DTRG'!G59</f>
        <v>0</v>
      </c>
      <c r="AF58" s="15">
        <f>'Consol BS-DTRG'!H59</f>
        <v>0</v>
      </c>
      <c r="AG58" s="15">
        <f>'Consol BS-DTRG'!I59</f>
        <v>0</v>
      </c>
      <c r="AH58" s="15">
        <f>'Consol BS-DTRG'!J59</f>
        <v>0</v>
      </c>
      <c r="AI58" s="15">
        <f>'Consol BS-DTRG'!K59</f>
        <v>0</v>
      </c>
      <c r="AJ58" s="15">
        <f>'Consol BS-DTRG'!L59</f>
        <v>0</v>
      </c>
      <c r="AK58" s="15">
        <f>'Consol BS-DTRG'!M59</f>
        <v>0</v>
      </c>
      <c r="AL58" s="15">
        <f>'Consol BS-DTRG'!N59</f>
        <v>0</v>
      </c>
      <c r="AM58" s="15">
        <f>'Consol BS-DTRG'!O59</f>
        <v>0</v>
      </c>
    </row>
    <row r="59" spans="1:39">
      <c r="A59" s="633">
        <v>57</v>
      </c>
      <c r="B59" s="620" t="s">
        <v>310</v>
      </c>
      <c r="C59" t="s">
        <v>518</v>
      </c>
      <c r="D59" s="15">
        <f>'[1]Tinh hinh tai chinh'!AN60</f>
        <v>0</v>
      </c>
      <c r="E59" s="15">
        <f>'[1]Tinh hinh tai chinh'!AO60</f>
        <v>0</v>
      </c>
      <c r="F59" s="15">
        <f>'[1]Tinh hinh tai chinh'!AP60</f>
        <v>0</v>
      </c>
      <c r="G59" s="15">
        <f>'[1]Tinh hinh tai chinh'!AQ60</f>
        <v>0</v>
      </c>
      <c r="H59" s="15">
        <f>'[1]Tinh hinh tai chinh'!AR60</f>
        <v>0</v>
      </c>
      <c r="I59" s="15">
        <f>'[1]Tinh hinh tai chinh'!AS60</f>
        <v>0</v>
      </c>
      <c r="J59" s="15">
        <f>'[1]Tinh hinh tai chinh'!AT60</f>
        <v>0</v>
      </c>
      <c r="K59" s="15">
        <f>'[1]Tinh hinh tai chinh'!AU60</f>
        <v>0</v>
      </c>
      <c r="L59" s="15">
        <f>'[1]Tinh hinh tai chinh'!AV60</f>
        <v>0</v>
      </c>
      <c r="M59" s="15">
        <f>'[1]Tinh hinh tai chinh'!AW60</f>
        <v>0</v>
      </c>
      <c r="N59" s="15">
        <f>'[1]Tinh hinh tai chinh'!AX60</f>
        <v>0</v>
      </c>
      <c r="O59" s="15">
        <f>'[1]Tinh hinh tai chinh'!AY60</f>
        <v>0</v>
      </c>
      <c r="P59" s="15">
        <f>'[1]Tinh hinh tai chinh'!AZ60</f>
        <v>0</v>
      </c>
      <c r="Q59" s="15">
        <f>'[1]Tinh hinh tai chinh'!BA60</f>
        <v>0</v>
      </c>
      <c r="R59" s="15">
        <f>'[1]Tinh hinh tai chinh'!BB60</f>
        <v>0</v>
      </c>
      <c r="S59" s="15">
        <f>'[1]Tinh hinh tai chinh'!BC60</f>
        <v>0</v>
      </c>
      <c r="T59" s="15">
        <f>'[1]Tinh hinh tai chinh'!BD60</f>
        <v>0</v>
      </c>
      <c r="U59" s="15">
        <f>'[1]Tinh hinh tai chinh'!BE60</f>
        <v>0</v>
      </c>
      <c r="V59" s="15">
        <f>'[1]Tinh hinh tai chinh'!BF60</f>
        <v>0</v>
      </c>
      <c r="W59" s="15">
        <f>'[1]Tinh hinh tai chinh'!BG60</f>
        <v>0</v>
      </c>
      <c r="X59" s="15">
        <f>'[1]Tinh hinh tai chinh'!BH60</f>
        <v>0</v>
      </c>
      <c r="Y59" s="15">
        <f>'[1]Tinh hinh tai chinh'!BI60</f>
        <v>0</v>
      </c>
      <c r="Z59" s="15">
        <f>'[1]Tinh hinh tai chinh'!BJ60</f>
        <v>0</v>
      </c>
      <c r="AA59" s="15">
        <f>'[1]Tinh hinh tai chinh'!BK60</f>
        <v>0</v>
      </c>
      <c r="AB59" s="15">
        <f>'Consol BS-DTRG'!D60</f>
        <v>0</v>
      </c>
      <c r="AC59" s="15">
        <f>'Consol BS-DTRG'!E60</f>
        <v>0</v>
      </c>
      <c r="AD59" s="15">
        <f>'Consol BS-DTRG'!F60</f>
        <v>0</v>
      </c>
      <c r="AE59" s="15">
        <f>'Consol BS-DTRG'!G60</f>
        <v>0</v>
      </c>
      <c r="AF59" s="15">
        <f>'Consol BS-DTRG'!H60</f>
        <v>0</v>
      </c>
      <c r="AG59" s="15">
        <f>'Consol BS-DTRG'!I60</f>
        <v>0</v>
      </c>
      <c r="AH59" s="15">
        <f>'Consol BS-DTRG'!J60</f>
        <v>0</v>
      </c>
      <c r="AI59" s="15">
        <f>'Consol BS-DTRG'!K60</f>
        <v>0</v>
      </c>
      <c r="AJ59" s="15">
        <f>'Consol BS-DTRG'!L60</f>
        <v>0</v>
      </c>
      <c r="AK59" s="15">
        <f>'Consol BS-DTRG'!M60</f>
        <v>0</v>
      </c>
      <c r="AL59" s="15">
        <f>'Consol BS-DTRG'!N60</f>
        <v>0</v>
      </c>
      <c r="AM59" s="15">
        <f>'Consol BS-DTRG'!O60</f>
        <v>0</v>
      </c>
    </row>
    <row r="60" spans="1:39">
      <c r="A60" s="633">
        <v>58</v>
      </c>
      <c r="B60" s="620" t="s">
        <v>311</v>
      </c>
      <c r="C60" t="s">
        <v>518</v>
      </c>
      <c r="D60" s="15">
        <f>'[1]Tinh hinh tai chinh'!AN61</f>
        <v>0</v>
      </c>
      <c r="E60" s="15">
        <f>'[1]Tinh hinh tai chinh'!AO61</f>
        <v>0</v>
      </c>
      <c r="F60" s="15">
        <f>'[1]Tinh hinh tai chinh'!AP61</f>
        <v>0</v>
      </c>
      <c r="G60" s="15">
        <f>'[1]Tinh hinh tai chinh'!AQ61</f>
        <v>0</v>
      </c>
      <c r="H60" s="15">
        <f>'[1]Tinh hinh tai chinh'!AR61</f>
        <v>0</v>
      </c>
      <c r="I60" s="15">
        <f>'[1]Tinh hinh tai chinh'!AS61</f>
        <v>0</v>
      </c>
      <c r="J60" s="15">
        <f>'[1]Tinh hinh tai chinh'!AT61</f>
        <v>0</v>
      </c>
      <c r="K60" s="15">
        <f>'[1]Tinh hinh tai chinh'!AU61</f>
        <v>0</v>
      </c>
      <c r="L60" s="15">
        <f>'[1]Tinh hinh tai chinh'!AV61</f>
        <v>0</v>
      </c>
      <c r="M60" s="15">
        <f>'[1]Tinh hinh tai chinh'!AW61</f>
        <v>0</v>
      </c>
      <c r="N60" s="15">
        <f>'[1]Tinh hinh tai chinh'!AX61</f>
        <v>0</v>
      </c>
      <c r="O60" s="15">
        <f>'[1]Tinh hinh tai chinh'!AY61</f>
        <v>0</v>
      </c>
      <c r="P60" s="15">
        <f>'[1]Tinh hinh tai chinh'!AZ61</f>
        <v>0</v>
      </c>
      <c r="Q60" s="15">
        <f>'[1]Tinh hinh tai chinh'!BA61</f>
        <v>0</v>
      </c>
      <c r="R60" s="15">
        <f>'[1]Tinh hinh tai chinh'!BB61</f>
        <v>0</v>
      </c>
      <c r="S60" s="15">
        <f>'[1]Tinh hinh tai chinh'!BC61</f>
        <v>0</v>
      </c>
      <c r="T60" s="15">
        <f>'[1]Tinh hinh tai chinh'!BD61</f>
        <v>0</v>
      </c>
      <c r="U60" s="15">
        <f>'[1]Tinh hinh tai chinh'!BE61</f>
        <v>0</v>
      </c>
      <c r="V60" s="15">
        <f>'[1]Tinh hinh tai chinh'!BF61</f>
        <v>0</v>
      </c>
      <c r="W60" s="15">
        <f>'[1]Tinh hinh tai chinh'!BG61</f>
        <v>0</v>
      </c>
      <c r="X60" s="15">
        <f>'[1]Tinh hinh tai chinh'!BH61</f>
        <v>0</v>
      </c>
      <c r="Y60" s="15">
        <f>'[1]Tinh hinh tai chinh'!BI61</f>
        <v>0</v>
      </c>
      <c r="Z60" s="15">
        <f>'[1]Tinh hinh tai chinh'!BJ61</f>
        <v>0</v>
      </c>
      <c r="AA60" s="15">
        <f>'[1]Tinh hinh tai chinh'!BK61</f>
        <v>0</v>
      </c>
      <c r="AB60" s="15">
        <f>'Consol BS-DTRG'!D61</f>
        <v>0</v>
      </c>
      <c r="AC60" s="15">
        <f>'Consol BS-DTRG'!E61</f>
        <v>0</v>
      </c>
      <c r="AD60" s="15">
        <f>'Consol BS-DTRG'!F61</f>
        <v>0</v>
      </c>
      <c r="AE60" s="15">
        <f>'Consol BS-DTRG'!G61</f>
        <v>0</v>
      </c>
      <c r="AF60" s="15">
        <f>'Consol BS-DTRG'!H61</f>
        <v>0</v>
      </c>
      <c r="AG60" s="15">
        <f>'Consol BS-DTRG'!I61</f>
        <v>0</v>
      </c>
      <c r="AH60" s="15">
        <f>'Consol BS-DTRG'!J61</f>
        <v>0</v>
      </c>
      <c r="AI60" s="15">
        <f>'Consol BS-DTRG'!K61</f>
        <v>0</v>
      </c>
      <c r="AJ60" s="15">
        <f>'Consol BS-DTRG'!L61</f>
        <v>0</v>
      </c>
      <c r="AK60" s="15">
        <f>'Consol BS-DTRG'!M61</f>
        <v>0</v>
      </c>
      <c r="AL60" s="15">
        <f>'Consol BS-DTRG'!N61</f>
        <v>0</v>
      </c>
      <c r="AM60" s="15">
        <f>'Consol BS-DTRG'!O61</f>
        <v>0</v>
      </c>
    </row>
    <row r="61" spans="1:39">
      <c r="A61" s="633">
        <v>59</v>
      </c>
      <c r="B61" s="620" t="s">
        <v>312</v>
      </c>
      <c r="C61" t="s">
        <v>518</v>
      </c>
      <c r="D61" s="15">
        <f>'[1]Tinh hinh tai chinh'!AN62</f>
        <v>0</v>
      </c>
      <c r="E61" s="15">
        <f>'[1]Tinh hinh tai chinh'!AO62</f>
        <v>0</v>
      </c>
      <c r="F61" s="15">
        <f>'[1]Tinh hinh tai chinh'!AP62</f>
        <v>0</v>
      </c>
      <c r="G61" s="15">
        <f>'[1]Tinh hinh tai chinh'!AQ62</f>
        <v>0</v>
      </c>
      <c r="H61" s="15">
        <f>'[1]Tinh hinh tai chinh'!AR62</f>
        <v>0</v>
      </c>
      <c r="I61" s="15">
        <f>'[1]Tinh hinh tai chinh'!AS62</f>
        <v>0</v>
      </c>
      <c r="J61" s="15">
        <f>'[1]Tinh hinh tai chinh'!AT62</f>
        <v>0</v>
      </c>
      <c r="K61" s="15">
        <f>'[1]Tinh hinh tai chinh'!AU62</f>
        <v>0</v>
      </c>
      <c r="L61" s="15">
        <f>'[1]Tinh hinh tai chinh'!AV62</f>
        <v>0</v>
      </c>
      <c r="M61" s="15">
        <f>'[1]Tinh hinh tai chinh'!AW62</f>
        <v>0</v>
      </c>
      <c r="N61" s="15">
        <f>'[1]Tinh hinh tai chinh'!AX62</f>
        <v>0</v>
      </c>
      <c r="O61" s="15">
        <f>'[1]Tinh hinh tai chinh'!AY62</f>
        <v>0</v>
      </c>
      <c r="P61" s="15">
        <f>'[1]Tinh hinh tai chinh'!AZ62</f>
        <v>0</v>
      </c>
      <c r="Q61" s="15">
        <f>'[1]Tinh hinh tai chinh'!BA62</f>
        <v>0</v>
      </c>
      <c r="R61" s="15">
        <f>'[1]Tinh hinh tai chinh'!BB62</f>
        <v>0</v>
      </c>
      <c r="S61" s="15">
        <f>'[1]Tinh hinh tai chinh'!BC62</f>
        <v>0</v>
      </c>
      <c r="T61" s="15">
        <f>'[1]Tinh hinh tai chinh'!BD62</f>
        <v>0</v>
      </c>
      <c r="U61" s="15">
        <f>'[1]Tinh hinh tai chinh'!BE62</f>
        <v>0</v>
      </c>
      <c r="V61" s="15">
        <f>'[1]Tinh hinh tai chinh'!BF62</f>
        <v>0</v>
      </c>
      <c r="W61" s="15">
        <f>'[1]Tinh hinh tai chinh'!BG62</f>
        <v>0</v>
      </c>
      <c r="X61" s="15">
        <f>'[1]Tinh hinh tai chinh'!BH62</f>
        <v>0</v>
      </c>
      <c r="Y61" s="15">
        <f>'[1]Tinh hinh tai chinh'!BI62</f>
        <v>0</v>
      </c>
      <c r="Z61" s="15">
        <f>'[1]Tinh hinh tai chinh'!BJ62</f>
        <v>0</v>
      </c>
      <c r="AA61" s="15">
        <f>'[1]Tinh hinh tai chinh'!BK62</f>
        <v>0</v>
      </c>
      <c r="AB61" s="15">
        <f>'Consol BS-DTRG'!D62</f>
        <v>0</v>
      </c>
      <c r="AC61" s="15">
        <f>'Consol BS-DTRG'!E62</f>
        <v>0</v>
      </c>
      <c r="AD61" s="15">
        <f>'Consol BS-DTRG'!F62</f>
        <v>0</v>
      </c>
      <c r="AE61" s="15">
        <f>'Consol BS-DTRG'!G62</f>
        <v>0</v>
      </c>
      <c r="AF61" s="15">
        <f>'Consol BS-DTRG'!H62</f>
        <v>0</v>
      </c>
      <c r="AG61" s="15">
        <f>'Consol BS-DTRG'!I62</f>
        <v>0</v>
      </c>
      <c r="AH61" s="15">
        <f>'Consol BS-DTRG'!J62</f>
        <v>0</v>
      </c>
      <c r="AI61" s="15">
        <f>'Consol BS-DTRG'!K62</f>
        <v>0</v>
      </c>
      <c r="AJ61" s="15">
        <f>'Consol BS-DTRG'!L62</f>
        <v>0</v>
      </c>
      <c r="AK61" s="15">
        <f>'Consol BS-DTRG'!M62</f>
        <v>0</v>
      </c>
      <c r="AL61" s="15">
        <f>'Consol BS-DTRG'!N62</f>
        <v>0</v>
      </c>
      <c r="AM61" s="15">
        <f>'Consol BS-DTRG'!O62</f>
        <v>0</v>
      </c>
    </row>
    <row r="62" spans="1:39">
      <c r="A62" s="1">
        <v>60</v>
      </c>
      <c r="B62" s="617" t="s">
        <v>313</v>
      </c>
      <c r="D62" s="16">
        <f t="shared" ref="D62:AA62" si="31">SUM(D63:D64)</f>
        <v>0</v>
      </c>
      <c r="E62" s="16">
        <f t="shared" si="31"/>
        <v>0</v>
      </c>
      <c r="F62" s="16">
        <f t="shared" si="31"/>
        <v>0</v>
      </c>
      <c r="G62" s="16">
        <f t="shared" si="31"/>
        <v>0</v>
      </c>
      <c r="H62" s="16">
        <f t="shared" si="31"/>
        <v>0</v>
      </c>
      <c r="I62" s="16">
        <f t="shared" si="31"/>
        <v>0</v>
      </c>
      <c r="J62" s="16">
        <f t="shared" si="31"/>
        <v>0</v>
      </c>
      <c r="K62" s="16">
        <f t="shared" si="31"/>
        <v>0</v>
      </c>
      <c r="L62" s="16">
        <f t="shared" si="31"/>
        <v>0</v>
      </c>
      <c r="M62" s="16">
        <f t="shared" si="31"/>
        <v>0</v>
      </c>
      <c r="N62" s="16">
        <f t="shared" si="31"/>
        <v>0</v>
      </c>
      <c r="O62" s="16">
        <f t="shared" si="31"/>
        <v>0</v>
      </c>
      <c r="P62" s="16">
        <f t="shared" si="31"/>
        <v>0</v>
      </c>
      <c r="Q62" s="16">
        <f t="shared" si="31"/>
        <v>0</v>
      </c>
      <c r="R62" s="16">
        <f t="shared" si="31"/>
        <v>0</v>
      </c>
      <c r="S62" s="16">
        <f t="shared" si="31"/>
        <v>0</v>
      </c>
      <c r="T62" s="16">
        <f t="shared" si="31"/>
        <v>0</v>
      </c>
      <c r="U62" s="16">
        <f t="shared" si="31"/>
        <v>0</v>
      </c>
      <c r="V62" s="16">
        <f t="shared" si="31"/>
        <v>0</v>
      </c>
      <c r="W62" s="16">
        <f t="shared" si="31"/>
        <v>0</v>
      </c>
      <c r="X62" s="16">
        <f t="shared" si="31"/>
        <v>0</v>
      </c>
      <c r="Y62" s="16">
        <f t="shared" si="31"/>
        <v>0</v>
      </c>
      <c r="Z62" s="16">
        <f t="shared" si="31"/>
        <v>0</v>
      </c>
      <c r="AA62" s="16">
        <f t="shared" si="31"/>
        <v>0</v>
      </c>
      <c r="AB62" s="16">
        <f t="shared" ref="AB62:AM65" si="32">SUM(AB63:AB64)</f>
        <v>0</v>
      </c>
      <c r="AC62" s="16">
        <f t="shared" si="32"/>
        <v>0</v>
      </c>
      <c r="AD62" s="16">
        <f t="shared" si="32"/>
        <v>0</v>
      </c>
      <c r="AE62" s="16">
        <f t="shared" si="32"/>
        <v>0</v>
      </c>
      <c r="AF62" s="16">
        <f t="shared" si="32"/>
        <v>0</v>
      </c>
      <c r="AG62" s="16">
        <f t="shared" si="32"/>
        <v>0</v>
      </c>
      <c r="AH62" s="16">
        <f t="shared" si="32"/>
        <v>0</v>
      </c>
      <c r="AI62" s="16">
        <f t="shared" si="32"/>
        <v>0</v>
      </c>
      <c r="AJ62" s="16">
        <f t="shared" si="32"/>
        <v>0</v>
      </c>
      <c r="AK62" s="16">
        <f t="shared" si="32"/>
        <v>0</v>
      </c>
      <c r="AL62" s="16">
        <f t="shared" si="32"/>
        <v>0</v>
      </c>
      <c r="AM62" s="16">
        <f t="shared" si="32"/>
        <v>0</v>
      </c>
    </row>
    <row r="63" spans="1:39">
      <c r="A63" s="633">
        <v>61</v>
      </c>
      <c r="B63" s="612" t="s">
        <v>314</v>
      </c>
      <c r="C63" t="s">
        <v>518</v>
      </c>
      <c r="D63" s="15">
        <f>'[1]Tinh hinh tai chinh'!AN64</f>
        <v>0</v>
      </c>
      <c r="E63" s="15">
        <f>'[1]Tinh hinh tai chinh'!AO64</f>
        <v>0</v>
      </c>
      <c r="F63" s="15">
        <f>'[1]Tinh hinh tai chinh'!AP64</f>
        <v>0</v>
      </c>
      <c r="G63" s="15">
        <f>'[1]Tinh hinh tai chinh'!AQ64</f>
        <v>0</v>
      </c>
      <c r="H63" s="15">
        <f>'[1]Tinh hinh tai chinh'!AR64</f>
        <v>0</v>
      </c>
      <c r="I63" s="15">
        <f>'[1]Tinh hinh tai chinh'!AS64</f>
        <v>0</v>
      </c>
      <c r="J63" s="15">
        <f>'[1]Tinh hinh tai chinh'!AT64</f>
        <v>0</v>
      </c>
      <c r="K63" s="15">
        <f>'[1]Tinh hinh tai chinh'!AU64</f>
        <v>0</v>
      </c>
      <c r="L63" s="15">
        <f>'[1]Tinh hinh tai chinh'!AV64</f>
        <v>0</v>
      </c>
      <c r="M63" s="15">
        <f>'[1]Tinh hinh tai chinh'!AW64</f>
        <v>0</v>
      </c>
      <c r="N63" s="15">
        <f>'[1]Tinh hinh tai chinh'!AX64</f>
        <v>0</v>
      </c>
      <c r="O63" s="15">
        <f>'[1]Tinh hinh tai chinh'!AY64</f>
        <v>0</v>
      </c>
      <c r="P63" s="15">
        <f>'[1]Tinh hinh tai chinh'!AZ64</f>
        <v>0</v>
      </c>
      <c r="Q63" s="15">
        <f>'[1]Tinh hinh tai chinh'!BA64</f>
        <v>0</v>
      </c>
      <c r="R63" s="15">
        <f>'[1]Tinh hinh tai chinh'!BB64</f>
        <v>0</v>
      </c>
      <c r="S63" s="15">
        <f>'[1]Tinh hinh tai chinh'!BC64</f>
        <v>0</v>
      </c>
      <c r="T63" s="15">
        <f>'[1]Tinh hinh tai chinh'!BD64</f>
        <v>0</v>
      </c>
      <c r="U63" s="15">
        <f>'[1]Tinh hinh tai chinh'!BE64</f>
        <v>0</v>
      </c>
      <c r="V63" s="15">
        <f>'[1]Tinh hinh tai chinh'!BF64</f>
        <v>0</v>
      </c>
      <c r="W63" s="15">
        <f>'[1]Tinh hinh tai chinh'!BG64</f>
        <v>0</v>
      </c>
      <c r="X63" s="15">
        <f>'[1]Tinh hinh tai chinh'!BH64</f>
        <v>0</v>
      </c>
      <c r="Y63" s="15">
        <f>'[1]Tinh hinh tai chinh'!BI64</f>
        <v>0</v>
      </c>
      <c r="Z63" s="15">
        <f>'[1]Tinh hinh tai chinh'!BJ64</f>
        <v>0</v>
      </c>
      <c r="AA63" s="15">
        <f>'[1]Tinh hinh tai chinh'!BK64</f>
        <v>0</v>
      </c>
      <c r="AB63" s="15">
        <f>'Consol BS-DTRG'!D64</f>
        <v>0</v>
      </c>
      <c r="AC63" s="15">
        <f>'Consol BS-DTRG'!E64</f>
        <v>0</v>
      </c>
      <c r="AD63" s="15">
        <f>'Consol BS-DTRG'!F64</f>
        <v>0</v>
      </c>
      <c r="AE63" s="15">
        <f>'Consol BS-DTRG'!G64</f>
        <v>0</v>
      </c>
      <c r="AF63" s="15">
        <f>'Consol BS-DTRG'!H64</f>
        <v>0</v>
      </c>
      <c r="AG63" s="15">
        <f>'Consol BS-DTRG'!I64</f>
        <v>0</v>
      </c>
      <c r="AH63" s="15">
        <f>'Consol BS-DTRG'!J64</f>
        <v>0</v>
      </c>
      <c r="AI63" s="15">
        <f>'Consol BS-DTRG'!K64</f>
        <v>0</v>
      </c>
      <c r="AJ63" s="15">
        <f>'Consol BS-DTRG'!L64</f>
        <v>0</v>
      </c>
      <c r="AK63" s="15">
        <f>'Consol BS-DTRG'!M64</f>
        <v>0</v>
      </c>
      <c r="AL63" s="15">
        <f>'Consol BS-DTRG'!N64</f>
        <v>0</v>
      </c>
      <c r="AM63" s="15">
        <f>'Consol BS-DTRG'!O64</f>
        <v>0</v>
      </c>
    </row>
    <row r="64" spans="1:39">
      <c r="A64" s="633">
        <v>62</v>
      </c>
      <c r="B64" s="612" t="s">
        <v>315</v>
      </c>
      <c r="C64" t="s">
        <v>518</v>
      </c>
      <c r="D64" s="15">
        <f>'[1]Tinh hinh tai chinh'!AN65</f>
        <v>0</v>
      </c>
      <c r="E64" s="15">
        <f>'[1]Tinh hinh tai chinh'!AO65</f>
        <v>0</v>
      </c>
      <c r="F64" s="15">
        <f>'[1]Tinh hinh tai chinh'!AP65</f>
        <v>0</v>
      </c>
      <c r="G64" s="15">
        <f>'[1]Tinh hinh tai chinh'!AQ65</f>
        <v>0</v>
      </c>
      <c r="H64" s="15">
        <f>'[1]Tinh hinh tai chinh'!AR65</f>
        <v>0</v>
      </c>
      <c r="I64" s="15">
        <f>'[1]Tinh hinh tai chinh'!AS65</f>
        <v>0</v>
      </c>
      <c r="J64" s="15">
        <f>'[1]Tinh hinh tai chinh'!AT65</f>
        <v>0</v>
      </c>
      <c r="K64" s="15">
        <f>'[1]Tinh hinh tai chinh'!AU65</f>
        <v>0</v>
      </c>
      <c r="L64" s="15">
        <f>'[1]Tinh hinh tai chinh'!AV65</f>
        <v>0</v>
      </c>
      <c r="M64" s="15">
        <f>'[1]Tinh hinh tai chinh'!AW65</f>
        <v>0</v>
      </c>
      <c r="N64" s="15">
        <f>'[1]Tinh hinh tai chinh'!AX65</f>
        <v>0</v>
      </c>
      <c r="O64" s="15">
        <f>'[1]Tinh hinh tai chinh'!AY65</f>
        <v>0</v>
      </c>
      <c r="P64" s="15">
        <f>'[1]Tinh hinh tai chinh'!AZ65</f>
        <v>0</v>
      </c>
      <c r="Q64" s="15">
        <f>'[1]Tinh hinh tai chinh'!BA65</f>
        <v>0</v>
      </c>
      <c r="R64" s="15">
        <f>'[1]Tinh hinh tai chinh'!BB65</f>
        <v>0</v>
      </c>
      <c r="S64" s="15">
        <f>'[1]Tinh hinh tai chinh'!BC65</f>
        <v>0</v>
      </c>
      <c r="T64" s="15">
        <f>'[1]Tinh hinh tai chinh'!BD65</f>
        <v>0</v>
      </c>
      <c r="U64" s="15">
        <f>'[1]Tinh hinh tai chinh'!BE65</f>
        <v>0</v>
      </c>
      <c r="V64" s="15">
        <f>'[1]Tinh hinh tai chinh'!BF65</f>
        <v>0</v>
      </c>
      <c r="W64" s="15">
        <f>'[1]Tinh hinh tai chinh'!BG65</f>
        <v>0</v>
      </c>
      <c r="X64" s="15">
        <f>'[1]Tinh hinh tai chinh'!BH65</f>
        <v>0</v>
      </c>
      <c r="Y64" s="15">
        <f>'[1]Tinh hinh tai chinh'!BI65</f>
        <v>0</v>
      </c>
      <c r="Z64" s="15">
        <f>'[1]Tinh hinh tai chinh'!BJ65</f>
        <v>0</v>
      </c>
      <c r="AA64" s="15">
        <f>'[1]Tinh hinh tai chinh'!BK65</f>
        <v>0</v>
      </c>
      <c r="AB64" s="15">
        <f>'Consol BS-DTRG'!D65</f>
        <v>0</v>
      </c>
      <c r="AC64" s="15">
        <f>'Consol BS-DTRG'!E65</f>
        <v>0</v>
      </c>
      <c r="AD64" s="15">
        <f>'Consol BS-DTRG'!F65</f>
        <v>0</v>
      </c>
      <c r="AE64" s="15">
        <f>'Consol BS-DTRG'!G65</f>
        <v>0</v>
      </c>
      <c r="AF64" s="15">
        <f>'Consol BS-DTRG'!H65</f>
        <v>0</v>
      </c>
      <c r="AG64" s="15">
        <f>'Consol BS-DTRG'!I65</f>
        <v>0</v>
      </c>
      <c r="AH64" s="15">
        <f>'Consol BS-DTRG'!J65</f>
        <v>0</v>
      </c>
      <c r="AI64" s="15">
        <f>'Consol BS-DTRG'!K65</f>
        <v>0</v>
      </c>
      <c r="AJ64" s="15">
        <f>'Consol BS-DTRG'!L65</f>
        <v>0</v>
      </c>
      <c r="AK64" s="15">
        <f>'Consol BS-DTRG'!M65</f>
        <v>0</v>
      </c>
      <c r="AL64" s="15">
        <f>'Consol BS-DTRG'!N65</f>
        <v>0</v>
      </c>
      <c r="AM64" s="15">
        <f>'Consol BS-DTRG'!O65</f>
        <v>0</v>
      </c>
    </row>
    <row r="65" spans="1:39">
      <c r="A65" s="1">
        <v>63</v>
      </c>
      <c r="B65" s="617" t="s">
        <v>316</v>
      </c>
      <c r="D65" s="14">
        <f t="shared" ref="D65:AA65" si="33">SUM(D66:D67)</f>
        <v>77329584118</v>
      </c>
      <c r="E65" s="14">
        <f t="shared" si="33"/>
        <v>77763600271</v>
      </c>
      <c r="F65" s="14">
        <f t="shared" si="33"/>
        <v>44952330241</v>
      </c>
      <c r="G65" s="14">
        <f t="shared" si="33"/>
        <v>41117545565</v>
      </c>
      <c r="H65" s="14">
        <f t="shared" si="33"/>
        <v>41598285505</v>
      </c>
      <c r="I65" s="14">
        <f t="shared" si="33"/>
        <v>45834019605</v>
      </c>
      <c r="J65" s="14">
        <f t="shared" si="33"/>
        <v>45620157237</v>
      </c>
      <c r="K65" s="14">
        <f t="shared" si="33"/>
        <v>43295611577</v>
      </c>
      <c r="L65" s="14">
        <f t="shared" si="33"/>
        <v>44563784234</v>
      </c>
      <c r="M65" s="14">
        <f t="shared" si="33"/>
        <v>44870745260</v>
      </c>
      <c r="N65" s="14">
        <f t="shared" si="33"/>
        <v>29903428024</v>
      </c>
      <c r="O65" s="14">
        <f t="shared" si="33"/>
        <v>38102315137</v>
      </c>
      <c r="P65" s="14">
        <f t="shared" si="33"/>
        <v>47351685312</v>
      </c>
      <c r="Q65" s="14">
        <f t="shared" si="33"/>
        <v>33270243294</v>
      </c>
      <c r="R65" s="14">
        <f t="shared" si="33"/>
        <v>28917153034</v>
      </c>
      <c r="S65" s="14">
        <f t="shared" si="33"/>
        <v>39983110298</v>
      </c>
      <c r="T65" s="14">
        <f t="shared" si="33"/>
        <v>48611974769</v>
      </c>
      <c r="U65" s="14">
        <f t="shared" si="33"/>
        <v>52991191597</v>
      </c>
      <c r="V65" s="14">
        <f t="shared" si="33"/>
        <v>54380932320</v>
      </c>
      <c r="W65" s="14">
        <f t="shared" si="33"/>
        <v>36472336589</v>
      </c>
      <c r="X65" s="14">
        <f t="shared" si="33"/>
        <v>46588311385</v>
      </c>
      <c r="Y65" s="14">
        <f t="shared" si="33"/>
        <v>59728156173</v>
      </c>
      <c r="Z65" s="14">
        <f t="shared" si="33"/>
        <v>55496100548</v>
      </c>
      <c r="AA65" s="14">
        <f t="shared" si="33"/>
        <v>64594176344</v>
      </c>
      <c r="AB65" s="14">
        <f t="shared" si="32"/>
        <v>0</v>
      </c>
      <c r="AC65" s="14">
        <f t="shared" si="32"/>
        <v>0</v>
      </c>
      <c r="AD65" s="14">
        <f t="shared" si="32"/>
        <v>0</v>
      </c>
      <c r="AE65" s="14">
        <f t="shared" si="32"/>
        <v>0</v>
      </c>
      <c r="AF65" s="14">
        <f t="shared" si="32"/>
        <v>0</v>
      </c>
      <c r="AG65" s="14">
        <f t="shared" si="32"/>
        <v>0</v>
      </c>
      <c r="AH65" s="14">
        <f t="shared" si="32"/>
        <v>0</v>
      </c>
      <c r="AI65" s="14">
        <f t="shared" si="32"/>
        <v>0</v>
      </c>
      <c r="AJ65" s="14">
        <f t="shared" si="32"/>
        <v>0</v>
      </c>
      <c r="AK65" s="14">
        <f t="shared" si="32"/>
        <v>0</v>
      </c>
      <c r="AL65" s="14">
        <f t="shared" si="32"/>
        <v>0</v>
      </c>
      <c r="AM65" s="14">
        <f t="shared" si="32"/>
        <v>0</v>
      </c>
    </row>
    <row r="66" spans="1:39">
      <c r="A66" s="633">
        <v>64</v>
      </c>
      <c r="B66" s="612" t="s">
        <v>317</v>
      </c>
      <c r="C66" t="s">
        <v>518</v>
      </c>
      <c r="D66" s="15">
        <f>'[1]Tinh hinh tai chinh'!AN67</f>
        <v>419846709</v>
      </c>
      <c r="E66" s="15">
        <f>'[1]Tinh hinh tai chinh'!AO67</f>
        <v>408674531</v>
      </c>
      <c r="F66" s="15">
        <f>'[1]Tinh hinh tai chinh'!AP67</f>
        <v>403047661</v>
      </c>
      <c r="G66" s="15">
        <f>'[1]Tinh hinh tai chinh'!AQ67</f>
        <v>390879241</v>
      </c>
      <c r="H66" s="15">
        <f>'[1]Tinh hinh tai chinh'!AR67</f>
        <v>460263307</v>
      </c>
      <c r="I66" s="15">
        <f>'[1]Tinh hinh tai chinh'!AS67</f>
        <v>598268760</v>
      </c>
      <c r="J66" s="15">
        <f>'[1]Tinh hinh tai chinh'!AT67</f>
        <v>546898463</v>
      </c>
      <c r="K66" s="15">
        <f>'[1]Tinh hinh tai chinh'!AU67</f>
        <v>461756176</v>
      </c>
      <c r="L66" s="15">
        <f>'[1]Tinh hinh tai chinh'!AV67</f>
        <v>440940331</v>
      </c>
      <c r="M66" s="15">
        <f>'[1]Tinh hinh tai chinh'!AW67</f>
        <v>412338743</v>
      </c>
      <c r="N66" s="15">
        <f>'[1]Tinh hinh tai chinh'!AX67</f>
        <v>361348558</v>
      </c>
      <c r="O66" s="15">
        <f>'[1]Tinh hinh tai chinh'!AY67</f>
        <v>344917157</v>
      </c>
      <c r="P66" s="15">
        <f>'[1]Tinh hinh tai chinh'!AZ67</f>
        <v>0</v>
      </c>
      <c r="Q66" s="15">
        <f>'[1]Tinh hinh tai chinh'!BA67</f>
        <v>0</v>
      </c>
      <c r="R66" s="15">
        <f>'[1]Tinh hinh tai chinh'!BB67</f>
        <v>0</v>
      </c>
      <c r="S66" s="15">
        <f>'[1]Tinh hinh tai chinh'!BC67</f>
        <v>0</v>
      </c>
      <c r="T66" s="15">
        <f>'[1]Tinh hinh tai chinh'!BD67</f>
        <v>0</v>
      </c>
      <c r="U66" s="15">
        <f>'[1]Tinh hinh tai chinh'!BE67</f>
        <v>0</v>
      </c>
      <c r="V66" s="15">
        <f>'[1]Tinh hinh tai chinh'!BF67</f>
        <v>0</v>
      </c>
      <c r="W66" s="15">
        <f>'[1]Tinh hinh tai chinh'!BG67</f>
        <v>0</v>
      </c>
      <c r="X66" s="15">
        <f>'[1]Tinh hinh tai chinh'!BH67</f>
        <v>0</v>
      </c>
      <c r="Y66" s="15">
        <f>'[1]Tinh hinh tai chinh'!BI67</f>
        <v>0</v>
      </c>
      <c r="Z66" s="15">
        <f>'[1]Tinh hinh tai chinh'!BJ67</f>
        <v>10176000</v>
      </c>
      <c r="AA66" s="15">
        <f>'[1]Tinh hinh tai chinh'!BK67</f>
        <v>10176000</v>
      </c>
      <c r="AB66" s="15">
        <f>'Consol BS-DTRG'!D67</f>
        <v>0</v>
      </c>
      <c r="AC66" s="15">
        <f>'Consol BS-DTRG'!E67</f>
        <v>0</v>
      </c>
      <c r="AD66" s="15">
        <f>'Consol BS-DTRG'!F67</f>
        <v>0</v>
      </c>
      <c r="AE66" s="15">
        <f>'Consol BS-DTRG'!G67</f>
        <v>0</v>
      </c>
      <c r="AF66" s="15">
        <f>'Consol BS-DTRG'!H67</f>
        <v>0</v>
      </c>
      <c r="AG66" s="15">
        <f>'Consol BS-DTRG'!I67</f>
        <v>0</v>
      </c>
      <c r="AH66" s="15">
        <f>'Consol BS-DTRG'!J67</f>
        <v>0</v>
      </c>
      <c r="AI66" s="15">
        <f>'Consol BS-DTRG'!K67</f>
        <v>0</v>
      </c>
      <c r="AJ66" s="15">
        <f>'Consol BS-DTRG'!L67</f>
        <v>0</v>
      </c>
      <c r="AK66" s="15">
        <f>'Consol BS-DTRG'!M67</f>
        <v>0</v>
      </c>
      <c r="AL66" s="15">
        <f>'Consol BS-DTRG'!N67</f>
        <v>0</v>
      </c>
      <c r="AM66" s="15">
        <f>'Consol BS-DTRG'!O67</f>
        <v>0</v>
      </c>
    </row>
    <row r="67" spans="1:39">
      <c r="A67" s="633">
        <v>65</v>
      </c>
      <c r="B67" s="612" t="s">
        <v>318</v>
      </c>
      <c r="C67" t="s">
        <v>518</v>
      </c>
      <c r="D67" s="15">
        <f>'[1]Tinh hinh tai chinh'!AN68</f>
        <v>76909737409</v>
      </c>
      <c r="E67" s="15">
        <f>'[1]Tinh hinh tai chinh'!AO68</f>
        <v>77354925740</v>
      </c>
      <c r="F67" s="15">
        <f>'[1]Tinh hinh tai chinh'!AP68</f>
        <v>44549282580</v>
      </c>
      <c r="G67" s="15">
        <f>'[1]Tinh hinh tai chinh'!AQ68</f>
        <v>40726666324</v>
      </c>
      <c r="H67" s="15">
        <f>'[1]Tinh hinh tai chinh'!AR68</f>
        <v>41138022198</v>
      </c>
      <c r="I67" s="15">
        <f>'[1]Tinh hinh tai chinh'!AS68</f>
        <v>45235750845</v>
      </c>
      <c r="J67" s="15">
        <f>'[1]Tinh hinh tai chinh'!AT68</f>
        <v>45073258774</v>
      </c>
      <c r="K67" s="15">
        <f>'[1]Tinh hinh tai chinh'!AU68</f>
        <v>42833855401</v>
      </c>
      <c r="L67" s="15">
        <f>'[1]Tinh hinh tai chinh'!AV68</f>
        <v>44122843903</v>
      </c>
      <c r="M67" s="15">
        <f>'[1]Tinh hinh tai chinh'!AW68</f>
        <v>44458406517</v>
      </c>
      <c r="N67" s="15">
        <f>'[1]Tinh hinh tai chinh'!AX68</f>
        <v>29542079466</v>
      </c>
      <c r="O67" s="15">
        <f>'[1]Tinh hinh tai chinh'!AY68</f>
        <v>37757397980</v>
      </c>
      <c r="P67" s="15">
        <f>'[1]Tinh hinh tai chinh'!AZ68</f>
        <v>47351685312</v>
      </c>
      <c r="Q67" s="15">
        <f>'[1]Tinh hinh tai chinh'!BA68</f>
        <v>33270243294</v>
      </c>
      <c r="R67" s="15">
        <f>'[1]Tinh hinh tai chinh'!BB68</f>
        <v>28917153034</v>
      </c>
      <c r="S67" s="15">
        <f>'[1]Tinh hinh tai chinh'!BC68</f>
        <v>39983110298</v>
      </c>
      <c r="T67" s="15">
        <f>'[1]Tinh hinh tai chinh'!BD68</f>
        <v>48611974769</v>
      </c>
      <c r="U67" s="15">
        <f>'[1]Tinh hinh tai chinh'!BE68</f>
        <v>52991191597</v>
      </c>
      <c r="V67" s="15">
        <f>'[1]Tinh hinh tai chinh'!BF68</f>
        <v>54380932320</v>
      </c>
      <c r="W67" s="15">
        <f>'[1]Tinh hinh tai chinh'!BG68</f>
        <v>36472336589</v>
      </c>
      <c r="X67" s="15">
        <f>'[1]Tinh hinh tai chinh'!BH68</f>
        <v>46588311385</v>
      </c>
      <c r="Y67" s="15">
        <f>'[1]Tinh hinh tai chinh'!BI68</f>
        <v>59728156173</v>
      </c>
      <c r="Z67" s="15">
        <f>'[1]Tinh hinh tai chinh'!BJ68</f>
        <v>55485924548</v>
      </c>
      <c r="AA67" s="15">
        <f>'[1]Tinh hinh tai chinh'!BK68</f>
        <v>64584000344</v>
      </c>
      <c r="AB67" s="15">
        <f>'Consol BS-DTRG'!D68</f>
        <v>0</v>
      </c>
      <c r="AC67" s="15">
        <f>'Consol BS-DTRG'!E68</f>
        <v>0</v>
      </c>
      <c r="AD67" s="15">
        <f>'Consol BS-DTRG'!F68</f>
        <v>0</v>
      </c>
      <c r="AE67" s="15">
        <f>'Consol BS-DTRG'!G68</f>
        <v>0</v>
      </c>
      <c r="AF67" s="15">
        <f>'Consol BS-DTRG'!H68</f>
        <v>0</v>
      </c>
      <c r="AG67" s="15">
        <f>'Consol BS-DTRG'!I68</f>
        <v>0</v>
      </c>
      <c r="AH67" s="15">
        <f>'Consol BS-DTRG'!J68</f>
        <v>0</v>
      </c>
      <c r="AI67" s="15">
        <f>'Consol BS-DTRG'!K68</f>
        <v>0</v>
      </c>
      <c r="AJ67" s="15">
        <f>'Consol BS-DTRG'!L68</f>
        <v>0</v>
      </c>
      <c r="AK67" s="15">
        <f>'Consol BS-DTRG'!M68</f>
        <v>0</v>
      </c>
      <c r="AL67" s="15">
        <f>'Consol BS-DTRG'!N68</f>
        <v>0</v>
      </c>
      <c r="AM67" s="15">
        <f>'Consol BS-DTRG'!O68</f>
        <v>0</v>
      </c>
    </row>
    <row r="68" spans="1:39">
      <c r="A68" s="1">
        <v>66</v>
      </c>
      <c r="B68" s="622" t="s">
        <v>319</v>
      </c>
      <c r="D68" s="14">
        <f t="shared" ref="D68:AA68" si="34">SUM(D69:D74)</f>
        <v>0</v>
      </c>
      <c r="E68" s="14">
        <f t="shared" si="34"/>
        <v>0</v>
      </c>
      <c r="F68" s="14">
        <f t="shared" si="34"/>
        <v>0</v>
      </c>
      <c r="G68" s="14">
        <f t="shared" si="34"/>
        <v>0</v>
      </c>
      <c r="H68" s="14">
        <f t="shared" si="34"/>
        <v>0</v>
      </c>
      <c r="I68" s="14">
        <f t="shared" si="34"/>
        <v>0</v>
      </c>
      <c r="J68" s="14">
        <f t="shared" si="34"/>
        <v>0</v>
      </c>
      <c r="K68" s="14">
        <f t="shared" si="34"/>
        <v>0</v>
      </c>
      <c r="L68" s="14">
        <f t="shared" si="34"/>
        <v>0</v>
      </c>
      <c r="M68" s="14">
        <f t="shared" si="34"/>
        <v>0</v>
      </c>
      <c r="N68" s="14">
        <f t="shared" si="34"/>
        <v>0</v>
      </c>
      <c r="O68" s="14">
        <f t="shared" si="34"/>
        <v>0</v>
      </c>
      <c r="P68" s="14">
        <f t="shared" si="34"/>
        <v>0</v>
      </c>
      <c r="Q68" s="14">
        <f t="shared" si="34"/>
        <v>0</v>
      </c>
      <c r="R68" s="14">
        <f t="shared" si="34"/>
        <v>0</v>
      </c>
      <c r="S68" s="14">
        <f t="shared" si="34"/>
        <v>0</v>
      </c>
      <c r="T68" s="14">
        <f t="shared" si="34"/>
        <v>0</v>
      </c>
      <c r="U68" s="14">
        <f t="shared" si="34"/>
        <v>0</v>
      </c>
      <c r="V68" s="14">
        <f t="shared" si="34"/>
        <v>0</v>
      </c>
      <c r="W68" s="14">
        <f t="shared" si="34"/>
        <v>0</v>
      </c>
      <c r="X68" s="14">
        <f t="shared" si="34"/>
        <v>0</v>
      </c>
      <c r="Y68" s="14">
        <f t="shared" si="34"/>
        <v>0</v>
      </c>
      <c r="Z68" s="14">
        <f t="shared" si="34"/>
        <v>0</v>
      </c>
      <c r="AA68" s="14">
        <f t="shared" si="34"/>
        <v>0</v>
      </c>
      <c r="AB68" s="14">
        <f t="shared" ref="AB68:AM68" si="35">SUM(AB69:AB74)</f>
        <v>930823092</v>
      </c>
      <c r="AC68" s="14">
        <f t="shared" si="35"/>
        <v>930823092</v>
      </c>
      <c r="AD68" s="14">
        <f t="shared" si="35"/>
        <v>930823092</v>
      </c>
      <c r="AE68" s="14">
        <f t="shared" si="35"/>
        <v>930823092</v>
      </c>
      <c r="AF68" s="14">
        <f t="shared" si="35"/>
        <v>930823092</v>
      </c>
      <c r="AG68" s="14">
        <f t="shared" si="35"/>
        <v>930823092</v>
      </c>
      <c r="AH68" s="14">
        <f t="shared" si="35"/>
        <v>930823092</v>
      </c>
      <c r="AI68" s="14">
        <f t="shared" si="35"/>
        <v>930823092</v>
      </c>
      <c r="AJ68" s="14">
        <f t="shared" si="35"/>
        <v>930823092</v>
      </c>
      <c r="AK68" s="14">
        <f t="shared" si="35"/>
        <v>930823092</v>
      </c>
      <c r="AL68" s="14">
        <f t="shared" si="35"/>
        <v>930823092</v>
      </c>
      <c r="AM68" s="14">
        <f t="shared" si="35"/>
        <v>930823092</v>
      </c>
    </row>
    <row r="69" spans="1:39">
      <c r="A69" s="633">
        <v>67</v>
      </c>
      <c r="B69" s="612" t="s">
        <v>320</v>
      </c>
      <c r="C69" t="s">
        <v>518</v>
      </c>
      <c r="D69" s="15">
        <f>'[1]Tinh hinh tai chinh'!AN70</f>
        <v>0</v>
      </c>
      <c r="E69" s="15">
        <f>'[1]Tinh hinh tai chinh'!AO70</f>
        <v>0</v>
      </c>
      <c r="F69" s="15">
        <f>'[1]Tinh hinh tai chinh'!AP70</f>
        <v>0</v>
      </c>
      <c r="G69" s="15">
        <f>'[1]Tinh hinh tai chinh'!AQ70</f>
        <v>0</v>
      </c>
      <c r="H69" s="15">
        <f>'[1]Tinh hinh tai chinh'!AR70</f>
        <v>0</v>
      </c>
      <c r="I69" s="15">
        <f>'[1]Tinh hinh tai chinh'!AS70</f>
        <v>0</v>
      </c>
      <c r="J69" s="15">
        <f>'[1]Tinh hinh tai chinh'!AT70</f>
        <v>0</v>
      </c>
      <c r="K69" s="15">
        <f>'[1]Tinh hinh tai chinh'!AU70</f>
        <v>0</v>
      </c>
      <c r="L69" s="15">
        <f>'[1]Tinh hinh tai chinh'!AV70</f>
        <v>0</v>
      </c>
      <c r="M69" s="15">
        <f>'[1]Tinh hinh tai chinh'!AW70</f>
        <v>0</v>
      </c>
      <c r="N69" s="15">
        <f>'[1]Tinh hinh tai chinh'!AX70</f>
        <v>0</v>
      </c>
      <c r="O69" s="15">
        <f>'[1]Tinh hinh tai chinh'!AY70</f>
        <v>0</v>
      </c>
      <c r="P69" s="15">
        <f>'[1]Tinh hinh tai chinh'!AZ70</f>
        <v>0</v>
      </c>
      <c r="Q69" s="15">
        <f>'[1]Tinh hinh tai chinh'!BA70</f>
        <v>0</v>
      </c>
      <c r="R69" s="15">
        <f>'[1]Tinh hinh tai chinh'!BB70</f>
        <v>0</v>
      </c>
      <c r="S69" s="15">
        <f>'[1]Tinh hinh tai chinh'!BC70</f>
        <v>0</v>
      </c>
      <c r="T69" s="15">
        <f>'[1]Tinh hinh tai chinh'!BD70</f>
        <v>0</v>
      </c>
      <c r="U69" s="15">
        <f>'[1]Tinh hinh tai chinh'!BE70</f>
        <v>0</v>
      </c>
      <c r="V69" s="15">
        <f>'[1]Tinh hinh tai chinh'!BF70</f>
        <v>0</v>
      </c>
      <c r="W69" s="15">
        <f>'[1]Tinh hinh tai chinh'!BG70</f>
        <v>0</v>
      </c>
      <c r="X69" s="15">
        <f>'[1]Tinh hinh tai chinh'!BH70</f>
        <v>0</v>
      </c>
      <c r="Y69" s="15">
        <f>'[1]Tinh hinh tai chinh'!BI70</f>
        <v>0</v>
      </c>
      <c r="Z69" s="15">
        <f>'[1]Tinh hinh tai chinh'!BJ70</f>
        <v>0</v>
      </c>
      <c r="AA69" s="15">
        <f>'[1]Tinh hinh tai chinh'!BK70</f>
        <v>0</v>
      </c>
      <c r="AB69" s="15">
        <f>'Consol BS-DTRG'!D70</f>
        <v>0</v>
      </c>
      <c r="AC69" s="15">
        <f>'Consol BS-DTRG'!E70</f>
        <v>0</v>
      </c>
      <c r="AD69" s="15">
        <f>'Consol BS-DTRG'!F70</f>
        <v>0</v>
      </c>
      <c r="AE69" s="15">
        <f>'Consol BS-DTRG'!G70</f>
        <v>0</v>
      </c>
      <c r="AF69" s="15">
        <f>'Consol BS-DTRG'!H70</f>
        <v>0</v>
      </c>
      <c r="AG69" s="15">
        <f>'Consol BS-DTRG'!I70</f>
        <v>0</v>
      </c>
      <c r="AH69" s="15">
        <f>'Consol BS-DTRG'!J70</f>
        <v>0</v>
      </c>
      <c r="AI69" s="15">
        <f>'Consol BS-DTRG'!K70</f>
        <v>0</v>
      </c>
      <c r="AJ69" s="15">
        <f>'Consol BS-DTRG'!L70</f>
        <v>0</v>
      </c>
      <c r="AK69" s="15">
        <f>'Consol BS-DTRG'!M70</f>
        <v>0</v>
      </c>
      <c r="AL69" s="15">
        <f>'Consol BS-DTRG'!N70</f>
        <v>0</v>
      </c>
      <c r="AM69" s="15">
        <f>'Consol BS-DTRG'!O70</f>
        <v>0</v>
      </c>
    </row>
    <row r="70" spans="1:39">
      <c r="A70" s="633">
        <v>68</v>
      </c>
      <c r="B70" s="612" t="s">
        <v>321</v>
      </c>
      <c r="C70" t="s">
        <v>518</v>
      </c>
      <c r="D70" s="15">
        <f>'[1]Tinh hinh tai chinh'!AN71</f>
        <v>0</v>
      </c>
      <c r="E70" s="15">
        <f>'[1]Tinh hinh tai chinh'!AO71</f>
        <v>0</v>
      </c>
      <c r="F70" s="15">
        <f>'[1]Tinh hinh tai chinh'!AP71</f>
        <v>0</v>
      </c>
      <c r="G70" s="15">
        <f>'[1]Tinh hinh tai chinh'!AQ71</f>
        <v>0</v>
      </c>
      <c r="H70" s="15">
        <f>'[1]Tinh hinh tai chinh'!AR71</f>
        <v>0</v>
      </c>
      <c r="I70" s="15">
        <f>'[1]Tinh hinh tai chinh'!AS71</f>
        <v>0</v>
      </c>
      <c r="J70" s="15">
        <f>'[1]Tinh hinh tai chinh'!AT71</f>
        <v>0</v>
      </c>
      <c r="K70" s="15">
        <f>'[1]Tinh hinh tai chinh'!AU71</f>
        <v>0</v>
      </c>
      <c r="L70" s="15">
        <f>'[1]Tinh hinh tai chinh'!AV71</f>
        <v>0</v>
      </c>
      <c r="M70" s="15">
        <f>'[1]Tinh hinh tai chinh'!AW71</f>
        <v>0</v>
      </c>
      <c r="N70" s="15">
        <f>'[1]Tinh hinh tai chinh'!AX71</f>
        <v>0</v>
      </c>
      <c r="O70" s="15">
        <f>'[1]Tinh hinh tai chinh'!AY71</f>
        <v>0</v>
      </c>
      <c r="P70" s="15">
        <f>'[1]Tinh hinh tai chinh'!AZ71</f>
        <v>0</v>
      </c>
      <c r="Q70" s="15">
        <f>'[1]Tinh hinh tai chinh'!BA71</f>
        <v>0</v>
      </c>
      <c r="R70" s="15">
        <f>'[1]Tinh hinh tai chinh'!BB71</f>
        <v>0</v>
      </c>
      <c r="S70" s="15">
        <f>'[1]Tinh hinh tai chinh'!BC71</f>
        <v>0</v>
      </c>
      <c r="T70" s="15">
        <f>'[1]Tinh hinh tai chinh'!BD71</f>
        <v>0</v>
      </c>
      <c r="U70" s="15">
        <f>'[1]Tinh hinh tai chinh'!BE71</f>
        <v>0</v>
      </c>
      <c r="V70" s="15">
        <f>'[1]Tinh hinh tai chinh'!BF71</f>
        <v>0</v>
      </c>
      <c r="W70" s="15">
        <f>'[1]Tinh hinh tai chinh'!BG71</f>
        <v>0</v>
      </c>
      <c r="X70" s="15">
        <f>'[1]Tinh hinh tai chinh'!BH71</f>
        <v>0</v>
      </c>
      <c r="Y70" s="15">
        <f>'[1]Tinh hinh tai chinh'!BI71</f>
        <v>0</v>
      </c>
      <c r="Z70" s="15">
        <f>'[1]Tinh hinh tai chinh'!BJ71</f>
        <v>0</v>
      </c>
      <c r="AA70" s="15">
        <f>'[1]Tinh hinh tai chinh'!BK71</f>
        <v>0</v>
      </c>
      <c r="AB70" s="15">
        <f>'Consol BS-DTRG'!D71</f>
        <v>0</v>
      </c>
      <c r="AC70" s="15">
        <f>'Consol BS-DTRG'!E71</f>
        <v>0</v>
      </c>
      <c r="AD70" s="15">
        <f>'Consol BS-DTRG'!F71</f>
        <v>0</v>
      </c>
      <c r="AE70" s="15">
        <f>'Consol BS-DTRG'!G71</f>
        <v>0</v>
      </c>
      <c r="AF70" s="15">
        <f>'Consol BS-DTRG'!H71</f>
        <v>0</v>
      </c>
      <c r="AG70" s="15">
        <f>'Consol BS-DTRG'!I71</f>
        <v>0</v>
      </c>
      <c r="AH70" s="15">
        <f>'Consol BS-DTRG'!J71</f>
        <v>0</v>
      </c>
      <c r="AI70" s="15">
        <f>'Consol BS-DTRG'!K71</f>
        <v>0</v>
      </c>
      <c r="AJ70" s="15">
        <f>'Consol BS-DTRG'!L71</f>
        <v>0</v>
      </c>
      <c r="AK70" s="15">
        <f>'Consol BS-DTRG'!M71</f>
        <v>0</v>
      </c>
      <c r="AL70" s="15">
        <f>'Consol BS-DTRG'!N71</f>
        <v>0</v>
      </c>
      <c r="AM70" s="15">
        <f>'Consol BS-DTRG'!O71</f>
        <v>0</v>
      </c>
    </row>
    <row r="71" spans="1:39">
      <c r="A71" s="633">
        <v>69</v>
      </c>
      <c r="B71" s="612" t="s">
        <v>322</v>
      </c>
      <c r="C71" t="s">
        <v>518</v>
      </c>
      <c r="D71" s="15">
        <f>'[1]Tinh hinh tai chinh'!AN72</f>
        <v>0</v>
      </c>
      <c r="E71" s="15">
        <f>'[1]Tinh hinh tai chinh'!AO72</f>
        <v>0</v>
      </c>
      <c r="F71" s="15">
        <f>'[1]Tinh hinh tai chinh'!AP72</f>
        <v>0</v>
      </c>
      <c r="G71" s="15">
        <f>'[1]Tinh hinh tai chinh'!AQ72</f>
        <v>0</v>
      </c>
      <c r="H71" s="15">
        <f>'[1]Tinh hinh tai chinh'!AR72</f>
        <v>0</v>
      </c>
      <c r="I71" s="15">
        <f>'[1]Tinh hinh tai chinh'!AS72</f>
        <v>0</v>
      </c>
      <c r="J71" s="15">
        <f>'[1]Tinh hinh tai chinh'!AT72</f>
        <v>0</v>
      </c>
      <c r="K71" s="15">
        <f>'[1]Tinh hinh tai chinh'!AU72</f>
        <v>0</v>
      </c>
      <c r="L71" s="15">
        <f>'[1]Tinh hinh tai chinh'!AV72</f>
        <v>0</v>
      </c>
      <c r="M71" s="15">
        <f>'[1]Tinh hinh tai chinh'!AW72</f>
        <v>0</v>
      </c>
      <c r="N71" s="15">
        <f>'[1]Tinh hinh tai chinh'!AX72</f>
        <v>0</v>
      </c>
      <c r="O71" s="15">
        <f>'[1]Tinh hinh tai chinh'!AY72</f>
        <v>0</v>
      </c>
      <c r="P71" s="15">
        <f>'[1]Tinh hinh tai chinh'!AZ72</f>
        <v>0</v>
      </c>
      <c r="Q71" s="15">
        <f>'[1]Tinh hinh tai chinh'!BA72</f>
        <v>0</v>
      </c>
      <c r="R71" s="15">
        <f>'[1]Tinh hinh tai chinh'!BB72</f>
        <v>0</v>
      </c>
      <c r="S71" s="15">
        <f>'[1]Tinh hinh tai chinh'!BC72</f>
        <v>0</v>
      </c>
      <c r="T71" s="15">
        <f>'[1]Tinh hinh tai chinh'!BD72</f>
        <v>0</v>
      </c>
      <c r="U71" s="15">
        <f>'[1]Tinh hinh tai chinh'!BE72</f>
        <v>0</v>
      </c>
      <c r="V71" s="15">
        <f>'[1]Tinh hinh tai chinh'!BF72</f>
        <v>0</v>
      </c>
      <c r="W71" s="15">
        <f>'[1]Tinh hinh tai chinh'!BG72</f>
        <v>0</v>
      </c>
      <c r="X71" s="15">
        <f>'[1]Tinh hinh tai chinh'!BH72</f>
        <v>0</v>
      </c>
      <c r="Y71" s="15">
        <f>'[1]Tinh hinh tai chinh'!BI72</f>
        <v>0</v>
      </c>
      <c r="Z71" s="15">
        <f>'[1]Tinh hinh tai chinh'!BJ72</f>
        <v>0</v>
      </c>
      <c r="AA71" s="15">
        <f>'[1]Tinh hinh tai chinh'!BK72</f>
        <v>0</v>
      </c>
      <c r="AB71" s="15">
        <f>'Consol BS-DTRG'!D72</f>
        <v>0</v>
      </c>
      <c r="AC71" s="15">
        <f>'Consol BS-DTRG'!E72</f>
        <v>0</v>
      </c>
      <c r="AD71" s="15">
        <f>'Consol BS-DTRG'!F72</f>
        <v>0</v>
      </c>
      <c r="AE71" s="15">
        <f>'Consol BS-DTRG'!G72</f>
        <v>0</v>
      </c>
      <c r="AF71" s="15">
        <f>'Consol BS-DTRG'!H72</f>
        <v>0</v>
      </c>
      <c r="AG71" s="15">
        <f>'Consol BS-DTRG'!I72</f>
        <v>0</v>
      </c>
      <c r="AH71" s="15">
        <f>'Consol BS-DTRG'!J72</f>
        <v>0</v>
      </c>
      <c r="AI71" s="15">
        <f>'Consol BS-DTRG'!K72</f>
        <v>0</v>
      </c>
      <c r="AJ71" s="15">
        <f>'Consol BS-DTRG'!L72</f>
        <v>0</v>
      </c>
      <c r="AK71" s="15">
        <f>'Consol BS-DTRG'!M72</f>
        <v>0</v>
      </c>
      <c r="AL71" s="15">
        <f>'Consol BS-DTRG'!N72</f>
        <v>0</v>
      </c>
      <c r="AM71" s="15">
        <f>'Consol BS-DTRG'!O72</f>
        <v>0</v>
      </c>
    </row>
    <row r="72" spans="1:39">
      <c r="A72" s="633">
        <v>70</v>
      </c>
      <c r="B72" s="612" t="s">
        <v>323</v>
      </c>
      <c r="C72" t="s">
        <v>518</v>
      </c>
      <c r="D72" s="15">
        <f>'[1]Tinh hinh tai chinh'!AN73</f>
        <v>0</v>
      </c>
      <c r="E72" s="15">
        <f>'[1]Tinh hinh tai chinh'!AO73</f>
        <v>0</v>
      </c>
      <c r="F72" s="15">
        <f>'[1]Tinh hinh tai chinh'!AP73</f>
        <v>0</v>
      </c>
      <c r="G72" s="15">
        <f>'[1]Tinh hinh tai chinh'!AQ73</f>
        <v>0</v>
      </c>
      <c r="H72" s="15">
        <f>'[1]Tinh hinh tai chinh'!AR73</f>
        <v>0</v>
      </c>
      <c r="I72" s="15">
        <f>'[1]Tinh hinh tai chinh'!AS73</f>
        <v>0</v>
      </c>
      <c r="J72" s="15">
        <f>'[1]Tinh hinh tai chinh'!AT73</f>
        <v>0</v>
      </c>
      <c r="K72" s="15">
        <f>'[1]Tinh hinh tai chinh'!AU73</f>
        <v>0</v>
      </c>
      <c r="L72" s="15">
        <f>'[1]Tinh hinh tai chinh'!AV73</f>
        <v>0</v>
      </c>
      <c r="M72" s="15">
        <f>'[1]Tinh hinh tai chinh'!AW73</f>
        <v>0</v>
      </c>
      <c r="N72" s="15">
        <f>'[1]Tinh hinh tai chinh'!AX73</f>
        <v>0</v>
      </c>
      <c r="O72" s="15">
        <f>'[1]Tinh hinh tai chinh'!AY73</f>
        <v>0</v>
      </c>
      <c r="P72" s="15">
        <f>'[1]Tinh hinh tai chinh'!AZ73</f>
        <v>0</v>
      </c>
      <c r="Q72" s="15">
        <f>'[1]Tinh hinh tai chinh'!BA73</f>
        <v>0</v>
      </c>
      <c r="R72" s="15">
        <f>'[1]Tinh hinh tai chinh'!BB73</f>
        <v>0</v>
      </c>
      <c r="S72" s="15">
        <f>'[1]Tinh hinh tai chinh'!BC73</f>
        <v>0</v>
      </c>
      <c r="T72" s="15">
        <f>'[1]Tinh hinh tai chinh'!BD73</f>
        <v>0</v>
      </c>
      <c r="U72" s="15">
        <f>'[1]Tinh hinh tai chinh'!BE73</f>
        <v>0</v>
      </c>
      <c r="V72" s="15">
        <f>'[1]Tinh hinh tai chinh'!BF73</f>
        <v>0</v>
      </c>
      <c r="W72" s="15">
        <f>'[1]Tinh hinh tai chinh'!BG73</f>
        <v>0</v>
      </c>
      <c r="X72" s="15">
        <f>'[1]Tinh hinh tai chinh'!BH73</f>
        <v>0</v>
      </c>
      <c r="Y72" s="15">
        <f>'[1]Tinh hinh tai chinh'!BI73</f>
        <v>0</v>
      </c>
      <c r="Z72" s="15">
        <f>'[1]Tinh hinh tai chinh'!BJ73</f>
        <v>0</v>
      </c>
      <c r="AA72" s="15">
        <f>'[1]Tinh hinh tai chinh'!BK73</f>
        <v>0</v>
      </c>
      <c r="AB72" s="15">
        <f>'Consol BS-DTRG'!D73</f>
        <v>0</v>
      </c>
      <c r="AC72" s="15">
        <f>'Consol BS-DTRG'!E73</f>
        <v>0</v>
      </c>
      <c r="AD72" s="15">
        <f>'Consol BS-DTRG'!F73</f>
        <v>0</v>
      </c>
      <c r="AE72" s="15">
        <f>'Consol BS-DTRG'!G73</f>
        <v>0</v>
      </c>
      <c r="AF72" s="15">
        <f>'Consol BS-DTRG'!H73</f>
        <v>0</v>
      </c>
      <c r="AG72" s="15">
        <f>'Consol BS-DTRG'!I73</f>
        <v>0</v>
      </c>
      <c r="AH72" s="15">
        <f>'Consol BS-DTRG'!J73</f>
        <v>0</v>
      </c>
      <c r="AI72" s="15">
        <f>'Consol BS-DTRG'!K73</f>
        <v>0</v>
      </c>
      <c r="AJ72" s="15">
        <f>'Consol BS-DTRG'!L73</f>
        <v>0</v>
      </c>
      <c r="AK72" s="15">
        <f>'Consol BS-DTRG'!M73</f>
        <v>0</v>
      </c>
      <c r="AL72" s="15">
        <f>'Consol BS-DTRG'!N73</f>
        <v>0</v>
      </c>
      <c r="AM72" s="15">
        <f>'Consol BS-DTRG'!O73</f>
        <v>0</v>
      </c>
    </row>
    <row r="73" spans="1:39">
      <c r="A73" s="633">
        <v>71</v>
      </c>
      <c r="B73" s="613" t="s">
        <v>324</v>
      </c>
      <c r="C73" t="s">
        <v>518</v>
      </c>
      <c r="D73" s="15">
        <f>'[1]Tinh hinh tai chinh'!AN74</f>
        <v>0</v>
      </c>
      <c r="E73" s="15">
        <f>'[1]Tinh hinh tai chinh'!AO74</f>
        <v>0</v>
      </c>
      <c r="F73" s="15">
        <f>'[1]Tinh hinh tai chinh'!AP74</f>
        <v>0</v>
      </c>
      <c r="G73" s="15">
        <f>'[1]Tinh hinh tai chinh'!AQ74</f>
        <v>0</v>
      </c>
      <c r="H73" s="15">
        <f>'[1]Tinh hinh tai chinh'!AR74</f>
        <v>0</v>
      </c>
      <c r="I73" s="15">
        <f>'[1]Tinh hinh tai chinh'!AS74</f>
        <v>0</v>
      </c>
      <c r="J73" s="15">
        <f>'[1]Tinh hinh tai chinh'!AT74</f>
        <v>0</v>
      </c>
      <c r="K73" s="15">
        <f>'[1]Tinh hinh tai chinh'!AU74</f>
        <v>0</v>
      </c>
      <c r="L73" s="15">
        <f>'[1]Tinh hinh tai chinh'!AV74</f>
        <v>0</v>
      </c>
      <c r="M73" s="15">
        <f>'[1]Tinh hinh tai chinh'!AW74</f>
        <v>0</v>
      </c>
      <c r="N73" s="15">
        <f>'[1]Tinh hinh tai chinh'!AX74</f>
        <v>0</v>
      </c>
      <c r="O73" s="15">
        <f>'[1]Tinh hinh tai chinh'!AY74</f>
        <v>0</v>
      </c>
      <c r="P73" s="15">
        <f>'[1]Tinh hinh tai chinh'!AZ74</f>
        <v>0</v>
      </c>
      <c r="Q73" s="15">
        <f>'[1]Tinh hinh tai chinh'!BA74</f>
        <v>0</v>
      </c>
      <c r="R73" s="15">
        <f>'[1]Tinh hinh tai chinh'!BB74</f>
        <v>0</v>
      </c>
      <c r="S73" s="15">
        <f>'[1]Tinh hinh tai chinh'!BC74</f>
        <v>0</v>
      </c>
      <c r="T73" s="15">
        <f>'[1]Tinh hinh tai chinh'!BD74</f>
        <v>0</v>
      </c>
      <c r="U73" s="15">
        <f>'[1]Tinh hinh tai chinh'!BE74</f>
        <v>0</v>
      </c>
      <c r="V73" s="15">
        <f>'[1]Tinh hinh tai chinh'!BF74</f>
        <v>0</v>
      </c>
      <c r="W73" s="15">
        <f>'[1]Tinh hinh tai chinh'!BG74</f>
        <v>0</v>
      </c>
      <c r="X73" s="15">
        <f>'[1]Tinh hinh tai chinh'!BH74</f>
        <v>0</v>
      </c>
      <c r="Y73" s="15">
        <f>'[1]Tinh hinh tai chinh'!BI74</f>
        <v>0</v>
      </c>
      <c r="Z73" s="15">
        <f>'[1]Tinh hinh tai chinh'!BJ74</f>
        <v>0</v>
      </c>
      <c r="AA73" s="15">
        <f>'[1]Tinh hinh tai chinh'!BK74</f>
        <v>0</v>
      </c>
      <c r="AB73" s="15">
        <f>'Consol BS-DTRG'!D74</f>
        <v>930823092</v>
      </c>
      <c r="AC73" s="15">
        <f>'Consol BS-DTRG'!E74</f>
        <v>930823092</v>
      </c>
      <c r="AD73" s="15">
        <f>'Consol BS-DTRG'!F74</f>
        <v>930823092</v>
      </c>
      <c r="AE73" s="15">
        <f>'Consol BS-DTRG'!G74</f>
        <v>930823092</v>
      </c>
      <c r="AF73" s="15">
        <f>'Consol BS-DTRG'!H74</f>
        <v>930823092</v>
      </c>
      <c r="AG73" s="15">
        <f>'Consol BS-DTRG'!I74</f>
        <v>930823092</v>
      </c>
      <c r="AH73" s="15">
        <f>'Consol BS-DTRG'!J74</f>
        <v>930823092</v>
      </c>
      <c r="AI73" s="15">
        <f>'Consol BS-DTRG'!K74</f>
        <v>930823092</v>
      </c>
      <c r="AJ73" s="15">
        <f>'Consol BS-DTRG'!L74</f>
        <v>930823092</v>
      </c>
      <c r="AK73" s="15">
        <f>'Consol BS-DTRG'!M74</f>
        <v>930823092</v>
      </c>
      <c r="AL73" s="15">
        <f>'Consol BS-DTRG'!N74</f>
        <v>930823092</v>
      </c>
      <c r="AM73" s="15">
        <f>'Consol BS-DTRG'!O74</f>
        <v>930823092</v>
      </c>
    </row>
    <row r="74" spans="1:39">
      <c r="A74" s="633">
        <v>72</v>
      </c>
      <c r="B74" s="613" t="s">
        <v>325</v>
      </c>
      <c r="C74" t="s">
        <v>518</v>
      </c>
      <c r="D74" s="15">
        <f>'[1]Tinh hinh tai chinh'!AN75</f>
        <v>0</v>
      </c>
      <c r="E74" s="15">
        <f>'[1]Tinh hinh tai chinh'!AO75</f>
        <v>0</v>
      </c>
      <c r="F74" s="15">
        <f>'[1]Tinh hinh tai chinh'!AP75</f>
        <v>0</v>
      </c>
      <c r="G74" s="15">
        <f>'[1]Tinh hinh tai chinh'!AQ75</f>
        <v>0</v>
      </c>
      <c r="H74" s="15">
        <f>'[1]Tinh hinh tai chinh'!AR75</f>
        <v>0</v>
      </c>
      <c r="I74" s="15">
        <f>'[1]Tinh hinh tai chinh'!AS75</f>
        <v>0</v>
      </c>
      <c r="J74" s="15">
        <f>'[1]Tinh hinh tai chinh'!AT75</f>
        <v>0</v>
      </c>
      <c r="K74" s="15">
        <f>'[1]Tinh hinh tai chinh'!AU75</f>
        <v>0</v>
      </c>
      <c r="L74" s="15">
        <f>'[1]Tinh hinh tai chinh'!AV75</f>
        <v>0</v>
      </c>
      <c r="M74" s="15">
        <f>'[1]Tinh hinh tai chinh'!AW75</f>
        <v>0</v>
      </c>
      <c r="N74" s="15">
        <f>'[1]Tinh hinh tai chinh'!AX75</f>
        <v>0</v>
      </c>
      <c r="O74" s="15">
        <f>'[1]Tinh hinh tai chinh'!AY75</f>
        <v>0</v>
      </c>
      <c r="P74" s="15">
        <f>'[1]Tinh hinh tai chinh'!AZ75</f>
        <v>0</v>
      </c>
      <c r="Q74" s="15">
        <f>'[1]Tinh hinh tai chinh'!BA75</f>
        <v>0</v>
      </c>
      <c r="R74" s="15">
        <f>'[1]Tinh hinh tai chinh'!BB75</f>
        <v>0</v>
      </c>
      <c r="S74" s="15">
        <f>'[1]Tinh hinh tai chinh'!BC75</f>
        <v>0</v>
      </c>
      <c r="T74" s="15">
        <f>'[1]Tinh hinh tai chinh'!BD75</f>
        <v>0</v>
      </c>
      <c r="U74" s="15">
        <f>'[1]Tinh hinh tai chinh'!BE75</f>
        <v>0</v>
      </c>
      <c r="V74" s="15">
        <f>'[1]Tinh hinh tai chinh'!BF75</f>
        <v>0</v>
      </c>
      <c r="W74" s="15">
        <f>'[1]Tinh hinh tai chinh'!BG75</f>
        <v>0</v>
      </c>
      <c r="X74" s="15">
        <f>'[1]Tinh hinh tai chinh'!BH75</f>
        <v>0</v>
      </c>
      <c r="Y74" s="15">
        <f>'[1]Tinh hinh tai chinh'!BI75</f>
        <v>0</v>
      </c>
      <c r="Z74" s="15">
        <f>'[1]Tinh hinh tai chinh'!BJ75</f>
        <v>0</v>
      </c>
      <c r="AA74" s="15">
        <f>'[1]Tinh hinh tai chinh'!BK75</f>
        <v>0</v>
      </c>
      <c r="AB74" s="15">
        <f>'Consol BS-DTRG'!D75</f>
        <v>0</v>
      </c>
      <c r="AC74" s="15">
        <f>'Consol BS-DTRG'!E75</f>
        <v>0</v>
      </c>
      <c r="AD74" s="15">
        <f>'Consol BS-DTRG'!F75</f>
        <v>0</v>
      </c>
      <c r="AE74" s="15">
        <f>'Consol BS-DTRG'!G75</f>
        <v>0</v>
      </c>
      <c r="AF74" s="15">
        <f>'Consol BS-DTRG'!H75</f>
        <v>0</v>
      </c>
      <c r="AG74" s="15">
        <f>'Consol BS-DTRG'!I75</f>
        <v>0</v>
      </c>
      <c r="AH74" s="15">
        <f>'Consol BS-DTRG'!J75</f>
        <v>0</v>
      </c>
      <c r="AI74" s="15">
        <f>'Consol BS-DTRG'!K75</f>
        <v>0</v>
      </c>
      <c r="AJ74" s="15">
        <f>'Consol BS-DTRG'!L75</f>
        <v>0</v>
      </c>
      <c r="AK74" s="15">
        <f>'Consol BS-DTRG'!M75</f>
        <v>0</v>
      </c>
      <c r="AL74" s="15">
        <f>'Consol BS-DTRG'!N75</f>
        <v>0</v>
      </c>
      <c r="AM74" s="15">
        <f>'Consol BS-DTRG'!O75</f>
        <v>0</v>
      </c>
    </row>
    <row r="75" spans="1:39">
      <c r="A75" s="1">
        <v>73</v>
      </c>
      <c r="B75" s="623" t="s">
        <v>326</v>
      </c>
      <c r="D75" s="14">
        <f t="shared" ref="D75:AA75" si="36">SUM(D76:D79)</f>
        <v>5400042499</v>
      </c>
      <c r="E75" s="14">
        <f t="shared" si="36"/>
        <v>5122374256</v>
      </c>
      <c r="F75" s="14">
        <f t="shared" si="36"/>
        <v>6108142400</v>
      </c>
      <c r="G75" s="14">
        <f t="shared" si="36"/>
        <v>6691697581</v>
      </c>
      <c r="H75" s="14">
        <f t="shared" si="36"/>
        <v>6073217039</v>
      </c>
      <c r="I75" s="14">
        <f t="shared" si="36"/>
        <v>5922983520</v>
      </c>
      <c r="J75" s="14">
        <f t="shared" si="36"/>
        <v>6293381718</v>
      </c>
      <c r="K75" s="14">
        <f t="shared" si="36"/>
        <v>7144685884</v>
      </c>
      <c r="L75" s="14">
        <f t="shared" si="36"/>
        <v>6789281721</v>
      </c>
      <c r="M75" s="14">
        <f t="shared" si="36"/>
        <v>6545884719</v>
      </c>
      <c r="N75" s="14">
        <f t="shared" si="36"/>
        <v>6744136746</v>
      </c>
      <c r="O75" s="14">
        <f t="shared" si="36"/>
        <v>7473903734</v>
      </c>
      <c r="P75" s="14">
        <f t="shared" si="36"/>
        <v>5647435742</v>
      </c>
      <c r="Q75" s="14">
        <f t="shared" si="36"/>
        <v>9071341234</v>
      </c>
      <c r="R75" s="14">
        <f t="shared" si="36"/>
        <v>10968199214</v>
      </c>
      <c r="S75" s="14">
        <f t="shared" si="36"/>
        <v>10719874211</v>
      </c>
      <c r="T75" s="14">
        <f t="shared" si="36"/>
        <v>11205380817</v>
      </c>
      <c r="U75" s="14">
        <f t="shared" si="36"/>
        <v>11616370097</v>
      </c>
      <c r="V75" s="14">
        <f t="shared" si="36"/>
        <v>11200435089</v>
      </c>
      <c r="W75" s="14">
        <f t="shared" si="36"/>
        <v>11375608560</v>
      </c>
      <c r="X75" s="14">
        <f t="shared" si="36"/>
        <v>11484782005</v>
      </c>
      <c r="Y75" s="14">
        <f t="shared" si="36"/>
        <v>11895438934</v>
      </c>
      <c r="Z75" s="14">
        <f t="shared" si="36"/>
        <v>11714919536</v>
      </c>
      <c r="AA75" s="14">
        <f t="shared" si="36"/>
        <v>11187207755</v>
      </c>
      <c r="AB75" s="14">
        <f t="shared" ref="AB75:AM75" si="37">SUM(AB76:AB79)</f>
        <v>9780622175</v>
      </c>
      <c r="AC75" s="14">
        <f t="shared" si="37"/>
        <v>9780622175</v>
      </c>
      <c r="AD75" s="14">
        <f t="shared" si="37"/>
        <v>9780622175</v>
      </c>
      <c r="AE75" s="14">
        <f t="shared" si="37"/>
        <v>9780622175</v>
      </c>
      <c r="AF75" s="14">
        <f t="shared" si="37"/>
        <v>9780622175</v>
      </c>
      <c r="AG75" s="14">
        <f t="shared" si="37"/>
        <v>9780622175</v>
      </c>
      <c r="AH75" s="14">
        <f t="shared" si="37"/>
        <v>9780622175</v>
      </c>
      <c r="AI75" s="14">
        <f t="shared" si="37"/>
        <v>9780622175</v>
      </c>
      <c r="AJ75" s="14">
        <f t="shared" si="37"/>
        <v>9780622175</v>
      </c>
      <c r="AK75" s="14">
        <f t="shared" si="37"/>
        <v>9780622175</v>
      </c>
      <c r="AL75" s="14">
        <f t="shared" si="37"/>
        <v>9780622175</v>
      </c>
      <c r="AM75" s="14">
        <f t="shared" si="37"/>
        <v>9780622175</v>
      </c>
    </row>
    <row r="76" spans="1:39">
      <c r="A76" s="633">
        <v>74</v>
      </c>
      <c r="B76" s="614" t="s">
        <v>327</v>
      </c>
      <c r="C76" t="s">
        <v>518</v>
      </c>
      <c r="D76" s="15">
        <f>'[1]Tinh hinh tai chinh'!AN77</f>
        <v>5400042499</v>
      </c>
      <c r="E76" s="15">
        <f>'[1]Tinh hinh tai chinh'!AO77</f>
        <v>5122374256</v>
      </c>
      <c r="F76" s="15">
        <f>'[1]Tinh hinh tai chinh'!AP77</f>
        <v>6108142400</v>
      </c>
      <c r="G76" s="15">
        <f>'[1]Tinh hinh tai chinh'!AQ77</f>
        <v>6691697581</v>
      </c>
      <c r="H76" s="15">
        <f>'[1]Tinh hinh tai chinh'!AR77</f>
        <v>6073217039</v>
      </c>
      <c r="I76" s="15">
        <f>'[1]Tinh hinh tai chinh'!AS77</f>
        <v>5922983520</v>
      </c>
      <c r="J76" s="15">
        <f>'[1]Tinh hinh tai chinh'!AT77</f>
        <v>6293381718</v>
      </c>
      <c r="K76" s="15">
        <f>'[1]Tinh hinh tai chinh'!AU77</f>
        <v>7144685884</v>
      </c>
      <c r="L76" s="15">
        <f>'[1]Tinh hinh tai chinh'!AV77</f>
        <v>6789281721</v>
      </c>
      <c r="M76" s="15">
        <f>'[1]Tinh hinh tai chinh'!AW77</f>
        <v>6545884719</v>
      </c>
      <c r="N76" s="15">
        <f>'[1]Tinh hinh tai chinh'!AX77</f>
        <v>6744136746</v>
      </c>
      <c r="O76" s="15">
        <f>'[1]Tinh hinh tai chinh'!AY77</f>
        <v>7473903734</v>
      </c>
      <c r="P76" s="15">
        <f>'[1]Tinh hinh tai chinh'!AZ77</f>
        <v>7486377052</v>
      </c>
      <c r="Q76" s="15">
        <f>'[1]Tinh hinh tai chinh'!BA77</f>
        <v>10902239544</v>
      </c>
      <c r="R76" s="15">
        <f>'[1]Tinh hinh tai chinh'!BB77</f>
        <v>10938837524</v>
      </c>
      <c r="S76" s="15">
        <f>'[1]Tinh hinh tai chinh'!BC77</f>
        <v>10690512521</v>
      </c>
      <c r="T76" s="15">
        <f>'[1]Tinh hinh tai chinh'!BD77</f>
        <v>11176019127</v>
      </c>
      <c r="U76" s="15">
        <f>'[1]Tinh hinh tai chinh'!BE77</f>
        <v>11587008407</v>
      </c>
      <c r="V76" s="15">
        <f>'[1]Tinh hinh tai chinh'!BF77</f>
        <v>11200435089</v>
      </c>
      <c r="W76" s="15">
        <f>'[1]Tinh hinh tai chinh'!BG77</f>
        <v>11375608560</v>
      </c>
      <c r="X76" s="15">
        <f>'[1]Tinh hinh tai chinh'!BH77</f>
        <v>11484782005</v>
      </c>
      <c r="Y76" s="15">
        <f>'[1]Tinh hinh tai chinh'!BI77</f>
        <v>11895438934</v>
      </c>
      <c r="Z76" s="15">
        <f>'[1]Tinh hinh tai chinh'!BJ77</f>
        <v>11714919536</v>
      </c>
      <c r="AA76" s="15">
        <f>'[1]Tinh hinh tai chinh'!BK77</f>
        <v>11187207755</v>
      </c>
      <c r="AB76" s="15">
        <f>'Consol BS-DTRG'!D77</f>
        <v>8664232905</v>
      </c>
      <c r="AC76" s="15">
        <f>'Consol BS-DTRG'!E77</f>
        <v>8664232905</v>
      </c>
      <c r="AD76" s="15">
        <f>'Consol BS-DTRG'!F77</f>
        <v>8664232905</v>
      </c>
      <c r="AE76" s="15">
        <f>'Consol BS-DTRG'!G77</f>
        <v>8664232905</v>
      </c>
      <c r="AF76" s="15">
        <f>'Consol BS-DTRG'!H77</f>
        <v>8664232905</v>
      </c>
      <c r="AG76" s="15">
        <f>'Consol BS-DTRG'!I77</f>
        <v>8664232905</v>
      </c>
      <c r="AH76" s="15">
        <f>'Consol BS-DTRG'!J77</f>
        <v>8664232905</v>
      </c>
      <c r="AI76" s="15">
        <f>'Consol BS-DTRG'!K77</f>
        <v>8664232905</v>
      </c>
      <c r="AJ76" s="15">
        <f>'Consol BS-DTRG'!L77</f>
        <v>8664232905</v>
      </c>
      <c r="AK76" s="15">
        <f>'Consol BS-DTRG'!M77</f>
        <v>8664232905</v>
      </c>
      <c r="AL76" s="15">
        <f>'Consol BS-DTRG'!N77</f>
        <v>8664232905</v>
      </c>
      <c r="AM76" s="15">
        <f>'Consol BS-DTRG'!O77</f>
        <v>8664232905</v>
      </c>
    </row>
    <row r="77" spans="1:39">
      <c r="A77" s="633">
        <v>75</v>
      </c>
      <c r="B77" s="614" t="s">
        <v>328</v>
      </c>
      <c r="C77" t="s">
        <v>518</v>
      </c>
      <c r="D77" s="15">
        <f>'[1]Tinh hinh tai chinh'!AN78</f>
        <v>0</v>
      </c>
      <c r="E77" s="15">
        <f>'[1]Tinh hinh tai chinh'!AO78</f>
        <v>0</v>
      </c>
      <c r="F77" s="15">
        <f>'[1]Tinh hinh tai chinh'!AP78</f>
        <v>0</v>
      </c>
      <c r="G77" s="15">
        <f>'[1]Tinh hinh tai chinh'!AQ78</f>
        <v>0</v>
      </c>
      <c r="H77" s="15">
        <f>'[1]Tinh hinh tai chinh'!AR78</f>
        <v>0</v>
      </c>
      <c r="I77" s="15">
        <f>'[1]Tinh hinh tai chinh'!AS78</f>
        <v>0</v>
      </c>
      <c r="J77" s="15">
        <f>'[1]Tinh hinh tai chinh'!AT78</f>
        <v>0</v>
      </c>
      <c r="K77" s="15">
        <f>'[1]Tinh hinh tai chinh'!AU78</f>
        <v>0</v>
      </c>
      <c r="L77" s="15">
        <f>'[1]Tinh hinh tai chinh'!AV78</f>
        <v>0</v>
      </c>
      <c r="M77" s="15">
        <f>'[1]Tinh hinh tai chinh'!AW78</f>
        <v>0</v>
      </c>
      <c r="N77" s="15">
        <f>'[1]Tinh hinh tai chinh'!AX78</f>
        <v>0</v>
      </c>
      <c r="O77" s="15">
        <f>'[1]Tinh hinh tai chinh'!AY78</f>
        <v>0</v>
      </c>
      <c r="P77" s="15">
        <f>'[1]Tinh hinh tai chinh'!AZ78</f>
        <v>-1838941310</v>
      </c>
      <c r="Q77" s="15">
        <f>'[1]Tinh hinh tai chinh'!BA78</f>
        <v>-1830898310</v>
      </c>
      <c r="R77" s="15">
        <f>'[1]Tinh hinh tai chinh'!BB78</f>
        <v>29361690</v>
      </c>
      <c r="S77" s="15">
        <f>'[1]Tinh hinh tai chinh'!BC78</f>
        <v>29361690</v>
      </c>
      <c r="T77" s="15">
        <f>'[1]Tinh hinh tai chinh'!BD78</f>
        <v>29361690</v>
      </c>
      <c r="U77" s="15">
        <f>'[1]Tinh hinh tai chinh'!BE78</f>
        <v>29361690</v>
      </c>
      <c r="V77" s="15">
        <f>'[1]Tinh hinh tai chinh'!BF78</f>
        <v>0</v>
      </c>
      <c r="W77" s="15">
        <f>'[1]Tinh hinh tai chinh'!BG78</f>
        <v>0</v>
      </c>
      <c r="X77" s="15">
        <f>'[1]Tinh hinh tai chinh'!BH78</f>
        <v>0</v>
      </c>
      <c r="Y77" s="15">
        <f>'[1]Tinh hinh tai chinh'!BI78</f>
        <v>0</v>
      </c>
      <c r="Z77" s="15">
        <f>'[1]Tinh hinh tai chinh'!BJ78</f>
        <v>0</v>
      </c>
      <c r="AA77" s="15">
        <f>'[1]Tinh hinh tai chinh'!BK78</f>
        <v>0</v>
      </c>
      <c r="AB77" s="15">
        <f>'Consol BS-DTRG'!D78</f>
        <v>0</v>
      </c>
      <c r="AC77" s="15">
        <f>'Consol BS-DTRG'!E78</f>
        <v>0</v>
      </c>
      <c r="AD77" s="15">
        <f>'Consol BS-DTRG'!F78</f>
        <v>0</v>
      </c>
      <c r="AE77" s="15">
        <f>'Consol BS-DTRG'!G78</f>
        <v>0</v>
      </c>
      <c r="AF77" s="15">
        <f>'Consol BS-DTRG'!H78</f>
        <v>0</v>
      </c>
      <c r="AG77" s="15">
        <f>'Consol BS-DTRG'!I78</f>
        <v>0</v>
      </c>
      <c r="AH77" s="15">
        <f>'Consol BS-DTRG'!J78</f>
        <v>0</v>
      </c>
      <c r="AI77" s="15">
        <f>'Consol BS-DTRG'!K78</f>
        <v>0</v>
      </c>
      <c r="AJ77" s="15">
        <f>'Consol BS-DTRG'!L78</f>
        <v>0</v>
      </c>
      <c r="AK77" s="15">
        <f>'Consol BS-DTRG'!M78</f>
        <v>0</v>
      </c>
      <c r="AL77" s="15">
        <f>'Consol BS-DTRG'!N78</f>
        <v>0</v>
      </c>
      <c r="AM77" s="15">
        <f>'Consol BS-DTRG'!O78</f>
        <v>0</v>
      </c>
    </row>
    <row r="78" spans="1:39">
      <c r="A78" s="633">
        <v>76</v>
      </c>
      <c r="B78" s="614" t="s">
        <v>329</v>
      </c>
      <c r="C78" t="s">
        <v>518</v>
      </c>
      <c r="D78" s="15">
        <f>'[1]Tinh hinh tai chinh'!AN79</f>
        <v>0</v>
      </c>
      <c r="E78" s="15">
        <f>'[1]Tinh hinh tai chinh'!AO79</f>
        <v>0</v>
      </c>
      <c r="F78" s="15">
        <f>'[1]Tinh hinh tai chinh'!AP79</f>
        <v>0</v>
      </c>
      <c r="G78" s="15">
        <f>'[1]Tinh hinh tai chinh'!AQ79</f>
        <v>0</v>
      </c>
      <c r="H78" s="15">
        <f>'[1]Tinh hinh tai chinh'!AR79</f>
        <v>0</v>
      </c>
      <c r="I78" s="15">
        <f>'[1]Tinh hinh tai chinh'!AS79</f>
        <v>0</v>
      </c>
      <c r="J78" s="15">
        <f>'[1]Tinh hinh tai chinh'!AT79</f>
        <v>0</v>
      </c>
      <c r="K78" s="15">
        <f>'[1]Tinh hinh tai chinh'!AU79</f>
        <v>0</v>
      </c>
      <c r="L78" s="15">
        <f>'[1]Tinh hinh tai chinh'!AV79</f>
        <v>0</v>
      </c>
      <c r="M78" s="15">
        <f>'[1]Tinh hinh tai chinh'!AW79</f>
        <v>0</v>
      </c>
      <c r="N78" s="15">
        <f>'[1]Tinh hinh tai chinh'!AX79</f>
        <v>0</v>
      </c>
      <c r="O78" s="15">
        <f>'[1]Tinh hinh tai chinh'!AY79</f>
        <v>0</v>
      </c>
      <c r="P78" s="15">
        <f>'[1]Tinh hinh tai chinh'!AZ79</f>
        <v>0</v>
      </c>
      <c r="Q78" s="15">
        <f>'[1]Tinh hinh tai chinh'!BA79</f>
        <v>0</v>
      </c>
      <c r="R78" s="15">
        <f>'[1]Tinh hinh tai chinh'!BB79</f>
        <v>0</v>
      </c>
      <c r="S78" s="15">
        <f>'[1]Tinh hinh tai chinh'!BC79</f>
        <v>0</v>
      </c>
      <c r="T78" s="15">
        <f>'[1]Tinh hinh tai chinh'!BD79</f>
        <v>0</v>
      </c>
      <c r="U78" s="15">
        <f>'[1]Tinh hinh tai chinh'!BE79</f>
        <v>0</v>
      </c>
      <c r="V78" s="15">
        <f>'[1]Tinh hinh tai chinh'!BF79</f>
        <v>0</v>
      </c>
      <c r="W78" s="15">
        <f>'[1]Tinh hinh tai chinh'!BG79</f>
        <v>0</v>
      </c>
      <c r="X78" s="15">
        <f>'[1]Tinh hinh tai chinh'!BH79</f>
        <v>0</v>
      </c>
      <c r="Y78" s="15">
        <f>'[1]Tinh hinh tai chinh'!BI79</f>
        <v>0</v>
      </c>
      <c r="Z78" s="15">
        <f>'[1]Tinh hinh tai chinh'!BJ79</f>
        <v>0</v>
      </c>
      <c r="AA78" s="15">
        <f>'[1]Tinh hinh tai chinh'!BK79</f>
        <v>0</v>
      </c>
      <c r="AB78" s="15">
        <f>'Consol BS-DTRG'!D79</f>
        <v>0</v>
      </c>
      <c r="AC78" s="15">
        <f>'Consol BS-DTRG'!E79</f>
        <v>0</v>
      </c>
      <c r="AD78" s="15">
        <f>'Consol BS-DTRG'!F79</f>
        <v>0</v>
      </c>
      <c r="AE78" s="15">
        <f>'Consol BS-DTRG'!G79</f>
        <v>0</v>
      </c>
      <c r="AF78" s="15">
        <f>'Consol BS-DTRG'!H79</f>
        <v>0</v>
      </c>
      <c r="AG78" s="15">
        <f>'Consol BS-DTRG'!I79</f>
        <v>0</v>
      </c>
      <c r="AH78" s="15">
        <f>'Consol BS-DTRG'!J79</f>
        <v>0</v>
      </c>
      <c r="AI78" s="15">
        <f>'Consol BS-DTRG'!K79</f>
        <v>0</v>
      </c>
      <c r="AJ78" s="15">
        <f>'Consol BS-DTRG'!L79</f>
        <v>0</v>
      </c>
      <c r="AK78" s="15">
        <f>'Consol BS-DTRG'!M79</f>
        <v>0</v>
      </c>
      <c r="AL78" s="15">
        <f>'Consol BS-DTRG'!N79</f>
        <v>0</v>
      </c>
      <c r="AM78" s="15">
        <f>'Consol BS-DTRG'!O79</f>
        <v>0</v>
      </c>
    </row>
    <row r="79" spans="1:39">
      <c r="A79" s="633">
        <v>77</v>
      </c>
      <c r="B79" s="614" t="s">
        <v>330</v>
      </c>
      <c r="C79" t="s">
        <v>518</v>
      </c>
      <c r="D79" s="15">
        <f>'[1]Tinh hinh tai chinh'!AN80</f>
        <v>0</v>
      </c>
      <c r="E79" s="15">
        <f>'[1]Tinh hinh tai chinh'!AO80</f>
        <v>0</v>
      </c>
      <c r="F79" s="15">
        <f>'[1]Tinh hinh tai chinh'!AP80</f>
        <v>0</v>
      </c>
      <c r="G79" s="15">
        <f>'[1]Tinh hinh tai chinh'!AQ80</f>
        <v>0</v>
      </c>
      <c r="H79" s="15">
        <f>'[1]Tinh hinh tai chinh'!AR80</f>
        <v>0</v>
      </c>
      <c r="I79" s="15">
        <f>'[1]Tinh hinh tai chinh'!AS80</f>
        <v>0</v>
      </c>
      <c r="J79" s="15">
        <f>'[1]Tinh hinh tai chinh'!AT80</f>
        <v>0</v>
      </c>
      <c r="K79" s="15">
        <f>'[1]Tinh hinh tai chinh'!AU80</f>
        <v>0</v>
      </c>
      <c r="L79" s="15">
        <f>'[1]Tinh hinh tai chinh'!AV80</f>
        <v>0</v>
      </c>
      <c r="M79" s="15">
        <f>'[1]Tinh hinh tai chinh'!AW80</f>
        <v>0</v>
      </c>
      <c r="N79" s="15">
        <f>'[1]Tinh hinh tai chinh'!AX80</f>
        <v>0</v>
      </c>
      <c r="O79" s="15">
        <f>'[1]Tinh hinh tai chinh'!AY80</f>
        <v>0</v>
      </c>
      <c r="P79" s="15">
        <f>'[1]Tinh hinh tai chinh'!AZ80</f>
        <v>0</v>
      </c>
      <c r="Q79" s="15">
        <f>'[1]Tinh hinh tai chinh'!BA80</f>
        <v>0</v>
      </c>
      <c r="R79" s="15">
        <f>'[1]Tinh hinh tai chinh'!BB80</f>
        <v>0</v>
      </c>
      <c r="S79" s="15">
        <f>'[1]Tinh hinh tai chinh'!BC80</f>
        <v>0</v>
      </c>
      <c r="T79" s="15">
        <f>'[1]Tinh hinh tai chinh'!BD80</f>
        <v>0</v>
      </c>
      <c r="U79" s="15">
        <f>'[1]Tinh hinh tai chinh'!BE80</f>
        <v>0</v>
      </c>
      <c r="V79" s="15">
        <f>'[1]Tinh hinh tai chinh'!BF80</f>
        <v>0</v>
      </c>
      <c r="W79" s="15">
        <f>'[1]Tinh hinh tai chinh'!BG80</f>
        <v>0</v>
      </c>
      <c r="X79" s="15">
        <f>'[1]Tinh hinh tai chinh'!BH80</f>
        <v>0</v>
      </c>
      <c r="Y79" s="15">
        <f>'[1]Tinh hinh tai chinh'!BI80</f>
        <v>0</v>
      </c>
      <c r="Z79" s="15">
        <f>'[1]Tinh hinh tai chinh'!BJ80</f>
        <v>0</v>
      </c>
      <c r="AA79" s="15">
        <f>'[1]Tinh hinh tai chinh'!BK80</f>
        <v>0</v>
      </c>
      <c r="AB79" s="15">
        <f>'Consol BS-DTRG'!D80</f>
        <v>1116389270</v>
      </c>
      <c r="AC79" s="15">
        <f>'Consol BS-DTRG'!E80</f>
        <v>1116389270</v>
      </c>
      <c r="AD79" s="15">
        <f>'Consol BS-DTRG'!F80</f>
        <v>1116389270</v>
      </c>
      <c r="AE79" s="15">
        <f>'Consol BS-DTRG'!G80</f>
        <v>1116389270</v>
      </c>
      <c r="AF79" s="15">
        <f>'Consol BS-DTRG'!H80</f>
        <v>1116389270</v>
      </c>
      <c r="AG79" s="15">
        <f>'Consol BS-DTRG'!I80</f>
        <v>1116389270</v>
      </c>
      <c r="AH79" s="15">
        <f>'Consol BS-DTRG'!J80</f>
        <v>1116389270</v>
      </c>
      <c r="AI79" s="15">
        <f>'Consol BS-DTRG'!K80</f>
        <v>1116389270</v>
      </c>
      <c r="AJ79" s="15">
        <f>'Consol BS-DTRG'!L80</f>
        <v>1116389270</v>
      </c>
      <c r="AK79" s="15">
        <f>'Consol BS-DTRG'!M80</f>
        <v>1116389270</v>
      </c>
      <c r="AL79" s="15">
        <f>'Consol BS-DTRG'!N80</f>
        <v>1116389270</v>
      </c>
      <c r="AM79" s="15">
        <f>'Consol BS-DTRG'!O80</f>
        <v>1116389270</v>
      </c>
    </row>
    <row r="80" spans="1:39">
      <c r="A80" s="635">
        <v>78</v>
      </c>
      <c r="B80" s="624" t="s">
        <v>236</v>
      </c>
      <c r="D80" s="640">
        <f t="shared" ref="D80:AA80" si="38">D3+D35</f>
        <v>1175130402352</v>
      </c>
      <c r="E80" s="640">
        <f t="shared" si="38"/>
        <v>1156870558457</v>
      </c>
      <c r="F80" s="640">
        <f t="shared" si="38"/>
        <v>1193502357108.8599</v>
      </c>
      <c r="G80" s="640">
        <f t="shared" si="38"/>
        <v>1254540608128.8821</v>
      </c>
      <c r="H80" s="640">
        <f t="shared" si="38"/>
        <v>1298938884161</v>
      </c>
      <c r="I80" s="640">
        <f t="shared" si="38"/>
        <v>1325603983311</v>
      </c>
      <c r="J80" s="640">
        <f t="shared" si="38"/>
        <v>1267478798902</v>
      </c>
      <c r="K80" s="640">
        <f t="shared" si="38"/>
        <v>1218289415966</v>
      </c>
      <c r="L80" s="640">
        <f t="shared" si="38"/>
        <v>1260492317013</v>
      </c>
      <c r="M80" s="640">
        <f t="shared" si="38"/>
        <v>1282720707132</v>
      </c>
      <c r="N80" s="640">
        <f t="shared" si="38"/>
        <v>1380932210078</v>
      </c>
      <c r="O80" s="640">
        <f t="shared" si="38"/>
        <v>1365896363032.4819</v>
      </c>
      <c r="P80" s="640">
        <f t="shared" si="38"/>
        <v>1288397230797</v>
      </c>
      <c r="Q80" s="640">
        <f t="shared" si="38"/>
        <v>1200974905339</v>
      </c>
      <c r="R80" s="640">
        <f t="shared" si="38"/>
        <v>1249189875833.4819</v>
      </c>
      <c r="S80" s="640">
        <f t="shared" si="38"/>
        <v>1322043976414</v>
      </c>
      <c r="T80" s="640">
        <f t="shared" si="38"/>
        <v>1378213576429</v>
      </c>
      <c r="U80" s="640">
        <f t="shared" si="38"/>
        <v>1412639543304.4819</v>
      </c>
      <c r="V80" s="640">
        <f t="shared" si="38"/>
        <v>1406218085864.4819</v>
      </c>
      <c r="W80" s="640">
        <f t="shared" si="38"/>
        <v>1467398603298.4819</v>
      </c>
      <c r="X80" s="640">
        <f t="shared" si="38"/>
        <v>1453327615282.4819</v>
      </c>
      <c r="Y80" s="640">
        <f t="shared" si="38"/>
        <v>1402480690156.4819</v>
      </c>
      <c r="Z80" s="640">
        <f t="shared" si="38"/>
        <v>1380736689249.4819</v>
      </c>
      <c r="AA80" s="640">
        <f t="shared" si="38"/>
        <v>1377306550833.4819</v>
      </c>
      <c r="AB80" s="640">
        <f t="shared" ref="AB80:AM80" ca="1" si="39">AB3+AB35</f>
        <v>1810816141397.0232</v>
      </c>
      <c r="AC80" s="640">
        <f t="shared" ca="1" si="39"/>
        <v>1842447864634.5618</v>
      </c>
      <c r="AD80" s="640">
        <f t="shared" ca="1" si="39"/>
        <v>1890868633879.2178</v>
      </c>
      <c r="AE80" s="640">
        <f t="shared" ca="1" si="39"/>
        <v>1953742363135.3999</v>
      </c>
      <c r="AF80" s="640">
        <f t="shared" ca="1" si="39"/>
        <v>1956704958853.917</v>
      </c>
      <c r="AG80" s="640">
        <f t="shared" ca="1" si="39"/>
        <v>1981896714037.1035</v>
      </c>
      <c r="AH80" s="640">
        <f t="shared" ca="1" si="39"/>
        <v>1967198638154.7427</v>
      </c>
      <c r="AI80" s="640">
        <f t="shared" ca="1" si="39"/>
        <v>1966393282426.0898</v>
      </c>
      <c r="AJ80" s="640">
        <f t="shared" ca="1" si="39"/>
        <v>1964037519799.605</v>
      </c>
      <c r="AK80" s="640">
        <f t="shared" ca="1" si="39"/>
        <v>1966798056851.2043</v>
      </c>
      <c r="AL80" s="640">
        <f t="shared" ca="1" si="39"/>
        <v>1953300177767.2896</v>
      </c>
      <c r="AM80" s="640">
        <f t="shared" ca="1" si="39"/>
        <v>1995648251694.6128</v>
      </c>
    </row>
    <row r="81" spans="1:39">
      <c r="A81" s="634">
        <v>79</v>
      </c>
      <c r="B81" s="610" t="s">
        <v>331</v>
      </c>
      <c r="D81" s="639">
        <f t="shared" ref="D81:AA81" si="40">D82+D98</f>
        <v>319278887594</v>
      </c>
      <c r="E81" s="639">
        <f t="shared" si="40"/>
        <v>307757355551</v>
      </c>
      <c r="F81" s="639">
        <f t="shared" si="40"/>
        <v>347132475490.85999</v>
      </c>
      <c r="G81" s="639">
        <f t="shared" si="40"/>
        <v>406502386093.88196</v>
      </c>
      <c r="H81" s="639">
        <f t="shared" si="40"/>
        <v>456592470300</v>
      </c>
      <c r="I81" s="639">
        <f t="shared" si="40"/>
        <v>495400218095</v>
      </c>
      <c r="J81" s="639">
        <f t="shared" si="40"/>
        <v>452469310020</v>
      </c>
      <c r="K81" s="639">
        <f t="shared" si="40"/>
        <v>413326872943</v>
      </c>
      <c r="L81" s="639">
        <f t="shared" si="40"/>
        <v>447411505392</v>
      </c>
      <c r="M81" s="639">
        <f t="shared" si="40"/>
        <v>475985642175</v>
      </c>
      <c r="N81" s="639">
        <f t="shared" si="40"/>
        <v>560249294793</v>
      </c>
      <c r="O81" s="639">
        <f t="shared" si="40"/>
        <v>455639093773.48199</v>
      </c>
      <c r="P81" s="639">
        <f t="shared" si="40"/>
        <v>375937104713</v>
      </c>
      <c r="Q81" s="639">
        <f t="shared" si="40"/>
        <v>274454550569</v>
      </c>
      <c r="R81" s="639">
        <f t="shared" si="40"/>
        <v>316925261180.48199</v>
      </c>
      <c r="S81" s="639">
        <f t="shared" si="40"/>
        <v>386520151527</v>
      </c>
      <c r="T81" s="639">
        <f t="shared" si="40"/>
        <v>433391232413</v>
      </c>
      <c r="U81" s="639">
        <f t="shared" si="40"/>
        <v>467131698044.48199</v>
      </c>
      <c r="V81" s="639">
        <f t="shared" si="40"/>
        <v>457466251634.48212</v>
      </c>
      <c r="W81" s="639">
        <f t="shared" si="40"/>
        <v>516097615886.48212</v>
      </c>
      <c r="X81" s="639">
        <f t="shared" si="40"/>
        <v>513214714850.48199</v>
      </c>
      <c r="Y81" s="639">
        <f t="shared" si="40"/>
        <v>467249572613.48199</v>
      </c>
      <c r="Z81" s="639">
        <f t="shared" si="40"/>
        <v>452992625682.48199</v>
      </c>
      <c r="AA81" s="639">
        <f t="shared" si="40"/>
        <v>441716876964.48199</v>
      </c>
      <c r="AB81" s="639">
        <f t="shared" ref="AB81:AM81" si="41">AB82+AB98</f>
        <v>884848221464.91748</v>
      </c>
      <c r="AC81" s="639">
        <f t="shared" si="41"/>
        <v>918275074677.13672</v>
      </c>
      <c r="AD81" s="639">
        <f t="shared" si="41"/>
        <v>962884531135.66003</v>
      </c>
      <c r="AE81" s="639">
        <f t="shared" si="41"/>
        <v>1022914374155.9265</v>
      </c>
      <c r="AF81" s="639">
        <f t="shared" si="41"/>
        <v>1021424963216.6635</v>
      </c>
      <c r="AG81" s="639">
        <f t="shared" si="41"/>
        <v>1044629479683.7693</v>
      </c>
      <c r="AH81" s="639">
        <f t="shared" si="41"/>
        <v>1021379012069.0905</v>
      </c>
      <c r="AI81" s="639">
        <f t="shared" si="41"/>
        <v>1013531191901.108</v>
      </c>
      <c r="AJ81" s="639">
        <f t="shared" si="41"/>
        <v>1004934997647.1996</v>
      </c>
      <c r="AK81" s="639">
        <f t="shared" si="41"/>
        <v>1000906331224.4194</v>
      </c>
      <c r="AL81" s="639">
        <f t="shared" si="41"/>
        <v>979705709513.12671</v>
      </c>
      <c r="AM81" s="639">
        <f t="shared" si="41"/>
        <v>1016337352966.8796</v>
      </c>
    </row>
    <row r="82" spans="1:39">
      <c r="A82" s="1">
        <v>80</v>
      </c>
      <c r="B82" s="611" t="s">
        <v>332</v>
      </c>
      <c r="D82" s="14">
        <f t="shared" ref="D82:AA82" si="42">SUM(D83:D97)</f>
        <v>208892476524</v>
      </c>
      <c r="E82" s="14">
        <f t="shared" si="42"/>
        <v>197465004481</v>
      </c>
      <c r="F82" s="14">
        <f t="shared" si="42"/>
        <v>236899124420.85999</v>
      </c>
      <c r="G82" s="14">
        <f t="shared" si="42"/>
        <v>296564228415.88196</v>
      </c>
      <c r="H82" s="14">
        <f t="shared" si="42"/>
        <v>348607602622</v>
      </c>
      <c r="I82" s="14">
        <f t="shared" si="42"/>
        <v>386086182417</v>
      </c>
      <c r="J82" s="14">
        <f t="shared" si="42"/>
        <v>343042467734</v>
      </c>
      <c r="K82" s="14">
        <f t="shared" si="42"/>
        <v>304557090657</v>
      </c>
      <c r="L82" s="14">
        <f t="shared" si="42"/>
        <v>338046723106</v>
      </c>
      <c r="M82" s="14">
        <f t="shared" si="42"/>
        <v>366397053281</v>
      </c>
      <c r="N82" s="14">
        <f t="shared" si="42"/>
        <v>424034765899</v>
      </c>
      <c r="O82" s="14">
        <f t="shared" si="42"/>
        <v>338131748251.48199</v>
      </c>
      <c r="P82" s="14">
        <f t="shared" si="42"/>
        <v>234756762767</v>
      </c>
      <c r="Q82" s="14">
        <f t="shared" si="42"/>
        <v>137522046401</v>
      </c>
      <c r="R82" s="14">
        <f t="shared" si="42"/>
        <v>180829534790.48199</v>
      </c>
      <c r="S82" s="14">
        <f t="shared" si="42"/>
        <v>251497396307</v>
      </c>
      <c r="T82" s="14">
        <f t="shared" si="42"/>
        <v>302616314971</v>
      </c>
      <c r="U82" s="14">
        <f t="shared" si="42"/>
        <v>357239906650.48199</v>
      </c>
      <c r="V82" s="14">
        <f t="shared" si="42"/>
        <v>348647431410.48212</v>
      </c>
      <c r="W82" s="14">
        <f t="shared" si="42"/>
        <v>408864105440.48212</v>
      </c>
      <c r="X82" s="14">
        <f t="shared" si="42"/>
        <v>406817982182.48199</v>
      </c>
      <c r="Y82" s="14">
        <f t="shared" si="42"/>
        <v>365906438671.48199</v>
      </c>
      <c r="Z82" s="14">
        <f t="shared" si="42"/>
        <v>350591252740.48199</v>
      </c>
      <c r="AA82" s="14">
        <f t="shared" si="42"/>
        <v>358564622610.48199</v>
      </c>
      <c r="AB82" s="14">
        <f t="shared" ref="AB82:AM82" si="43">SUM(AB83:AB97)</f>
        <v>404048338678.21393</v>
      </c>
      <c r="AC82" s="14">
        <f t="shared" si="43"/>
        <v>441063668571.43311</v>
      </c>
      <c r="AD82" s="14">
        <f t="shared" si="43"/>
        <v>506655307710.95642</v>
      </c>
      <c r="AE82" s="14">
        <f t="shared" si="43"/>
        <v>500144748804.22284</v>
      </c>
      <c r="AF82" s="14">
        <f t="shared" si="43"/>
        <v>502243814545.95984</v>
      </c>
      <c r="AG82" s="14">
        <f t="shared" si="43"/>
        <v>546430513694.06561</v>
      </c>
      <c r="AH82" s="14">
        <f t="shared" si="43"/>
        <v>524697644152.38678</v>
      </c>
      <c r="AI82" s="14">
        <f t="shared" si="43"/>
        <v>520438300665.4043</v>
      </c>
      <c r="AJ82" s="14">
        <f t="shared" si="43"/>
        <v>532824289092.49585</v>
      </c>
      <c r="AK82" s="14">
        <f t="shared" si="43"/>
        <v>530313220742.71558</v>
      </c>
      <c r="AL82" s="14">
        <f t="shared" si="43"/>
        <v>512701075712.42285</v>
      </c>
      <c r="AM82" s="14">
        <f t="shared" si="43"/>
        <v>570314901847.1759</v>
      </c>
    </row>
    <row r="83" spans="1:39">
      <c r="A83" s="633">
        <v>81</v>
      </c>
      <c r="B83" s="625" t="s">
        <v>333</v>
      </c>
      <c r="C83" t="s">
        <v>518</v>
      </c>
      <c r="D83" s="15">
        <f>'[1]Tinh hinh tai chinh'!AN84</f>
        <v>82949409956</v>
      </c>
      <c r="E83" s="15">
        <f>'[1]Tinh hinh tai chinh'!AO84</f>
        <v>85403340041</v>
      </c>
      <c r="F83" s="15">
        <f>'[1]Tinh hinh tai chinh'!AP84</f>
        <v>89847500656</v>
      </c>
      <c r="G83" s="15">
        <f>'[1]Tinh hinh tai chinh'!AQ84</f>
        <v>92084070378</v>
      </c>
      <c r="H83" s="15">
        <f>'[1]Tinh hinh tai chinh'!AR84</f>
        <v>97185029412</v>
      </c>
      <c r="I83" s="15">
        <f>'[1]Tinh hinh tai chinh'!AS84</f>
        <v>129200888383</v>
      </c>
      <c r="J83" s="15">
        <f>'[1]Tinh hinh tai chinh'!AT84</f>
        <v>101456785709</v>
      </c>
      <c r="K83" s="15">
        <f>'[1]Tinh hinh tai chinh'!AU84</f>
        <v>115528799746</v>
      </c>
      <c r="L83" s="15">
        <f>'[1]Tinh hinh tai chinh'!AV84</f>
        <v>154591767517</v>
      </c>
      <c r="M83" s="15">
        <f>'[1]Tinh hinh tai chinh'!AW84</f>
        <v>155116256899</v>
      </c>
      <c r="N83" s="15">
        <f>'[1]Tinh hinh tai chinh'!AX84</f>
        <v>163705606191</v>
      </c>
      <c r="O83" s="15">
        <f>'[1]Tinh hinh tai chinh'!AY84</f>
        <v>51214283090</v>
      </c>
      <c r="P83" s="15">
        <f>'[1]Tinh hinh tai chinh'!AZ84</f>
        <v>24816615843</v>
      </c>
      <c r="Q83" s="15">
        <f>'[1]Tinh hinh tai chinh'!BA84</f>
        <v>20606927353</v>
      </c>
      <c r="R83" s="15">
        <f>'[1]Tinh hinh tai chinh'!BB84</f>
        <v>40828775779</v>
      </c>
      <c r="S83" s="15">
        <f>'[1]Tinh hinh tai chinh'!BC84</f>
        <v>43887723430</v>
      </c>
      <c r="T83" s="15">
        <f>'[1]Tinh hinh tai chinh'!BD84</f>
        <v>42033194457</v>
      </c>
      <c r="U83" s="15">
        <f>'[1]Tinh hinh tai chinh'!BE84</f>
        <v>59295501625</v>
      </c>
      <c r="V83" s="15">
        <f>'[1]Tinh hinh tai chinh'!BF84</f>
        <v>19562723494</v>
      </c>
      <c r="W83" s="15">
        <f>'[1]Tinh hinh tai chinh'!BG84</f>
        <v>28765117740</v>
      </c>
      <c r="X83" s="15">
        <f>'[1]Tinh hinh tai chinh'!BH84</f>
        <v>35900353394</v>
      </c>
      <c r="Y83" s="15">
        <f>'[1]Tinh hinh tai chinh'!BI84</f>
        <v>42762502755</v>
      </c>
      <c r="Z83" s="15">
        <f>'[1]Tinh hinh tai chinh'!BJ84</f>
        <v>34584894012</v>
      </c>
      <c r="AA83" s="15">
        <f>'[1]Tinh hinh tai chinh'!BK84</f>
        <v>28643819309</v>
      </c>
      <c r="AB83" s="15">
        <f>'Consol BS-DTRG'!D84</f>
        <v>56163339905.638245</v>
      </c>
      <c r="AC83" s="15">
        <f>'Consol BS-DTRG'!E84</f>
        <v>55630212867.85743</v>
      </c>
      <c r="AD83" s="15">
        <f>'Consol BS-DTRG'!F84</f>
        <v>60212500116.380699</v>
      </c>
      <c r="AE83" s="15">
        <f>'Consol BS-DTRG'!G84</f>
        <v>59518699185.647133</v>
      </c>
      <c r="AF83" s="15">
        <f>'Consol BS-DTRG'!H84</f>
        <v>61795022440.38414</v>
      </c>
      <c r="AG83" s="15">
        <f>'Consol BS-DTRG'!I84</f>
        <v>62581721588.489922</v>
      </c>
      <c r="AH83" s="15">
        <f>'Consol BS-DTRG'!J84</f>
        <v>61948852046.811066</v>
      </c>
      <c r="AI83" s="15">
        <f>'Consol BS-DTRG'!K84</f>
        <v>60689508559.82856</v>
      </c>
      <c r="AJ83" s="15">
        <f>'Consol BS-DTRG'!L84</f>
        <v>63075496986.920135</v>
      </c>
      <c r="AK83" s="15">
        <f>'Consol BS-DTRG'!M84</f>
        <v>60564428637.139847</v>
      </c>
      <c r="AL83" s="15">
        <f>'Consol BS-DTRG'!N84</f>
        <v>62952283606.847137</v>
      </c>
      <c r="AM83" s="15">
        <f>'Consol BS-DTRG'!O84</f>
        <v>63583554131.132172</v>
      </c>
    </row>
    <row r="84" spans="1:39">
      <c r="A84" s="633">
        <v>82</v>
      </c>
      <c r="B84" s="625" t="s">
        <v>334</v>
      </c>
      <c r="C84" t="s">
        <v>518</v>
      </c>
      <c r="D84" s="15">
        <f>'[1]Tinh hinh tai chinh'!AN85</f>
        <v>4031903040</v>
      </c>
      <c r="E84" s="15">
        <f>'[1]Tinh hinh tai chinh'!AO85</f>
        <v>0</v>
      </c>
      <c r="F84" s="15">
        <f>'[1]Tinh hinh tai chinh'!AP85</f>
        <v>-540918440</v>
      </c>
      <c r="G84" s="15">
        <f>'[1]Tinh hinh tai chinh'!AQ85</f>
        <v>4278155246</v>
      </c>
      <c r="H84" s="15">
        <f>'[1]Tinh hinh tai chinh'!AR85</f>
        <v>14753134850</v>
      </c>
      <c r="I84" s="15">
        <f>'[1]Tinh hinh tai chinh'!AS85</f>
        <v>36030101433</v>
      </c>
      <c r="J84" s="15">
        <f>'[1]Tinh hinh tai chinh'!AT85</f>
        <v>34757495667</v>
      </c>
      <c r="K84" s="15">
        <f>'[1]Tinh hinh tai chinh'!AU85</f>
        <v>16991723009</v>
      </c>
      <c r="L84" s="15">
        <f>'[1]Tinh hinh tai chinh'!AV85</f>
        <v>39469513</v>
      </c>
      <c r="M84" s="15">
        <f>'[1]Tinh hinh tai chinh'!AW85</f>
        <v>10373831336</v>
      </c>
      <c r="N84" s="15">
        <f>'[1]Tinh hinh tai chinh'!AX85</f>
        <v>37975916928</v>
      </c>
      <c r="O84" s="15">
        <f>'[1]Tinh hinh tai chinh'!AY85</f>
        <v>41546475913</v>
      </c>
      <c r="P84" s="15">
        <f>'[1]Tinh hinh tai chinh'!AZ85</f>
        <v>37388020046</v>
      </c>
      <c r="Q84" s="15">
        <f>'[1]Tinh hinh tai chinh'!BA85</f>
        <v>23937907310</v>
      </c>
      <c r="R84" s="15">
        <f>'[1]Tinh hinh tai chinh'!BB85</f>
        <v>15058088135</v>
      </c>
      <c r="S84" s="15">
        <f>'[1]Tinh hinh tai chinh'!BC85</f>
        <v>4008722750</v>
      </c>
      <c r="T84" s="15">
        <f>'[1]Tinh hinh tai chinh'!BD85</f>
        <v>75365353</v>
      </c>
      <c r="U84" s="15">
        <f>'[1]Tinh hinh tai chinh'!BE85</f>
        <v>14926125753</v>
      </c>
      <c r="V84" s="15">
        <f>'[1]Tinh hinh tai chinh'!BF85</f>
        <v>23360719857</v>
      </c>
      <c r="W84" s="15">
        <f>'[1]Tinh hinh tai chinh'!BG85</f>
        <v>21001775533</v>
      </c>
      <c r="X84" s="15">
        <f>'[1]Tinh hinh tai chinh'!BH85</f>
        <v>14685336667</v>
      </c>
      <c r="Y84" s="15">
        <f>'[1]Tinh hinh tai chinh'!BI85</f>
        <v>8914886658</v>
      </c>
      <c r="Z84" s="15">
        <f>'[1]Tinh hinh tai chinh'!BJ85</f>
        <v>5997845638</v>
      </c>
      <c r="AA84" s="15">
        <f>'[1]Tinh hinh tai chinh'!BK85</f>
        <v>17509392514</v>
      </c>
      <c r="AB84" s="15">
        <f>'Consol BS-DTRG'!D85</f>
        <v>5995670638</v>
      </c>
      <c r="AC84" s="15">
        <f>'Consol BS-DTRG'!E85</f>
        <v>5995670638</v>
      </c>
      <c r="AD84" s="15">
        <f>'Consol BS-DTRG'!F85</f>
        <v>5995670638</v>
      </c>
      <c r="AE84" s="15">
        <f>'Consol BS-DTRG'!G85</f>
        <v>5995670638</v>
      </c>
      <c r="AF84" s="15">
        <f>'Consol BS-DTRG'!H85</f>
        <v>5995670638</v>
      </c>
      <c r="AG84" s="15">
        <f>'Consol BS-DTRG'!I85</f>
        <v>5995670638</v>
      </c>
      <c r="AH84" s="15">
        <f>'Consol BS-DTRG'!J85</f>
        <v>5995670638</v>
      </c>
      <c r="AI84" s="15">
        <f>'Consol BS-DTRG'!K85</f>
        <v>5995670638</v>
      </c>
      <c r="AJ84" s="15">
        <f>'Consol BS-DTRG'!L85</f>
        <v>5995670638</v>
      </c>
      <c r="AK84" s="15">
        <f>'Consol BS-DTRG'!M85</f>
        <v>5995670638</v>
      </c>
      <c r="AL84" s="15">
        <f>'Consol BS-DTRG'!N85</f>
        <v>5995670638</v>
      </c>
      <c r="AM84" s="15">
        <f>'Consol BS-DTRG'!O85</f>
        <v>5995670638</v>
      </c>
    </row>
    <row r="85" spans="1:39">
      <c r="A85" s="633">
        <v>83</v>
      </c>
      <c r="B85" s="625" t="s">
        <v>335</v>
      </c>
      <c r="C85" t="s">
        <v>518</v>
      </c>
      <c r="D85" s="15">
        <f>'[1]Tinh hinh tai chinh'!AN86</f>
        <v>0</v>
      </c>
      <c r="E85" s="15">
        <f>'[1]Tinh hinh tai chinh'!AO86</f>
        <v>0</v>
      </c>
      <c r="F85" s="15">
        <f>'[1]Tinh hinh tai chinh'!AP86</f>
        <v>0</v>
      </c>
      <c r="G85" s="15">
        <f>'[1]Tinh hinh tai chinh'!AQ86</f>
        <v>0</v>
      </c>
      <c r="H85" s="15">
        <f>'[1]Tinh hinh tai chinh'!AR86</f>
        <v>0</v>
      </c>
      <c r="I85" s="15">
        <f>'[1]Tinh hinh tai chinh'!AS86</f>
        <v>0</v>
      </c>
      <c r="J85" s="15">
        <f>'[1]Tinh hinh tai chinh'!AT86</f>
        <v>0</v>
      </c>
      <c r="K85" s="15">
        <f>'[1]Tinh hinh tai chinh'!AU86</f>
        <v>0</v>
      </c>
      <c r="L85" s="15">
        <f>'[1]Tinh hinh tai chinh'!AV86</f>
        <v>0</v>
      </c>
      <c r="M85" s="15">
        <f>'[1]Tinh hinh tai chinh'!AW86</f>
        <v>0</v>
      </c>
      <c r="N85" s="15">
        <f>'[1]Tinh hinh tai chinh'!AX86</f>
        <v>0</v>
      </c>
      <c r="O85" s="15">
        <f>'[1]Tinh hinh tai chinh'!AY86</f>
        <v>0</v>
      </c>
      <c r="P85" s="15">
        <f>'[1]Tinh hinh tai chinh'!AZ86</f>
        <v>0</v>
      </c>
      <c r="Q85" s="15">
        <f>'[1]Tinh hinh tai chinh'!BA86</f>
        <v>0</v>
      </c>
      <c r="R85" s="15">
        <f>'[1]Tinh hinh tai chinh'!BB86</f>
        <v>0</v>
      </c>
      <c r="S85" s="15">
        <f>'[1]Tinh hinh tai chinh'!BC86</f>
        <v>0</v>
      </c>
      <c r="T85" s="15">
        <f>'[1]Tinh hinh tai chinh'!BD86</f>
        <v>0</v>
      </c>
      <c r="U85" s="15">
        <f>'[1]Tinh hinh tai chinh'!BE86</f>
        <v>0</v>
      </c>
      <c r="V85" s="15">
        <f>'[1]Tinh hinh tai chinh'!BF86</f>
        <v>0</v>
      </c>
      <c r="W85" s="15">
        <f>'[1]Tinh hinh tai chinh'!BG86</f>
        <v>0</v>
      </c>
      <c r="X85" s="15">
        <f>'[1]Tinh hinh tai chinh'!BH86</f>
        <v>0</v>
      </c>
      <c r="Y85" s="15">
        <f>'[1]Tinh hinh tai chinh'!BI86</f>
        <v>0</v>
      </c>
      <c r="Z85" s="15">
        <f>'[1]Tinh hinh tai chinh'!BJ86</f>
        <v>0</v>
      </c>
      <c r="AA85" s="15">
        <f>'[1]Tinh hinh tai chinh'!BK86</f>
        <v>0</v>
      </c>
      <c r="AB85" s="15">
        <f>'Consol BS-DTRG'!D86</f>
        <v>0</v>
      </c>
      <c r="AC85" s="15">
        <f>'Consol BS-DTRG'!E86</f>
        <v>0</v>
      </c>
      <c r="AD85" s="15">
        <f>'Consol BS-DTRG'!F86</f>
        <v>0</v>
      </c>
      <c r="AE85" s="15">
        <f>'Consol BS-DTRG'!G86</f>
        <v>0</v>
      </c>
      <c r="AF85" s="15">
        <f>'Consol BS-DTRG'!H86</f>
        <v>0</v>
      </c>
      <c r="AG85" s="15">
        <f>'Consol BS-DTRG'!I86</f>
        <v>0</v>
      </c>
      <c r="AH85" s="15">
        <f>'Consol BS-DTRG'!J86</f>
        <v>0</v>
      </c>
      <c r="AI85" s="15">
        <f>'Consol BS-DTRG'!K86</f>
        <v>0</v>
      </c>
      <c r="AJ85" s="15">
        <f>'Consol BS-DTRG'!L86</f>
        <v>0</v>
      </c>
      <c r="AK85" s="15">
        <f>'Consol BS-DTRG'!M86</f>
        <v>0</v>
      </c>
      <c r="AL85" s="15">
        <f>'Consol BS-DTRG'!N86</f>
        <v>0</v>
      </c>
      <c r="AM85" s="15">
        <f>'Consol BS-DTRG'!O86</f>
        <v>0</v>
      </c>
    </row>
    <row r="86" spans="1:39">
      <c r="A86" s="633">
        <v>84</v>
      </c>
      <c r="B86" s="625" t="s">
        <v>336</v>
      </c>
      <c r="C86" t="s">
        <v>518</v>
      </c>
      <c r="D86" s="15">
        <f>'[1]Tinh hinh tai chinh'!AN87</f>
        <v>10498883610</v>
      </c>
      <c r="E86" s="15">
        <f>'[1]Tinh hinh tai chinh'!AO87</f>
        <v>3689814164</v>
      </c>
      <c r="F86" s="15">
        <f>'[1]Tinh hinh tai chinh'!AP87</f>
        <v>4062755871</v>
      </c>
      <c r="G86" s="15">
        <f>'[1]Tinh hinh tai chinh'!AQ87</f>
        <v>1384290807</v>
      </c>
      <c r="H86" s="15">
        <f>'[1]Tinh hinh tai chinh'!AR87</f>
        <v>2308850961</v>
      </c>
      <c r="I86" s="15">
        <f>'[1]Tinh hinh tai chinh'!AS87</f>
        <v>3118570444</v>
      </c>
      <c r="J86" s="15">
        <f>'[1]Tinh hinh tai chinh'!AT87</f>
        <v>1058457452</v>
      </c>
      <c r="K86" s="15">
        <f>'[1]Tinh hinh tai chinh'!AU87</f>
        <v>1211020482</v>
      </c>
      <c r="L86" s="15">
        <f>'[1]Tinh hinh tai chinh'!AV87</f>
        <v>2139521500</v>
      </c>
      <c r="M86" s="15">
        <f>'[1]Tinh hinh tai chinh'!AW87</f>
        <v>1189419782</v>
      </c>
      <c r="N86" s="15">
        <f>'[1]Tinh hinh tai chinh'!AX87</f>
        <v>1509849868</v>
      </c>
      <c r="O86" s="15">
        <f>'[1]Tinh hinh tai chinh'!AY87</f>
        <v>9527733939</v>
      </c>
      <c r="P86" s="15">
        <f>'[1]Tinh hinh tai chinh'!AZ87</f>
        <v>3269238961</v>
      </c>
      <c r="Q86" s="15">
        <f>'[1]Tinh hinh tai chinh'!BA87</f>
        <v>5753987528</v>
      </c>
      <c r="R86" s="15">
        <f>'[1]Tinh hinh tai chinh'!BB87</f>
        <v>9117684571</v>
      </c>
      <c r="S86" s="15">
        <f>'[1]Tinh hinh tai chinh'!BC87</f>
        <v>9695857514</v>
      </c>
      <c r="T86" s="15">
        <f>'[1]Tinh hinh tai chinh'!BD87</f>
        <v>14897920840</v>
      </c>
      <c r="U86" s="15">
        <f>'[1]Tinh hinh tai chinh'!BE87</f>
        <v>12417210865</v>
      </c>
      <c r="V86" s="15">
        <f>'[1]Tinh hinh tai chinh'!BF87</f>
        <v>8626660891</v>
      </c>
      <c r="W86" s="15">
        <f>'[1]Tinh hinh tai chinh'!BG87</f>
        <v>9156127696</v>
      </c>
      <c r="X86" s="15">
        <f>'[1]Tinh hinh tai chinh'!BH87</f>
        <v>7002659285</v>
      </c>
      <c r="Y86" s="15">
        <f>'[1]Tinh hinh tai chinh'!BI87</f>
        <v>6028567487</v>
      </c>
      <c r="Z86" s="15">
        <f>'[1]Tinh hinh tai chinh'!BJ87</f>
        <v>4386912961</v>
      </c>
      <c r="AA86" s="15">
        <f>'[1]Tinh hinh tai chinh'!BK87</f>
        <v>8223438377</v>
      </c>
      <c r="AB86" s="15">
        <f>'Consol BS-DTRG'!D87</f>
        <v>3074628856</v>
      </c>
      <c r="AC86" s="15">
        <f>'Consol BS-DTRG'!E87</f>
        <v>3074628856</v>
      </c>
      <c r="AD86" s="15">
        <f>'Consol BS-DTRG'!F87</f>
        <v>3074628856</v>
      </c>
      <c r="AE86" s="15">
        <f>'Consol BS-DTRG'!G87</f>
        <v>3074628856</v>
      </c>
      <c r="AF86" s="15">
        <f>'Consol BS-DTRG'!H87</f>
        <v>3074628856</v>
      </c>
      <c r="AG86" s="15">
        <f>'Consol BS-DTRG'!I87</f>
        <v>3074628856</v>
      </c>
      <c r="AH86" s="15">
        <f>'Consol BS-DTRG'!J87</f>
        <v>3074628856</v>
      </c>
      <c r="AI86" s="15">
        <f>'Consol BS-DTRG'!K87</f>
        <v>3074628856</v>
      </c>
      <c r="AJ86" s="15">
        <f>'Consol BS-DTRG'!L87</f>
        <v>3074628856</v>
      </c>
      <c r="AK86" s="15">
        <f>'Consol BS-DTRG'!M87</f>
        <v>3074628856</v>
      </c>
      <c r="AL86" s="15">
        <f>'Consol BS-DTRG'!N87</f>
        <v>3074628856</v>
      </c>
      <c r="AM86" s="15">
        <f>'Consol BS-DTRG'!O87</f>
        <v>3074628856</v>
      </c>
    </row>
    <row r="87" spans="1:39">
      <c r="A87" s="633">
        <v>85</v>
      </c>
      <c r="B87" s="625" t="s">
        <v>337</v>
      </c>
      <c r="C87" t="s">
        <v>518</v>
      </c>
      <c r="D87" s="15">
        <f>'[1]Tinh hinh tai chinh'!AN88</f>
        <v>11362712285</v>
      </c>
      <c r="E87" s="15">
        <f>'[1]Tinh hinh tai chinh'!AO88</f>
        <v>7261112290</v>
      </c>
      <c r="F87" s="15">
        <f>'[1]Tinh hinh tai chinh'!AP88</f>
        <v>7584838673</v>
      </c>
      <c r="G87" s="15">
        <f>'[1]Tinh hinh tai chinh'!AQ88</f>
        <v>8802335330</v>
      </c>
      <c r="H87" s="15">
        <f>'[1]Tinh hinh tai chinh'!AR88</f>
        <v>8252419463</v>
      </c>
      <c r="I87" s="15">
        <f>'[1]Tinh hinh tai chinh'!AS88</f>
        <v>8124186029</v>
      </c>
      <c r="J87" s="15">
        <f>'[1]Tinh hinh tai chinh'!AT88</f>
        <v>7811815324</v>
      </c>
      <c r="K87" s="15">
        <f>'[1]Tinh hinh tai chinh'!AU88</f>
        <v>457937876</v>
      </c>
      <c r="L87" s="15">
        <f>'[1]Tinh hinh tai chinh'!AV88</f>
        <v>8485574144</v>
      </c>
      <c r="M87" s="15">
        <f>'[1]Tinh hinh tai chinh'!AW88</f>
        <v>8401248944</v>
      </c>
      <c r="N87" s="15">
        <f>'[1]Tinh hinh tai chinh'!AX88</f>
        <v>8616270563</v>
      </c>
      <c r="O87" s="15">
        <f>'[1]Tinh hinh tai chinh'!AY88</f>
        <v>12882678899</v>
      </c>
      <c r="P87" s="15">
        <f>'[1]Tinh hinh tai chinh'!AZ88</f>
        <v>8655764617</v>
      </c>
      <c r="Q87" s="15">
        <f>'[1]Tinh hinh tai chinh'!BA88</f>
        <v>9095727516</v>
      </c>
      <c r="R87" s="15">
        <f>'[1]Tinh hinh tai chinh'!BB88</f>
        <v>9239322502</v>
      </c>
      <c r="S87" s="15">
        <f>'[1]Tinh hinh tai chinh'!BC88</f>
        <v>519338426</v>
      </c>
      <c r="T87" s="15">
        <f>'[1]Tinh hinh tai chinh'!BD88</f>
        <v>10493661520</v>
      </c>
      <c r="U87" s="15">
        <f>'[1]Tinh hinh tai chinh'!BE88</f>
        <v>10746467156</v>
      </c>
      <c r="V87" s="15">
        <f>'[1]Tinh hinh tai chinh'!BF88</f>
        <v>10421088708</v>
      </c>
      <c r="W87" s="15">
        <f>'[1]Tinh hinh tai chinh'!BG88</f>
        <v>10791732094</v>
      </c>
      <c r="X87" s="15">
        <f>'[1]Tinh hinh tai chinh'!BH88</f>
        <v>11366691930</v>
      </c>
      <c r="Y87" s="15">
        <f>'[1]Tinh hinh tai chinh'!BI88</f>
        <v>10525542918</v>
      </c>
      <c r="Z87" s="15">
        <f>'[1]Tinh hinh tai chinh'!BJ88</f>
        <v>10283351512</v>
      </c>
      <c r="AA87" s="15">
        <f>'[1]Tinh hinh tai chinh'!BK88</f>
        <v>10866562186</v>
      </c>
      <c r="AB87" s="15">
        <f>'Consol BS-DTRG'!D88</f>
        <v>9132322907</v>
      </c>
      <c r="AC87" s="15">
        <f>'Consol BS-DTRG'!E88</f>
        <v>9132322907</v>
      </c>
      <c r="AD87" s="15">
        <f>'Consol BS-DTRG'!F88</f>
        <v>9132322907</v>
      </c>
      <c r="AE87" s="15">
        <f>'Consol BS-DTRG'!G88</f>
        <v>9132322907</v>
      </c>
      <c r="AF87" s="15">
        <f>'Consol BS-DTRG'!H88</f>
        <v>9132322907</v>
      </c>
      <c r="AG87" s="15">
        <f>'Consol BS-DTRG'!I88</f>
        <v>9132322907</v>
      </c>
      <c r="AH87" s="15">
        <f>'Consol BS-DTRG'!J88</f>
        <v>9132322907</v>
      </c>
      <c r="AI87" s="15">
        <f>'Consol BS-DTRG'!K88</f>
        <v>9132322907</v>
      </c>
      <c r="AJ87" s="15">
        <f>'Consol BS-DTRG'!L88</f>
        <v>9132322907</v>
      </c>
      <c r="AK87" s="15">
        <f>'Consol BS-DTRG'!M88</f>
        <v>9132322907</v>
      </c>
      <c r="AL87" s="15">
        <f>'Consol BS-DTRG'!N88</f>
        <v>9132322907</v>
      </c>
      <c r="AM87" s="15">
        <f>'Consol BS-DTRG'!O88</f>
        <v>9132322907</v>
      </c>
    </row>
    <row r="88" spans="1:39">
      <c r="A88" s="633">
        <v>86</v>
      </c>
      <c r="B88" s="625" t="s">
        <v>338</v>
      </c>
      <c r="C88" t="s">
        <v>518</v>
      </c>
      <c r="D88" s="15">
        <f>'[1]Tinh hinh tai chinh'!AN89</f>
        <v>16153446903</v>
      </c>
      <c r="E88" s="15">
        <f>'[1]Tinh hinh tai chinh'!AO89</f>
        <v>22420169080</v>
      </c>
      <c r="F88" s="15">
        <f>'[1]Tinh hinh tai chinh'!AP89</f>
        <v>7052345407</v>
      </c>
      <c r="G88" s="15">
        <f>'[1]Tinh hinh tai chinh'!AQ89</f>
        <v>17025705880</v>
      </c>
      <c r="H88" s="15">
        <f>'[1]Tinh hinh tai chinh'!AR89</f>
        <v>26551396101</v>
      </c>
      <c r="I88" s="15">
        <f>'[1]Tinh hinh tai chinh'!AS89</f>
        <v>9643768625</v>
      </c>
      <c r="J88" s="15">
        <f>'[1]Tinh hinh tai chinh'!AT89</f>
        <v>19498083536</v>
      </c>
      <c r="K88" s="15">
        <f>'[1]Tinh hinh tai chinh'!AU89</f>
        <v>32054507492</v>
      </c>
      <c r="L88" s="15">
        <f>'[1]Tinh hinh tai chinh'!AV89</f>
        <v>17871987185</v>
      </c>
      <c r="M88" s="15">
        <f>'[1]Tinh hinh tai chinh'!AW89</f>
        <v>25354416886</v>
      </c>
      <c r="N88" s="15">
        <f>'[1]Tinh hinh tai chinh'!AX89</f>
        <v>33287993453</v>
      </c>
      <c r="O88" s="15">
        <f>'[1]Tinh hinh tai chinh'!AY89</f>
        <v>17891877693</v>
      </c>
      <c r="P88" s="15">
        <f>'[1]Tinh hinh tai chinh'!AZ89</f>
        <v>12873679613</v>
      </c>
      <c r="Q88" s="15">
        <f>'[1]Tinh hinh tai chinh'!BA89</f>
        <v>18374210204</v>
      </c>
      <c r="R88" s="15">
        <f>'[1]Tinh hinh tai chinh'!BB89</f>
        <v>-5606260254</v>
      </c>
      <c r="S88" s="15">
        <f>'[1]Tinh hinh tai chinh'!BC89</f>
        <v>-3804295862</v>
      </c>
      <c r="T88" s="15">
        <f>'[1]Tinh hinh tai chinh'!BD89</f>
        <v>98594660</v>
      </c>
      <c r="U88" s="15">
        <f>'[1]Tinh hinh tai chinh'!BE89</f>
        <v>1515541421</v>
      </c>
      <c r="V88" s="15">
        <f>'[1]Tinh hinh tai chinh'!BF89</f>
        <v>17721365268</v>
      </c>
      <c r="W88" s="15">
        <f>'[1]Tinh hinh tai chinh'!BG89</f>
        <v>23723350128</v>
      </c>
      <c r="X88" s="15">
        <f>'[1]Tinh hinh tai chinh'!BH89</f>
        <v>16832372739</v>
      </c>
      <c r="Y88" s="15">
        <f>'[1]Tinh hinh tai chinh'!BI89</f>
        <v>22569568619</v>
      </c>
      <c r="Z88" s="15">
        <f>'[1]Tinh hinh tai chinh'!BJ89</f>
        <v>27478663520</v>
      </c>
      <c r="AA88" s="15">
        <f>'[1]Tinh hinh tai chinh'!BK89</f>
        <v>20102188452</v>
      </c>
      <c r="AB88" s="15">
        <f>'Consol BS-DTRG'!D89</f>
        <v>4328544862</v>
      </c>
      <c r="AC88" s="15">
        <f>'Consol BS-DTRG'!E89</f>
        <v>4328544862</v>
      </c>
      <c r="AD88" s="15">
        <f>'Consol BS-DTRG'!F89</f>
        <v>4328544862</v>
      </c>
      <c r="AE88" s="15">
        <f>'Consol BS-DTRG'!G89</f>
        <v>4328544862</v>
      </c>
      <c r="AF88" s="15">
        <f>'Consol BS-DTRG'!H89</f>
        <v>4328544862</v>
      </c>
      <c r="AG88" s="15">
        <f>'Consol BS-DTRG'!I89</f>
        <v>4328544862</v>
      </c>
      <c r="AH88" s="15">
        <f>'Consol BS-DTRG'!J89</f>
        <v>4328544862</v>
      </c>
      <c r="AI88" s="15">
        <f>'Consol BS-DTRG'!K89</f>
        <v>4328544862</v>
      </c>
      <c r="AJ88" s="15">
        <f>'Consol BS-DTRG'!L89</f>
        <v>4328544862</v>
      </c>
      <c r="AK88" s="15">
        <f>'Consol BS-DTRG'!M89</f>
        <v>4328544862</v>
      </c>
      <c r="AL88" s="15">
        <f>'Consol BS-DTRG'!N89</f>
        <v>4328544862</v>
      </c>
      <c r="AM88" s="15">
        <f>'Consol BS-DTRG'!O89</f>
        <v>4328544862</v>
      </c>
    </row>
    <row r="89" spans="1:39">
      <c r="A89" s="633">
        <v>87</v>
      </c>
      <c r="B89" s="625" t="s">
        <v>339</v>
      </c>
      <c r="C89" t="s">
        <v>518</v>
      </c>
      <c r="D89" s="15">
        <f>'[1]Tinh hinh tai chinh'!AN90</f>
        <v>0</v>
      </c>
      <c r="E89" s="15">
        <f>'[1]Tinh hinh tai chinh'!AO90</f>
        <v>0</v>
      </c>
      <c r="F89" s="15">
        <f>'[1]Tinh hinh tai chinh'!AP90</f>
        <v>0</v>
      </c>
      <c r="G89" s="15">
        <f>'[1]Tinh hinh tai chinh'!AQ90</f>
        <v>0</v>
      </c>
      <c r="H89" s="15">
        <f>'[1]Tinh hinh tai chinh'!AR90</f>
        <v>0</v>
      </c>
      <c r="I89" s="15">
        <f>'[1]Tinh hinh tai chinh'!AS90</f>
        <v>0</v>
      </c>
      <c r="J89" s="15">
        <f>'[1]Tinh hinh tai chinh'!AT90</f>
        <v>0</v>
      </c>
      <c r="K89" s="15">
        <f>'[1]Tinh hinh tai chinh'!AU90</f>
        <v>0</v>
      </c>
      <c r="L89" s="15">
        <f>'[1]Tinh hinh tai chinh'!AV90</f>
        <v>0</v>
      </c>
      <c r="M89" s="15">
        <f>'[1]Tinh hinh tai chinh'!AW90</f>
        <v>0</v>
      </c>
      <c r="N89" s="15">
        <f>'[1]Tinh hinh tai chinh'!AX90</f>
        <v>0</v>
      </c>
      <c r="O89" s="15">
        <f>'[1]Tinh hinh tai chinh'!AY90</f>
        <v>0</v>
      </c>
      <c r="P89" s="15">
        <f>'[1]Tinh hinh tai chinh'!AZ90</f>
        <v>0</v>
      </c>
      <c r="Q89" s="15">
        <f>'[1]Tinh hinh tai chinh'!BA90</f>
        <v>0</v>
      </c>
      <c r="R89" s="15">
        <f>'[1]Tinh hinh tai chinh'!BB90</f>
        <v>0</v>
      </c>
      <c r="S89" s="15">
        <f>'[1]Tinh hinh tai chinh'!BC90</f>
        <v>0</v>
      </c>
      <c r="T89" s="15">
        <f>'[1]Tinh hinh tai chinh'!BD90</f>
        <v>0</v>
      </c>
      <c r="U89" s="15">
        <f>'[1]Tinh hinh tai chinh'!BE90</f>
        <v>0</v>
      </c>
      <c r="V89" s="15">
        <f>'[1]Tinh hinh tai chinh'!BF90</f>
        <v>0</v>
      </c>
      <c r="W89" s="15">
        <f>'[1]Tinh hinh tai chinh'!BG90</f>
        <v>0</v>
      </c>
      <c r="X89" s="15">
        <f>'[1]Tinh hinh tai chinh'!BH90</f>
        <v>0</v>
      </c>
      <c r="Y89" s="15">
        <f>'[1]Tinh hinh tai chinh'!BI90</f>
        <v>0</v>
      </c>
      <c r="Z89" s="15">
        <f>'[1]Tinh hinh tai chinh'!BJ90</f>
        <v>0</v>
      </c>
      <c r="AA89" s="15">
        <f>'[1]Tinh hinh tai chinh'!BK90</f>
        <v>0</v>
      </c>
      <c r="AB89" s="15">
        <f>'Consol BS-DTRG'!D90</f>
        <v>0</v>
      </c>
      <c r="AC89" s="15">
        <f>'Consol BS-DTRG'!E90</f>
        <v>0</v>
      </c>
      <c r="AD89" s="15">
        <f>'Consol BS-DTRG'!F90</f>
        <v>0</v>
      </c>
      <c r="AE89" s="15">
        <f>'Consol BS-DTRG'!G90</f>
        <v>0</v>
      </c>
      <c r="AF89" s="15">
        <f>'Consol BS-DTRG'!H90</f>
        <v>0</v>
      </c>
      <c r="AG89" s="15">
        <f>'Consol BS-DTRG'!I90</f>
        <v>0</v>
      </c>
      <c r="AH89" s="15">
        <f>'Consol BS-DTRG'!J90</f>
        <v>0</v>
      </c>
      <c r="AI89" s="15">
        <f>'Consol BS-DTRG'!K90</f>
        <v>0</v>
      </c>
      <c r="AJ89" s="15">
        <f>'Consol BS-DTRG'!L90</f>
        <v>0</v>
      </c>
      <c r="AK89" s="15">
        <f>'Consol BS-DTRG'!M90</f>
        <v>0</v>
      </c>
      <c r="AL89" s="15">
        <f>'Consol BS-DTRG'!N90</f>
        <v>0</v>
      </c>
      <c r="AM89" s="15">
        <f>'Consol BS-DTRG'!O90</f>
        <v>0</v>
      </c>
    </row>
    <row r="90" spans="1:39">
      <c r="A90" s="633">
        <v>88</v>
      </c>
      <c r="B90" s="625" t="s">
        <v>340</v>
      </c>
      <c r="C90" t="s">
        <v>518</v>
      </c>
      <c r="D90" s="15">
        <f>'[1]Tinh hinh tai chinh'!AN91</f>
        <v>0</v>
      </c>
      <c r="E90" s="15">
        <f>'[1]Tinh hinh tai chinh'!AO91</f>
        <v>0</v>
      </c>
      <c r="F90" s="15">
        <f>'[1]Tinh hinh tai chinh'!AP91</f>
        <v>0</v>
      </c>
      <c r="G90" s="15">
        <f>'[1]Tinh hinh tai chinh'!AQ91</f>
        <v>0</v>
      </c>
      <c r="H90" s="15">
        <f>'[1]Tinh hinh tai chinh'!AR91</f>
        <v>0</v>
      </c>
      <c r="I90" s="15">
        <f>'[1]Tinh hinh tai chinh'!AS91</f>
        <v>0</v>
      </c>
      <c r="J90" s="15">
        <f>'[1]Tinh hinh tai chinh'!AT91</f>
        <v>0</v>
      </c>
      <c r="K90" s="15">
        <f>'[1]Tinh hinh tai chinh'!AU91</f>
        <v>0</v>
      </c>
      <c r="L90" s="15">
        <f>'[1]Tinh hinh tai chinh'!AV91</f>
        <v>0</v>
      </c>
      <c r="M90" s="15">
        <f>'[1]Tinh hinh tai chinh'!AW91</f>
        <v>0</v>
      </c>
      <c r="N90" s="15">
        <f>'[1]Tinh hinh tai chinh'!AX91</f>
        <v>0</v>
      </c>
      <c r="O90" s="15">
        <f>'[1]Tinh hinh tai chinh'!AY91</f>
        <v>0</v>
      </c>
      <c r="P90" s="15">
        <f>'[1]Tinh hinh tai chinh'!AZ91</f>
        <v>0</v>
      </c>
      <c r="Q90" s="15">
        <f>'[1]Tinh hinh tai chinh'!BA91</f>
        <v>0</v>
      </c>
      <c r="R90" s="15">
        <f>'[1]Tinh hinh tai chinh'!BB91</f>
        <v>0</v>
      </c>
      <c r="S90" s="15">
        <f>'[1]Tinh hinh tai chinh'!BC91</f>
        <v>0</v>
      </c>
      <c r="T90" s="15">
        <f>'[1]Tinh hinh tai chinh'!BD91</f>
        <v>0</v>
      </c>
      <c r="U90" s="15">
        <f>'[1]Tinh hinh tai chinh'!BE91</f>
        <v>0</v>
      </c>
      <c r="V90" s="15">
        <f>'[1]Tinh hinh tai chinh'!BF91</f>
        <v>0</v>
      </c>
      <c r="W90" s="15">
        <f>'[1]Tinh hinh tai chinh'!BG91</f>
        <v>0</v>
      </c>
      <c r="X90" s="15">
        <f>'[1]Tinh hinh tai chinh'!BH91</f>
        <v>0</v>
      </c>
      <c r="Y90" s="15">
        <f>'[1]Tinh hinh tai chinh'!BI91</f>
        <v>0</v>
      </c>
      <c r="Z90" s="15">
        <f>'[1]Tinh hinh tai chinh'!BJ91</f>
        <v>0</v>
      </c>
      <c r="AA90" s="15">
        <f>'[1]Tinh hinh tai chinh'!BK91</f>
        <v>0</v>
      </c>
      <c r="AB90" s="15">
        <f>'Consol BS-DTRG'!D91</f>
        <v>0</v>
      </c>
      <c r="AC90" s="15">
        <f>'Consol BS-DTRG'!E91</f>
        <v>0</v>
      </c>
      <c r="AD90" s="15">
        <f>'Consol BS-DTRG'!F91</f>
        <v>0</v>
      </c>
      <c r="AE90" s="15">
        <f>'Consol BS-DTRG'!G91</f>
        <v>0</v>
      </c>
      <c r="AF90" s="15">
        <f>'Consol BS-DTRG'!H91</f>
        <v>0</v>
      </c>
      <c r="AG90" s="15">
        <f>'Consol BS-DTRG'!I91</f>
        <v>0</v>
      </c>
      <c r="AH90" s="15">
        <f>'Consol BS-DTRG'!J91</f>
        <v>0</v>
      </c>
      <c r="AI90" s="15">
        <f>'Consol BS-DTRG'!K91</f>
        <v>0</v>
      </c>
      <c r="AJ90" s="15">
        <f>'Consol BS-DTRG'!L91</f>
        <v>0</v>
      </c>
      <c r="AK90" s="15">
        <f>'Consol BS-DTRG'!M91</f>
        <v>0</v>
      </c>
      <c r="AL90" s="15">
        <f>'Consol BS-DTRG'!N91</f>
        <v>0</v>
      </c>
      <c r="AM90" s="15">
        <f>'Consol BS-DTRG'!O91</f>
        <v>0</v>
      </c>
    </row>
    <row r="91" spans="1:39">
      <c r="A91" s="633">
        <v>89</v>
      </c>
      <c r="B91" s="625" t="s">
        <v>341</v>
      </c>
      <c r="C91" t="s">
        <v>518</v>
      </c>
      <c r="D91" s="15">
        <f>'[1]Tinh hinh tai chinh'!AN92</f>
        <v>0</v>
      </c>
      <c r="E91" s="15">
        <f>'[1]Tinh hinh tai chinh'!AO92</f>
        <v>0</v>
      </c>
      <c r="F91" s="15">
        <f>'[1]Tinh hinh tai chinh'!AP92</f>
        <v>0</v>
      </c>
      <c r="G91" s="15">
        <f>'[1]Tinh hinh tai chinh'!AQ92</f>
        <v>0</v>
      </c>
      <c r="H91" s="15">
        <f>'[1]Tinh hinh tai chinh'!AR92</f>
        <v>0</v>
      </c>
      <c r="I91" s="15">
        <f>'[1]Tinh hinh tai chinh'!AS92</f>
        <v>0</v>
      </c>
      <c r="J91" s="15">
        <f>'[1]Tinh hinh tai chinh'!AT92</f>
        <v>0</v>
      </c>
      <c r="K91" s="15">
        <f>'[1]Tinh hinh tai chinh'!AU92</f>
        <v>0</v>
      </c>
      <c r="L91" s="15">
        <f>'[1]Tinh hinh tai chinh'!AV92</f>
        <v>0</v>
      </c>
      <c r="M91" s="15">
        <f>'[1]Tinh hinh tai chinh'!AW92</f>
        <v>0</v>
      </c>
      <c r="N91" s="15">
        <f>'[1]Tinh hinh tai chinh'!AX92</f>
        <v>0</v>
      </c>
      <c r="O91" s="15">
        <f>'[1]Tinh hinh tai chinh'!AY92</f>
        <v>0</v>
      </c>
      <c r="P91" s="15">
        <f>'[1]Tinh hinh tai chinh'!AZ92</f>
        <v>0</v>
      </c>
      <c r="Q91" s="15">
        <f>'[1]Tinh hinh tai chinh'!BA92</f>
        <v>0</v>
      </c>
      <c r="R91" s="15">
        <f>'[1]Tinh hinh tai chinh'!BB92</f>
        <v>0</v>
      </c>
      <c r="S91" s="15">
        <f>'[1]Tinh hinh tai chinh'!BC92</f>
        <v>0</v>
      </c>
      <c r="T91" s="15">
        <f>'[1]Tinh hinh tai chinh'!BD92</f>
        <v>0</v>
      </c>
      <c r="U91" s="15">
        <f>'[1]Tinh hinh tai chinh'!BE92</f>
        <v>0</v>
      </c>
      <c r="V91" s="15">
        <f>'[1]Tinh hinh tai chinh'!BF92</f>
        <v>0</v>
      </c>
      <c r="W91" s="15">
        <f>'[1]Tinh hinh tai chinh'!BG92</f>
        <v>0</v>
      </c>
      <c r="X91" s="15">
        <f>'[1]Tinh hinh tai chinh'!BH92</f>
        <v>0</v>
      </c>
      <c r="Y91" s="15">
        <f>'[1]Tinh hinh tai chinh'!BI92</f>
        <v>0</v>
      </c>
      <c r="Z91" s="15">
        <f>'[1]Tinh hinh tai chinh'!BJ92</f>
        <v>0</v>
      </c>
      <c r="AA91" s="15">
        <f>'[1]Tinh hinh tai chinh'!BK92</f>
        <v>0</v>
      </c>
      <c r="AB91" s="15">
        <f>'Consol BS-DTRG'!D92</f>
        <v>0</v>
      </c>
      <c r="AC91" s="15">
        <f>'Consol BS-DTRG'!E92</f>
        <v>0</v>
      </c>
      <c r="AD91" s="15">
        <f>'Consol BS-DTRG'!F92</f>
        <v>0</v>
      </c>
      <c r="AE91" s="15">
        <f>'Consol BS-DTRG'!G92</f>
        <v>0</v>
      </c>
      <c r="AF91" s="15">
        <f>'Consol BS-DTRG'!H92</f>
        <v>0</v>
      </c>
      <c r="AG91" s="15">
        <f>'Consol BS-DTRG'!I92</f>
        <v>0</v>
      </c>
      <c r="AH91" s="15">
        <f>'Consol BS-DTRG'!J92</f>
        <v>0</v>
      </c>
      <c r="AI91" s="15">
        <f>'Consol BS-DTRG'!K92</f>
        <v>0</v>
      </c>
      <c r="AJ91" s="15">
        <f>'Consol BS-DTRG'!L92</f>
        <v>0</v>
      </c>
      <c r="AK91" s="15">
        <f>'Consol BS-DTRG'!M92</f>
        <v>0</v>
      </c>
      <c r="AL91" s="15">
        <f>'Consol BS-DTRG'!N92</f>
        <v>0</v>
      </c>
      <c r="AM91" s="15">
        <f>'Consol BS-DTRG'!O92</f>
        <v>0</v>
      </c>
    </row>
    <row r="92" spans="1:39">
      <c r="A92" s="633">
        <v>90</v>
      </c>
      <c r="B92" s="625" t="s">
        <v>342</v>
      </c>
      <c r="C92" t="s">
        <v>518</v>
      </c>
      <c r="D92" s="15">
        <f>'[1]Tinh hinh tai chinh'!AN93</f>
        <v>20696481661</v>
      </c>
      <c r="E92" s="15">
        <f>'[1]Tinh hinh tai chinh'!AO93</f>
        <v>20595840087</v>
      </c>
      <c r="F92" s="15">
        <f>'[1]Tinh hinh tai chinh'!AP93</f>
        <v>26813125892.860001</v>
      </c>
      <c r="G92" s="15">
        <f>'[1]Tinh hinh tai chinh'!AQ93</f>
        <v>27765488547.882</v>
      </c>
      <c r="H92" s="15">
        <f>'[1]Tinh hinh tai chinh'!AR93</f>
        <v>20403961843</v>
      </c>
      <c r="I92" s="15">
        <f>'[1]Tinh hinh tai chinh'!AS93</f>
        <v>8973254724</v>
      </c>
      <c r="J92" s="15">
        <f>'[1]Tinh hinh tai chinh'!AT93</f>
        <v>9334621417</v>
      </c>
      <c r="K92" s="15">
        <f>'[1]Tinh hinh tai chinh'!AU93</f>
        <v>12038191666</v>
      </c>
      <c r="L92" s="15">
        <f>'[1]Tinh hinh tai chinh'!AV93</f>
        <v>14568081439</v>
      </c>
      <c r="M92" s="15">
        <f>'[1]Tinh hinh tai chinh'!AW93</f>
        <v>9244155132</v>
      </c>
      <c r="N92" s="15">
        <f>'[1]Tinh hinh tai chinh'!AX93</f>
        <v>12004819534</v>
      </c>
      <c r="O92" s="15">
        <f>'[1]Tinh hinh tai chinh'!AY93</f>
        <v>11216627279.482</v>
      </c>
      <c r="P92" s="15">
        <f>'[1]Tinh hinh tai chinh'!AZ93</f>
        <v>11890639716</v>
      </c>
      <c r="Q92" s="15">
        <f>'[1]Tinh hinh tai chinh'!BA93</f>
        <v>15214207492</v>
      </c>
      <c r="R92" s="15">
        <f>'[1]Tinh hinh tai chinh'!BB93</f>
        <v>13274237856.482</v>
      </c>
      <c r="S92" s="15">
        <f>'[1]Tinh hinh tai chinh'!BC93</f>
        <v>23351476909</v>
      </c>
      <c r="T92" s="15">
        <f>'[1]Tinh hinh tai chinh'!BD93</f>
        <v>33444587733</v>
      </c>
      <c r="U92" s="15">
        <f>'[1]Tinh hinh tai chinh'!BE93</f>
        <v>19043714839.482002</v>
      </c>
      <c r="V92" s="15">
        <f>'[1]Tinh hinh tai chinh'!BF93</f>
        <v>17481729946.482101</v>
      </c>
      <c r="W92" s="15">
        <f>'[1]Tinh hinh tai chinh'!BG93</f>
        <v>19912766033.482101</v>
      </c>
      <c r="X92" s="15">
        <f>'[1]Tinh hinh tai chinh'!BH93</f>
        <v>9977435941.4820004</v>
      </c>
      <c r="Y92" s="15">
        <f>'[1]Tinh hinh tai chinh'!BI93</f>
        <v>10333921176.482</v>
      </c>
      <c r="Z92" s="15">
        <f>'[1]Tinh hinh tai chinh'!BJ93</f>
        <v>11722247952.482</v>
      </c>
      <c r="AA92" s="15">
        <f>'[1]Tinh hinh tai chinh'!BK93</f>
        <v>9558710068.4820004</v>
      </c>
      <c r="AB92" s="15">
        <f>'Consol BS-DTRG'!D93</f>
        <v>29838477598.575699</v>
      </c>
      <c r="AC92" s="15">
        <f>'Consol BS-DTRG'!E93</f>
        <v>29838477598.575703</v>
      </c>
      <c r="AD92" s="15">
        <f>'Consol BS-DTRG'!F93</f>
        <v>29838477598.575706</v>
      </c>
      <c r="AE92" s="15">
        <f>'Consol BS-DTRG'!G93</f>
        <v>29838477598.575703</v>
      </c>
      <c r="AF92" s="15">
        <f>'Consol BS-DTRG'!H93</f>
        <v>29838477598.575706</v>
      </c>
      <c r="AG92" s="15">
        <f>'Consol BS-DTRG'!I93</f>
        <v>29838477598.575703</v>
      </c>
      <c r="AH92" s="15">
        <f>'Consol BS-DTRG'!J93</f>
        <v>29838477598.575699</v>
      </c>
      <c r="AI92" s="15">
        <f>'Consol BS-DTRG'!K93</f>
        <v>29838477598.575706</v>
      </c>
      <c r="AJ92" s="15">
        <f>'Consol BS-DTRG'!L93</f>
        <v>29838477598.575703</v>
      </c>
      <c r="AK92" s="15">
        <f>'Consol BS-DTRG'!M93</f>
        <v>29838477598.575699</v>
      </c>
      <c r="AL92" s="15">
        <f>'Consol BS-DTRG'!N93</f>
        <v>29838477598.575703</v>
      </c>
      <c r="AM92" s="15">
        <f>'Consol BS-DTRG'!O93</f>
        <v>29838477598.575695</v>
      </c>
    </row>
    <row r="93" spans="1:39">
      <c r="A93" s="633">
        <v>91</v>
      </c>
      <c r="B93" s="625" t="s">
        <v>343</v>
      </c>
      <c r="C93" t="s">
        <v>518</v>
      </c>
      <c r="D93" s="15">
        <f>'[1]Tinh hinh tai chinh'!AN94</f>
        <v>62822745245</v>
      </c>
      <c r="E93" s="15">
        <f>'[1]Tinh hinh tai chinh'!AO94</f>
        <v>57847834995</v>
      </c>
      <c r="F93" s="15">
        <f>'[1]Tinh hinh tai chinh'!AP94</f>
        <v>101832582537</v>
      </c>
      <c r="G93" s="15">
        <f>'[1]Tinh hinh tai chinh'!AQ94</f>
        <v>144977288403</v>
      </c>
      <c r="H93" s="15">
        <f>'[1]Tinh hinh tai chinh'!AR94</f>
        <v>178905916168</v>
      </c>
      <c r="I93" s="15">
        <f>'[1]Tinh hinh tai chinh'!AS94</f>
        <v>190748518955</v>
      </c>
      <c r="J93" s="15">
        <f>'[1]Tinh hinh tai chinh'!AT94</f>
        <v>168894814805</v>
      </c>
      <c r="K93" s="15">
        <f>'[1]Tinh hinh tai chinh'!AU94</f>
        <v>126048766562</v>
      </c>
      <c r="L93" s="15">
        <f>'[1]Tinh hinh tai chinh'!AV94</f>
        <v>139654417984</v>
      </c>
      <c r="M93" s="15">
        <f>'[1]Tinh hinh tai chinh'!AW94</f>
        <v>155306260478</v>
      </c>
      <c r="N93" s="15">
        <f>'[1]Tinh hinh tai chinh'!AX94</f>
        <v>165536679982</v>
      </c>
      <c r="O93" s="15">
        <f>'[1]Tinh hinh tai chinh'!AY94</f>
        <v>192629821718</v>
      </c>
      <c r="P93" s="15">
        <f>'[1]Tinh hinh tai chinh'!AZ94</f>
        <v>134925554251</v>
      </c>
      <c r="Q93" s="15">
        <f>'[1]Tinh hinh tai chinh'!BA94</f>
        <v>43611829278</v>
      </c>
      <c r="R93" s="15">
        <f>'[1]Tinh hinh tai chinh'!BB94</f>
        <v>98003020481</v>
      </c>
      <c r="S93" s="15">
        <f>'[1]Tinh hinh tai chinh'!BC94</f>
        <v>172928907420</v>
      </c>
      <c r="T93" s="15">
        <f>'[1]Tinh hinh tai chinh'!BD94</f>
        <v>200666324688</v>
      </c>
      <c r="U93" s="15">
        <f>'[1]Tinh hinh tai chinh'!BE94</f>
        <v>238388679271</v>
      </c>
      <c r="V93" s="15">
        <f>'[1]Tinh hinh tai chinh'!BF94</f>
        <v>250573370780</v>
      </c>
      <c r="W93" s="15">
        <f>'[1]Tinh hinh tai chinh'!BG94</f>
        <v>294832243750</v>
      </c>
      <c r="X93" s="15">
        <f>'[1]Tinh hinh tai chinh'!BH94</f>
        <v>309616499760</v>
      </c>
      <c r="Y93" s="15">
        <f>'[1]Tinh hinh tai chinh'!BI94</f>
        <v>263334816592</v>
      </c>
      <c r="Z93" s="15">
        <f>'[1]Tinh hinh tai chinh'!BJ94</f>
        <v>254700704679</v>
      </c>
      <c r="AA93" s="15">
        <f>'[1]Tinh hinh tai chinh'!BK94</f>
        <v>262225979238</v>
      </c>
      <c r="AB93" s="15">
        <f>'Consol BS-DTRG'!D94</f>
        <v>294078721445</v>
      </c>
      <c r="AC93" s="15">
        <f>'Consol BS-DTRG'!E94</f>
        <v>331627178376</v>
      </c>
      <c r="AD93" s="15">
        <f>'Consol BS-DTRG'!F94</f>
        <v>392636530267</v>
      </c>
      <c r="AE93" s="15">
        <f>'Consol BS-DTRG'!G94</f>
        <v>386819772291</v>
      </c>
      <c r="AF93" s="15">
        <f>'Consol BS-DTRG'!H94</f>
        <v>386642514778</v>
      </c>
      <c r="AG93" s="15">
        <f>'Consol BS-DTRG'!I94</f>
        <v>430042514778</v>
      </c>
      <c r="AH93" s="15">
        <f>'Consol BS-DTRG'!J94</f>
        <v>408942514778</v>
      </c>
      <c r="AI93" s="15">
        <f>'Consol BS-DTRG'!K94</f>
        <v>405942514778</v>
      </c>
      <c r="AJ93" s="15">
        <f>'Consol BS-DTRG'!L94</f>
        <v>415942514778</v>
      </c>
      <c r="AK93" s="15">
        <f>'Consol BS-DTRG'!M94</f>
        <v>415942514778</v>
      </c>
      <c r="AL93" s="15">
        <f>'Consol BS-DTRG'!N94</f>
        <v>395942514778</v>
      </c>
      <c r="AM93" s="15">
        <f>'Consol BS-DTRG'!O94</f>
        <v>452925070388.46808</v>
      </c>
    </row>
    <row r="94" spans="1:39">
      <c r="A94" s="633">
        <v>92</v>
      </c>
      <c r="B94" s="625" t="s">
        <v>344</v>
      </c>
      <c r="C94" t="s">
        <v>518</v>
      </c>
      <c r="D94" s="15">
        <f>'[1]Tinh hinh tai chinh'!AN95</f>
        <v>0</v>
      </c>
      <c r="E94" s="15">
        <f>'[1]Tinh hinh tai chinh'!AO95</f>
        <v>0</v>
      </c>
      <c r="F94" s="15">
        <f>'[1]Tinh hinh tai chinh'!AP95</f>
        <v>0</v>
      </c>
      <c r="G94" s="15">
        <f>'[1]Tinh hinh tai chinh'!AQ95</f>
        <v>0</v>
      </c>
      <c r="H94" s="15">
        <f>'[1]Tinh hinh tai chinh'!AR95</f>
        <v>0</v>
      </c>
      <c r="I94" s="15">
        <f>'[1]Tinh hinh tai chinh'!AS95</f>
        <v>0</v>
      </c>
      <c r="J94" s="15">
        <f>'[1]Tinh hinh tai chinh'!AT95</f>
        <v>0</v>
      </c>
      <c r="K94" s="15">
        <f>'[1]Tinh hinh tai chinh'!AU95</f>
        <v>0</v>
      </c>
      <c r="L94" s="15">
        <f>'[1]Tinh hinh tai chinh'!AV95</f>
        <v>0</v>
      </c>
      <c r="M94" s="15">
        <f>'[1]Tinh hinh tai chinh'!AW95</f>
        <v>0</v>
      </c>
      <c r="N94" s="15">
        <f>'[1]Tinh hinh tai chinh'!AX95</f>
        <v>0</v>
      </c>
      <c r="O94" s="15">
        <f>'[1]Tinh hinh tai chinh'!AY95</f>
        <v>0</v>
      </c>
      <c r="P94" s="15">
        <f>'[1]Tinh hinh tai chinh'!AZ95</f>
        <v>0</v>
      </c>
      <c r="Q94" s="15">
        <f>'[1]Tinh hinh tai chinh'!BA95</f>
        <v>0</v>
      </c>
      <c r="R94" s="15">
        <f>'[1]Tinh hinh tai chinh'!BB95</f>
        <v>0</v>
      </c>
      <c r="S94" s="15">
        <f>'[1]Tinh hinh tai chinh'!BC95</f>
        <v>0</v>
      </c>
      <c r="T94" s="15">
        <f>'[1]Tinh hinh tai chinh'!BD95</f>
        <v>0</v>
      </c>
      <c r="U94" s="15">
        <f>'[1]Tinh hinh tai chinh'!BE95</f>
        <v>0</v>
      </c>
      <c r="V94" s="15">
        <f>'[1]Tinh hinh tai chinh'!BF95</f>
        <v>0</v>
      </c>
      <c r="W94" s="15">
        <f>'[1]Tinh hinh tai chinh'!BG95</f>
        <v>0</v>
      </c>
      <c r="X94" s="15">
        <f>'[1]Tinh hinh tai chinh'!BH95</f>
        <v>0</v>
      </c>
      <c r="Y94" s="15">
        <f>'[1]Tinh hinh tai chinh'!BI95</f>
        <v>0</v>
      </c>
      <c r="Z94" s="15">
        <f>'[1]Tinh hinh tai chinh'!BJ95</f>
        <v>0</v>
      </c>
      <c r="AA94" s="15">
        <f>'[1]Tinh hinh tai chinh'!BK95</f>
        <v>0</v>
      </c>
      <c r="AB94" s="15">
        <f>'Consol BS-DTRG'!D95</f>
        <v>0</v>
      </c>
      <c r="AC94" s="15">
        <f>'Consol BS-DTRG'!E95</f>
        <v>0</v>
      </c>
      <c r="AD94" s="15">
        <f>'Consol BS-DTRG'!F95</f>
        <v>0</v>
      </c>
      <c r="AE94" s="15">
        <f>'Consol BS-DTRG'!G95</f>
        <v>0</v>
      </c>
      <c r="AF94" s="15">
        <f>'Consol BS-DTRG'!H95</f>
        <v>0</v>
      </c>
      <c r="AG94" s="15">
        <f>'Consol BS-DTRG'!I95</f>
        <v>0</v>
      </c>
      <c r="AH94" s="15">
        <f>'Consol BS-DTRG'!J95</f>
        <v>0</v>
      </c>
      <c r="AI94" s="15">
        <f>'Consol BS-DTRG'!K95</f>
        <v>0</v>
      </c>
      <c r="AJ94" s="15">
        <f>'Consol BS-DTRG'!L95</f>
        <v>0</v>
      </c>
      <c r="AK94" s="15">
        <f>'Consol BS-DTRG'!M95</f>
        <v>0</v>
      </c>
      <c r="AL94" s="15">
        <f>'Consol BS-DTRG'!N95</f>
        <v>0</v>
      </c>
      <c r="AM94" s="15">
        <f>'Consol BS-DTRG'!O95</f>
        <v>0</v>
      </c>
    </row>
    <row r="95" spans="1:39">
      <c r="A95" s="633">
        <v>93</v>
      </c>
      <c r="B95" s="625" t="s">
        <v>345</v>
      </c>
      <c r="C95" t="s">
        <v>518</v>
      </c>
      <c r="D95" s="15">
        <f>'[1]Tinh hinh tai chinh'!AN96</f>
        <v>376893824</v>
      </c>
      <c r="E95" s="15">
        <f>'[1]Tinh hinh tai chinh'!AO96</f>
        <v>246893824</v>
      </c>
      <c r="F95" s="15">
        <f>'[1]Tinh hinh tai chinh'!AP96</f>
        <v>246893824</v>
      </c>
      <c r="G95" s="15">
        <f>'[1]Tinh hinh tai chinh'!AQ96</f>
        <v>246893824</v>
      </c>
      <c r="H95" s="15">
        <f>'[1]Tinh hinh tai chinh'!AR96</f>
        <v>246893824</v>
      </c>
      <c r="I95" s="15">
        <f>'[1]Tinh hinh tai chinh'!AS96</f>
        <v>246893824</v>
      </c>
      <c r="J95" s="15">
        <f>'[1]Tinh hinh tai chinh'!AT96</f>
        <v>230393824</v>
      </c>
      <c r="K95" s="15">
        <f>'[1]Tinh hinh tai chinh'!AU96</f>
        <v>226143824</v>
      </c>
      <c r="L95" s="15">
        <f>'[1]Tinh hinh tai chinh'!AV96</f>
        <v>695903824</v>
      </c>
      <c r="M95" s="15">
        <f>'[1]Tinh hinh tai chinh'!AW96</f>
        <v>1411463824</v>
      </c>
      <c r="N95" s="15">
        <f>'[1]Tinh hinh tai chinh'!AX96</f>
        <v>1397629380</v>
      </c>
      <c r="O95" s="15">
        <f>'[1]Tinh hinh tai chinh'!AY96</f>
        <v>1222249720</v>
      </c>
      <c r="P95" s="15">
        <f>'[1]Tinh hinh tai chinh'!AZ96</f>
        <v>937249720</v>
      </c>
      <c r="Q95" s="15">
        <f>'[1]Tinh hinh tai chinh'!BA96</f>
        <v>927249720</v>
      </c>
      <c r="R95" s="15">
        <f>'[1]Tinh hinh tai chinh'!BB96</f>
        <v>914665720</v>
      </c>
      <c r="S95" s="15">
        <f>'[1]Tinh hinh tai chinh'!BC96</f>
        <v>909665720</v>
      </c>
      <c r="T95" s="15">
        <f>'[1]Tinh hinh tai chinh'!BD96</f>
        <v>906665720</v>
      </c>
      <c r="U95" s="15">
        <f>'[1]Tinh hinh tai chinh'!BE96</f>
        <v>906665720</v>
      </c>
      <c r="V95" s="15">
        <f>'[1]Tinh hinh tai chinh'!BF96</f>
        <v>899772466</v>
      </c>
      <c r="W95" s="15">
        <f>'[1]Tinh hinh tai chinh'!BG96</f>
        <v>680992466</v>
      </c>
      <c r="X95" s="15">
        <f>'[1]Tinh hinh tai chinh'!BH96</f>
        <v>1436632466</v>
      </c>
      <c r="Y95" s="15">
        <f>'[1]Tinh hinh tai chinh'!BI96</f>
        <v>1436632466</v>
      </c>
      <c r="Z95" s="15">
        <f>'[1]Tinh hinh tai chinh'!BJ96</f>
        <v>1436632466</v>
      </c>
      <c r="AA95" s="15">
        <f>'[1]Tinh hinh tai chinh'!BK96</f>
        <v>1434532466</v>
      </c>
      <c r="AB95" s="15">
        <f>'Consol BS-DTRG'!D96</f>
        <v>1436632466</v>
      </c>
      <c r="AC95" s="15">
        <f>'Consol BS-DTRG'!E96</f>
        <v>1436632466</v>
      </c>
      <c r="AD95" s="15">
        <f>'Consol BS-DTRG'!F96</f>
        <v>1436632466</v>
      </c>
      <c r="AE95" s="15">
        <f>'Consol BS-DTRG'!G96</f>
        <v>1436632466</v>
      </c>
      <c r="AF95" s="15">
        <f>'Consol BS-DTRG'!H96</f>
        <v>1436632466</v>
      </c>
      <c r="AG95" s="15">
        <f>'Consol BS-DTRG'!I96</f>
        <v>1436632466</v>
      </c>
      <c r="AH95" s="15">
        <f>'Consol BS-DTRG'!J96</f>
        <v>1436632466</v>
      </c>
      <c r="AI95" s="15">
        <f>'Consol BS-DTRG'!K96</f>
        <v>1436632466</v>
      </c>
      <c r="AJ95" s="15">
        <f>'Consol BS-DTRG'!L96</f>
        <v>1436632466</v>
      </c>
      <c r="AK95" s="15">
        <f>'Consol BS-DTRG'!M96</f>
        <v>1436632466</v>
      </c>
      <c r="AL95" s="15">
        <f>'Consol BS-DTRG'!N96</f>
        <v>1436632466</v>
      </c>
      <c r="AM95" s="15">
        <f>'Consol BS-DTRG'!O96</f>
        <v>1436632466</v>
      </c>
    </row>
    <row r="96" spans="1:39">
      <c r="A96" s="633">
        <v>94</v>
      </c>
      <c r="B96" s="626" t="s">
        <v>346</v>
      </c>
      <c r="C96" t="s">
        <v>518</v>
      </c>
      <c r="D96" s="15">
        <f>'[1]Tinh hinh tai chinh'!AN97</f>
        <v>0</v>
      </c>
      <c r="E96" s="15">
        <f>'[1]Tinh hinh tai chinh'!AO97</f>
        <v>0</v>
      </c>
      <c r="F96" s="15">
        <f>'[1]Tinh hinh tai chinh'!AP97</f>
        <v>0</v>
      </c>
      <c r="G96" s="15">
        <f>'[1]Tinh hinh tai chinh'!AQ97</f>
        <v>0</v>
      </c>
      <c r="H96" s="15">
        <f>'[1]Tinh hinh tai chinh'!AR97</f>
        <v>0</v>
      </c>
      <c r="I96" s="15">
        <f>'[1]Tinh hinh tai chinh'!AS97</f>
        <v>0</v>
      </c>
      <c r="J96" s="15">
        <f>'[1]Tinh hinh tai chinh'!AT97</f>
        <v>0</v>
      </c>
      <c r="K96" s="15">
        <f>'[1]Tinh hinh tai chinh'!AU97</f>
        <v>0</v>
      </c>
      <c r="L96" s="15">
        <f>'[1]Tinh hinh tai chinh'!AV97</f>
        <v>0</v>
      </c>
      <c r="M96" s="15">
        <f>'[1]Tinh hinh tai chinh'!AW97</f>
        <v>0</v>
      </c>
      <c r="N96" s="15">
        <f>'[1]Tinh hinh tai chinh'!AX97</f>
        <v>0</v>
      </c>
      <c r="O96" s="15">
        <f>'[1]Tinh hinh tai chinh'!AY97</f>
        <v>0</v>
      </c>
      <c r="P96" s="15">
        <f>'[1]Tinh hinh tai chinh'!AZ97</f>
        <v>0</v>
      </c>
      <c r="Q96" s="15">
        <f>'[1]Tinh hinh tai chinh'!BA97</f>
        <v>0</v>
      </c>
      <c r="R96" s="15">
        <f>'[1]Tinh hinh tai chinh'!BB97</f>
        <v>0</v>
      </c>
      <c r="S96" s="15">
        <f>'[1]Tinh hinh tai chinh'!BC97</f>
        <v>0</v>
      </c>
      <c r="T96" s="15">
        <f>'[1]Tinh hinh tai chinh'!BD97</f>
        <v>0</v>
      </c>
      <c r="U96" s="15">
        <f>'[1]Tinh hinh tai chinh'!BE97</f>
        <v>0</v>
      </c>
      <c r="V96" s="15">
        <f>'[1]Tinh hinh tai chinh'!BF97</f>
        <v>0</v>
      </c>
      <c r="W96" s="15">
        <f>'[1]Tinh hinh tai chinh'!BG97</f>
        <v>0</v>
      </c>
      <c r="X96" s="15">
        <f>'[1]Tinh hinh tai chinh'!BH97</f>
        <v>0</v>
      </c>
      <c r="Y96" s="15">
        <f>'[1]Tinh hinh tai chinh'!BI97</f>
        <v>0</v>
      </c>
      <c r="Z96" s="15">
        <f>'[1]Tinh hinh tai chinh'!BJ97</f>
        <v>0</v>
      </c>
      <c r="AA96" s="15">
        <f>'[1]Tinh hinh tai chinh'!BK97</f>
        <v>0</v>
      </c>
      <c r="AB96" s="15">
        <f>'Consol BS-DTRG'!D97</f>
        <v>0</v>
      </c>
      <c r="AC96" s="15">
        <f>'Consol BS-DTRG'!E97</f>
        <v>0</v>
      </c>
      <c r="AD96" s="15">
        <f>'Consol BS-DTRG'!F97</f>
        <v>0</v>
      </c>
      <c r="AE96" s="15">
        <f>'Consol BS-DTRG'!G97</f>
        <v>0</v>
      </c>
      <c r="AF96" s="15">
        <f>'Consol BS-DTRG'!H97</f>
        <v>0</v>
      </c>
      <c r="AG96" s="15">
        <f>'Consol BS-DTRG'!I97</f>
        <v>0</v>
      </c>
      <c r="AH96" s="15">
        <f>'Consol BS-DTRG'!J97</f>
        <v>0</v>
      </c>
      <c r="AI96" s="15">
        <f>'Consol BS-DTRG'!K97</f>
        <v>0</v>
      </c>
      <c r="AJ96" s="15">
        <f>'Consol BS-DTRG'!L97</f>
        <v>0</v>
      </c>
      <c r="AK96" s="15">
        <f>'Consol BS-DTRG'!M97</f>
        <v>0</v>
      </c>
      <c r="AL96" s="15">
        <f>'Consol BS-DTRG'!N97</f>
        <v>0</v>
      </c>
      <c r="AM96" s="15">
        <f>'Consol BS-DTRG'!O97</f>
        <v>0</v>
      </c>
    </row>
    <row r="97" spans="1:39">
      <c r="A97" s="633">
        <v>95</v>
      </c>
      <c r="B97" s="626" t="s">
        <v>347</v>
      </c>
      <c r="C97" t="s">
        <v>518</v>
      </c>
      <c r="D97" s="15">
        <f>'[1]Tinh hinh tai chinh'!AN98</f>
        <v>0</v>
      </c>
      <c r="E97" s="15">
        <f>'[1]Tinh hinh tai chinh'!AO98</f>
        <v>0</v>
      </c>
      <c r="F97" s="15">
        <f>'[1]Tinh hinh tai chinh'!AP98</f>
        <v>0</v>
      </c>
      <c r="G97" s="15">
        <f>'[1]Tinh hinh tai chinh'!AQ98</f>
        <v>0</v>
      </c>
      <c r="H97" s="15">
        <f>'[1]Tinh hinh tai chinh'!AR98</f>
        <v>0</v>
      </c>
      <c r="I97" s="15">
        <f>'[1]Tinh hinh tai chinh'!AS98</f>
        <v>0</v>
      </c>
      <c r="J97" s="15">
        <f>'[1]Tinh hinh tai chinh'!AT98</f>
        <v>0</v>
      </c>
      <c r="K97" s="15">
        <f>'[1]Tinh hinh tai chinh'!AU98</f>
        <v>0</v>
      </c>
      <c r="L97" s="15">
        <f>'[1]Tinh hinh tai chinh'!AV98</f>
        <v>0</v>
      </c>
      <c r="M97" s="15">
        <f>'[1]Tinh hinh tai chinh'!AW98</f>
        <v>0</v>
      </c>
      <c r="N97" s="15">
        <f>'[1]Tinh hinh tai chinh'!AX98</f>
        <v>0</v>
      </c>
      <c r="O97" s="15">
        <f>'[1]Tinh hinh tai chinh'!AY98</f>
        <v>0</v>
      </c>
      <c r="P97" s="15">
        <f>'[1]Tinh hinh tai chinh'!AZ98</f>
        <v>0</v>
      </c>
      <c r="Q97" s="15">
        <f>'[1]Tinh hinh tai chinh'!BA98</f>
        <v>0</v>
      </c>
      <c r="R97" s="15">
        <f>'[1]Tinh hinh tai chinh'!BB98</f>
        <v>0</v>
      </c>
      <c r="S97" s="15">
        <f>'[1]Tinh hinh tai chinh'!BC98</f>
        <v>0</v>
      </c>
      <c r="T97" s="15">
        <f>'[1]Tinh hinh tai chinh'!BD98</f>
        <v>0</v>
      </c>
      <c r="U97" s="15">
        <f>'[1]Tinh hinh tai chinh'!BE98</f>
        <v>0</v>
      </c>
      <c r="V97" s="15">
        <f>'[1]Tinh hinh tai chinh'!BF98</f>
        <v>0</v>
      </c>
      <c r="W97" s="15">
        <f>'[1]Tinh hinh tai chinh'!BG98</f>
        <v>0</v>
      </c>
      <c r="X97" s="15">
        <f>'[1]Tinh hinh tai chinh'!BH98</f>
        <v>0</v>
      </c>
      <c r="Y97" s="15">
        <f>'[1]Tinh hinh tai chinh'!BI98</f>
        <v>0</v>
      </c>
      <c r="Z97" s="15">
        <f>'[1]Tinh hinh tai chinh'!BJ98</f>
        <v>0</v>
      </c>
      <c r="AA97" s="15">
        <f>'[1]Tinh hinh tai chinh'!BK98</f>
        <v>0</v>
      </c>
      <c r="AB97" s="15">
        <f>'Consol BS-DTRG'!D98</f>
        <v>0</v>
      </c>
      <c r="AC97" s="15">
        <f>'Consol BS-DTRG'!E98</f>
        <v>0</v>
      </c>
      <c r="AD97" s="15">
        <f>'Consol BS-DTRG'!F98</f>
        <v>0</v>
      </c>
      <c r="AE97" s="15">
        <f>'Consol BS-DTRG'!G98</f>
        <v>0</v>
      </c>
      <c r="AF97" s="15">
        <f>'Consol BS-DTRG'!H98</f>
        <v>0</v>
      </c>
      <c r="AG97" s="15">
        <f>'Consol BS-DTRG'!I98</f>
        <v>0</v>
      </c>
      <c r="AH97" s="15">
        <f>'Consol BS-DTRG'!J98</f>
        <v>0</v>
      </c>
      <c r="AI97" s="15">
        <f>'Consol BS-DTRG'!K98</f>
        <v>0</v>
      </c>
      <c r="AJ97" s="15">
        <f>'Consol BS-DTRG'!L98</f>
        <v>0</v>
      </c>
      <c r="AK97" s="15">
        <f>'Consol BS-DTRG'!M98</f>
        <v>0</v>
      </c>
      <c r="AL97" s="15">
        <f>'Consol BS-DTRG'!N98</f>
        <v>0</v>
      </c>
      <c r="AM97" s="15">
        <f>'Consol BS-DTRG'!O98</f>
        <v>0</v>
      </c>
    </row>
    <row r="98" spans="1:39">
      <c r="A98" s="1">
        <v>96</v>
      </c>
      <c r="B98" s="617" t="s">
        <v>348</v>
      </c>
      <c r="D98" s="14">
        <f t="shared" ref="D98:AA98" si="44">SUM(D99:D112)</f>
        <v>110386411070</v>
      </c>
      <c r="E98" s="14">
        <f t="shared" si="44"/>
        <v>110292351070</v>
      </c>
      <c r="F98" s="14">
        <f t="shared" si="44"/>
        <v>110233351070</v>
      </c>
      <c r="G98" s="14">
        <f t="shared" si="44"/>
        <v>109938157678</v>
      </c>
      <c r="H98" s="14">
        <f t="shared" si="44"/>
        <v>107984867678</v>
      </c>
      <c r="I98" s="14">
        <f t="shared" si="44"/>
        <v>109314035678</v>
      </c>
      <c r="J98" s="14">
        <f t="shared" si="44"/>
        <v>109426842286</v>
      </c>
      <c r="K98" s="14">
        <f t="shared" si="44"/>
        <v>108769782286</v>
      </c>
      <c r="L98" s="14">
        <f t="shared" si="44"/>
        <v>109364782286</v>
      </c>
      <c r="M98" s="14">
        <f t="shared" si="44"/>
        <v>109588588894</v>
      </c>
      <c r="N98" s="14">
        <f t="shared" si="44"/>
        <v>136214528894</v>
      </c>
      <c r="O98" s="14">
        <f t="shared" si="44"/>
        <v>117507345522</v>
      </c>
      <c r="P98" s="14">
        <f t="shared" si="44"/>
        <v>141180341946</v>
      </c>
      <c r="Q98" s="14">
        <f t="shared" si="44"/>
        <v>136932504168</v>
      </c>
      <c r="R98" s="14">
        <f t="shared" si="44"/>
        <v>136095726390</v>
      </c>
      <c r="S98" s="14">
        <f t="shared" si="44"/>
        <v>135022755220</v>
      </c>
      <c r="T98" s="14">
        <f t="shared" si="44"/>
        <v>130774917442</v>
      </c>
      <c r="U98" s="14">
        <f t="shared" si="44"/>
        <v>109891791394</v>
      </c>
      <c r="V98" s="14">
        <f t="shared" si="44"/>
        <v>108818820224</v>
      </c>
      <c r="W98" s="14">
        <f t="shared" si="44"/>
        <v>107233510446</v>
      </c>
      <c r="X98" s="14">
        <f t="shared" si="44"/>
        <v>106396732668</v>
      </c>
      <c r="Y98" s="14">
        <f t="shared" si="44"/>
        <v>101343133942</v>
      </c>
      <c r="Z98" s="14">
        <f t="shared" si="44"/>
        <v>102401372942</v>
      </c>
      <c r="AA98" s="14">
        <f t="shared" si="44"/>
        <v>83152254354</v>
      </c>
      <c r="AB98" s="14">
        <f t="shared" ref="AB98:AM98" si="45">SUM(AB99:AB112)</f>
        <v>480799882786.70361</v>
      </c>
      <c r="AC98" s="14">
        <f t="shared" si="45"/>
        <v>477211406105.70361</v>
      </c>
      <c r="AD98" s="14">
        <f t="shared" si="45"/>
        <v>456229223424.70361</v>
      </c>
      <c r="AE98" s="14">
        <f t="shared" si="45"/>
        <v>522769625351.70361</v>
      </c>
      <c r="AF98" s="14">
        <f t="shared" si="45"/>
        <v>519181148670.70361</v>
      </c>
      <c r="AG98" s="14">
        <f t="shared" si="45"/>
        <v>498198965989.70367</v>
      </c>
      <c r="AH98" s="14">
        <f t="shared" si="45"/>
        <v>496681367916.70367</v>
      </c>
      <c r="AI98" s="14">
        <f t="shared" si="45"/>
        <v>493092891235.70374</v>
      </c>
      <c r="AJ98" s="14">
        <f t="shared" si="45"/>
        <v>472110708554.70374</v>
      </c>
      <c r="AK98" s="14">
        <f t="shared" si="45"/>
        <v>470593110481.7038</v>
      </c>
      <c r="AL98" s="14">
        <f t="shared" si="45"/>
        <v>467004633800.7038</v>
      </c>
      <c r="AM98" s="14">
        <f t="shared" si="45"/>
        <v>446022451119.7038</v>
      </c>
    </row>
    <row r="99" spans="1:39">
      <c r="A99" s="633">
        <v>97</v>
      </c>
      <c r="B99" s="625" t="s">
        <v>349</v>
      </c>
      <c r="C99" t="s">
        <v>518</v>
      </c>
      <c r="D99" s="15">
        <f>'[1]Tinh hinh tai chinh'!AN100</f>
        <v>0</v>
      </c>
      <c r="E99" s="15">
        <f>'[1]Tinh hinh tai chinh'!AO100</f>
        <v>0</v>
      </c>
      <c r="F99" s="15">
        <f>'[1]Tinh hinh tai chinh'!AP100</f>
        <v>0</v>
      </c>
      <c r="G99" s="15">
        <f>'[1]Tinh hinh tai chinh'!AQ100</f>
        <v>0</v>
      </c>
      <c r="H99" s="15">
        <f>'[1]Tinh hinh tai chinh'!AR100</f>
        <v>0</v>
      </c>
      <c r="I99" s="15">
        <f>'[1]Tinh hinh tai chinh'!AS100</f>
        <v>0</v>
      </c>
      <c r="J99" s="15">
        <f>'[1]Tinh hinh tai chinh'!AT100</f>
        <v>0</v>
      </c>
      <c r="K99" s="15">
        <f>'[1]Tinh hinh tai chinh'!AU100</f>
        <v>0</v>
      </c>
      <c r="L99" s="15">
        <f>'[1]Tinh hinh tai chinh'!AV100</f>
        <v>0</v>
      </c>
      <c r="M99" s="15">
        <f>'[1]Tinh hinh tai chinh'!AW100</f>
        <v>0</v>
      </c>
      <c r="N99" s="15">
        <f>'[1]Tinh hinh tai chinh'!AX100</f>
        <v>0</v>
      </c>
      <c r="O99" s="15">
        <f>'[1]Tinh hinh tai chinh'!AY100</f>
        <v>0</v>
      </c>
      <c r="P99" s="15">
        <f>'[1]Tinh hinh tai chinh'!AZ100</f>
        <v>0</v>
      </c>
      <c r="Q99" s="15">
        <f>'[1]Tinh hinh tai chinh'!BA100</f>
        <v>0</v>
      </c>
      <c r="R99" s="15">
        <f>'[1]Tinh hinh tai chinh'!BB100</f>
        <v>0</v>
      </c>
      <c r="S99" s="15">
        <f>'[1]Tinh hinh tai chinh'!BC100</f>
        <v>0</v>
      </c>
      <c r="T99" s="15">
        <f>'[1]Tinh hinh tai chinh'!BD100</f>
        <v>0</v>
      </c>
      <c r="U99" s="15">
        <f>'[1]Tinh hinh tai chinh'!BE100</f>
        <v>0</v>
      </c>
      <c r="V99" s="15">
        <f>'[1]Tinh hinh tai chinh'!BF100</f>
        <v>0</v>
      </c>
      <c r="W99" s="15">
        <f>'[1]Tinh hinh tai chinh'!BG100</f>
        <v>0</v>
      </c>
      <c r="X99" s="15">
        <f>'[1]Tinh hinh tai chinh'!BH100</f>
        <v>0</v>
      </c>
      <c r="Y99" s="15">
        <f>'[1]Tinh hinh tai chinh'!BI100</f>
        <v>0</v>
      </c>
      <c r="Z99" s="15">
        <f>'[1]Tinh hinh tai chinh'!BJ100</f>
        <v>0</v>
      </c>
      <c r="AA99" s="15">
        <f>'[1]Tinh hinh tai chinh'!BK100</f>
        <v>0</v>
      </c>
      <c r="AB99" s="15">
        <f>'Consol BS-DTRG'!D100</f>
        <v>0</v>
      </c>
      <c r="AC99" s="15">
        <f>'Consol BS-DTRG'!E100</f>
        <v>0</v>
      </c>
      <c r="AD99" s="15">
        <f>'Consol BS-DTRG'!F100</f>
        <v>0</v>
      </c>
      <c r="AE99" s="15">
        <f>'Consol BS-DTRG'!G100</f>
        <v>0</v>
      </c>
      <c r="AF99" s="15">
        <f>'Consol BS-DTRG'!H100</f>
        <v>0</v>
      </c>
      <c r="AG99" s="15">
        <f>'Consol BS-DTRG'!I100</f>
        <v>0</v>
      </c>
      <c r="AH99" s="15">
        <f>'Consol BS-DTRG'!J100</f>
        <v>0</v>
      </c>
      <c r="AI99" s="15">
        <f>'Consol BS-DTRG'!K100</f>
        <v>0</v>
      </c>
      <c r="AJ99" s="15">
        <f>'Consol BS-DTRG'!L100</f>
        <v>0</v>
      </c>
      <c r="AK99" s="15">
        <f>'Consol BS-DTRG'!M100</f>
        <v>0</v>
      </c>
      <c r="AL99" s="15">
        <f>'Consol BS-DTRG'!N100</f>
        <v>0</v>
      </c>
      <c r="AM99" s="15">
        <f>'Consol BS-DTRG'!O100</f>
        <v>0</v>
      </c>
    </row>
    <row r="100" spans="1:39">
      <c r="A100" s="633">
        <v>98</v>
      </c>
      <c r="B100" s="625" t="s">
        <v>350</v>
      </c>
      <c r="C100" t="s">
        <v>518</v>
      </c>
      <c r="D100" s="15">
        <f>'[1]Tinh hinh tai chinh'!AN101</f>
        <v>0</v>
      </c>
      <c r="E100" s="15">
        <f>'[1]Tinh hinh tai chinh'!AO101</f>
        <v>0</v>
      </c>
      <c r="F100" s="15">
        <f>'[1]Tinh hinh tai chinh'!AP101</f>
        <v>0</v>
      </c>
      <c r="G100" s="15">
        <f>'[1]Tinh hinh tai chinh'!AQ101</f>
        <v>0</v>
      </c>
      <c r="H100" s="15">
        <f>'[1]Tinh hinh tai chinh'!AR101</f>
        <v>0</v>
      </c>
      <c r="I100" s="15">
        <f>'[1]Tinh hinh tai chinh'!AS101</f>
        <v>0</v>
      </c>
      <c r="J100" s="15">
        <f>'[1]Tinh hinh tai chinh'!AT101</f>
        <v>0</v>
      </c>
      <c r="K100" s="15">
        <f>'[1]Tinh hinh tai chinh'!AU101</f>
        <v>0</v>
      </c>
      <c r="L100" s="15">
        <f>'[1]Tinh hinh tai chinh'!AV101</f>
        <v>0</v>
      </c>
      <c r="M100" s="15">
        <f>'[1]Tinh hinh tai chinh'!AW101</f>
        <v>0</v>
      </c>
      <c r="N100" s="15">
        <f>'[1]Tinh hinh tai chinh'!AX101</f>
        <v>0</v>
      </c>
      <c r="O100" s="15">
        <f>'[1]Tinh hinh tai chinh'!AY101</f>
        <v>0</v>
      </c>
      <c r="P100" s="15">
        <f>'[1]Tinh hinh tai chinh'!AZ101</f>
        <v>0</v>
      </c>
      <c r="Q100" s="15">
        <f>'[1]Tinh hinh tai chinh'!BA101</f>
        <v>0</v>
      </c>
      <c r="R100" s="15">
        <f>'[1]Tinh hinh tai chinh'!BB101</f>
        <v>0</v>
      </c>
      <c r="S100" s="15">
        <f>'[1]Tinh hinh tai chinh'!BC101</f>
        <v>0</v>
      </c>
      <c r="T100" s="15">
        <f>'[1]Tinh hinh tai chinh'!BD101</f>
        <v>0</v>
      </c>
      <c r="U100" s="15">
        <f>'[1]Tinh hinh tai chinh'!BE101</f>
        <v>0</v>
      </c>
      <c r="V100" s="15">
        <f>'[1]Tinh hinh tai chinh'!BF101</f>
        <v>0</v>
      </c>
      <c r="W100" s="15">
        <f>'[1]Tinh hinh tai chinh'!BG101</f>
        <v>0</v>
      </c>
      <c r="X100" s="15">
        <f>'[1]Tinh hinh tai chinh'!BH101</f>
        <v>0</v>
      </c>
      <c r="Y100" s="15">
        <f>'[1]Tinh hinh tai chinh'!BI101</f>
        <v>0</v>
      </c>
      <c r="Z100" s="15">
        <f>'[1]Tinh hinh tai chinh'!BJ101</f>
        <v>0</v>
      </c>
      <c r="AA100" s="15">
        <f>'[1]Tinh hinh tai chinh'!BK101</f>
        <v>0</v>
      </c>
      <c r="AB100" s="15">
        <f>'Consol BS-DTRG'!D101</f>
        <v>0</v>
      </c>
      <c r="AC100" s="15">
        <f>'Consol BS-DTRG'!E101</f>
        <v>0</v>
      </c>
      <c r="AD100" s="15">
        <f>'Consol BS-DTRG'!F101</f>
        <v>0</v>
      </c>
      <c r="AE100" s="15">
        <f>'Consol BS-DTRG'!G101</f>
        <v>0</v>
      </c>
      <c r="AF100" s="15">
        <f>'Consol BS-DTRG'!H101</f>
        <v>0</v>
      </c>
      <c r="AG100" s="15">
        <f>'Consol BS-DTRG'!I101</f>
        <v>0</v>
      </c>
      <c r="AH100" s="15">
        <f>'Consol BS-DTRG'!J101</f>
        <v>0</v>
      </c>
      <c r="AI100" s="15">
        <f>'Consol BS-DTRG'!K101</f>
        <v>0</v>
      </c>
      <c r="AJ100" s="15">
        <f>'Consol BS-DTRG'!L101</f>
        <v>0</v>
      </c>
      <c r="AK100" s="15">
        <f>'Consol BS-DTRG'!M101</f>
        <v>0</v>
      </c>
      <c r="AL100" s="15">
        <f>'Consol BS-DTRG'!N101</f>
        <v>0</v>
      </c>
      <c r="AM100" s="15">
        <f>'Consol BS-DTRG'!O101</f>
        <v>0</v>
      </c>
    </row>
    <row r="101" spans="1:39">
      <c r="A101" s="633">
        <v>99</v>
      </c>
      <c r="B101" s="625" t="s">
        <v>351</v>
      </c>
      <c r="C101" t="s">
        <v>518</v>
      </c>
      <c r="D101" s="15">
        <f>'[1]Tinh hinh tai chinh'!AN102</f>
        <v>0</v>
      </c>
      <c r="E101" s="15">
        <f>'[1]Tinh hinh tai chinh'!AO102</f>
        <v>0</v>
      </c>
      <c r="F101" s="15">
        <f>'[1]Tinh hinh tai chinh'!AP102</f>
        <v>0</v>
      </c>
      <c r="G101" s="15">
        <f>'[1]Tinh hinh tai chinh'!AQ102</f>
        <v>0</v>
      </c>
      <c r="H101" s="15">
        <f>'[1]Tinh hinh tai chinh'!AR102</f>
        <v>0</v>
      </c>
      <c r="I101" s="15">
        <f>'[1]Tinh hinh tai chinh'!AS102</f>
        <v>0</v>
      </c>
      <c r="J101" s="15">
        <f>'[1]Tinh hinh tai chinh'!AT102</f>
        <v>0</v>
      </c>
      <c r="K101" s="15">
        <f>'[1]Tinh hinh tai chinh'!AU102</f>
        <v>0</v>
      </c>
      <c r="L101" s="15">
        <f>'[1]Tinh hinh tai chinh'!AV102</f>
        <v>0</v>
      </c>
      <c r="M101" s="15">
        <f>'[1]Tinh hinh tai chinh'!AW102</f>
        <v>0</v>
      </c>
      <c r="N101" s="15">
        <f>'[1]Tinh hinh tai chinh'!AX102</f>
        <v>0</v>
      </c>
      <c r="O101" s="15">
        <f>'[1]Tinh hinh tai chinh'!AY102</f>
        <v>0</v>
      </c>
      <c r="P101" s="15">
        <f>'[1]Tinh hinh tai chinh'!AZ102</f>
        <v>0</v>
      </c>
      <c r="Q101" s="15">
        <f>'[1]Tinh hinh tai chinh'!BA102</f>
        <v>0</v>
      </c>
      <c r="R101" s="15">
        <f>'[1]Tinh hinh tai chinh'!BB102</f>
        <v>0</v>
      </c>
      <c r="S101" s="15">
        <f>'[1]Tinh hinh tai chinh'!BC102</f>
        <v>0</v>
      </c>
      <c r="T101" s="15">
        <f>'[1]Tinh hinh tai chinh'!BD102</f>
        <v>0</v>
      </c>
      <c r="U101" s="15">
        <f>'[1]Tinh hinh tai chinh'!BE102</f>
        <v>0</v>
      </c>
      <c r="V101" s="15">
        <f>'[1]Tinh hinh tai chinh'!BF102</f>
        <v>0</v>
      </c>
      <c r="W101" s="15">
        <f>'[1]Tinh hinh tai chinh'!BG102</f>
        <v>0</v>
      </c>
      <c r="X101" s="15">
        <f>'[1]Tinh hinh tai chinh'!BH102</f>
        <v>0</v>
      </c>
      <c r="Y101" s="15">
        <f>'[1]Tinh hinh tai chinh'!BI102</f>
        <v>0</v>
      </c>
      <c r="Z101" s="15">
        <f>'[1]Tinh hinh tai chinh'!BJ102</f>
        <v>0</v>
      </c>
      <c r="AA101" s="15">
        <f>'[1]Tinh hinh tai chinh'!BK102</f>
        <v>0</v>
      </c>
      <c r="AB101" s="15">
        <f>'Consol BS-DTRG'!D102</f>
        <v>0</v>
      </c>
      <c r="AC101" s="15">
        <f>'Consol BS-DTRG'!E102</f>
        <v>0</v>
      </c>
      <c r="AD101" s="15">
        <f>'Consol BS-DTRG'!F102</f>
        <v>0</v>
      </c>
      <c r="AE101" s="15">
        <f>'Consol BS-DTRG'!G102</f>
        <v>0</v>
      </c>
      <c r="AF101" s="15">
        <f>'Consol BS-DTRG'!H102</f>
        <v>0</v>
      </c>
      <c r="AG101" s="15">
        <f>'Consol BS-DTRG'!I102</f>
        <v>0</v>
      </c>
      <c r="AH101" s="15">
        <f>'Consol BS-DTRG'!J102</f>
        <v>0</v>
      </c>
      <c r="AI101" s="15">
        <f>'Consol BS-DTRG'!K102</f>
        <v>0</v>
      </c>
      <c r="AJ101" s="15">
        <f>'Consol BS-DTRG'!L102</f>
        <v>0</v>
      </c>
      <c r="AK101" s="15">
        <f>'Consol BS-DTRG'!M102</f>
        <v>0</v>
      </c>
      <c r="AL101" s="15">
        <f>'Consol BS-DTRG'!N102</f>
        <v>0</v>
      </c>
      <c r="AM101" s="15">
        <f>'Consol BS-DTRG'!O102</f>
        <v>0</v>
      </c>
    </row>
    <row r="102" spans="1:39">
      <c r="A102" s="633">
        <v>100</v>
      </c>
      <c r="B102" s="625" t="s">
        <v>352</v>
      </c>
      <c r="C102" t="s">
        <v>518</v>
      </c>
      <c r="D102" s="15">
        <f>'[1]Tinh hinh tai chinh'!AN103</f>
        <v>0</v>
      </c>
      <c r="E102" s="15">
        <f>'[1]Tinh hinh tai chinh'!AO103</f>
        <v>0</v>
      </c>
      <c r="F102" s="15">
        <f>'[1]Tinh hinh tai chinh'!AP103</f>
        <v>0</v>
      </c>
      <c r="G102" s="15">
        <f>'[1]Tinh hinh tai chinh'!AQ103</f>
        <v>0</v>
      </c>
      <c r="H102" s="15">
        <f>'[1]Tinh hinh tai chinh'!AR103</f>
        <v>0</v>
      </c>
      <c r="I102" s="15">
        <f>'[1]Tinh hinh tai chinh'!AS103</f>
        <v>0</v>
      </c>
      <c r="J102" s="15">
        <f>'[1]Tinh hinh tai chinh'!AT103</f>
        <v>0</v>
      </c>
      <c r="K102" s="15">
        <f>'[1]Tinh hinh tai chinh'!AU103</f>
        <v>0</v>
      </c>
      <c r="L102" s="15">
        <f>'[1]Tinh hinh tai chinh'!AV103</f>
        <v>0</v>
      </c>
      <c r="M102" s="15">
        <f>'[1]Tinh hinh tai chinh'!AW103</f>
        <v>0</v>
      </c>
      <c r="N102" s="15">
        <f>'[1]Tinh hinh tai chinh'!AX103</f>
        <v>0</v>
      </c>
      <c r="O102" s="15">
        <f>'[1]Tinh hinh tai chinh'!AY103</f>
        <v>0</v>
      </c>
      <c r="P102" s="15">
        <f>'[1]Tinh hinh tai chinh'!AZ103</f>
        <v>0</v>
      </c>
      <c r="Q102" s="15">
        <f>'[1]Tinh hinh tai chinh'!BA103</f>
        <v>0</v>
      </c>
      <c r="R102" s="15">
        <f>'[1]Tinh hinh tai chinh'!BB103</f>
        <v>0</v>
      </c>
      <c r="S102" s="15">
        <f>'[1]Tinh hinh tai chinh'!BC103</f>
        <v>0</v>
      </c>
      <c r="T102" s="15">
        <f>'[1]Tinh hinh tai chinh'!BD103</f>
        <v>0</v>
      </c>
      <c r="U102" s="15">
        <f>'[1]Tinh hinh tai chinh'!BE103</f>
        <v>0</v>
      </c>
      <c r="V102" s="15">
        <f>'[1]Tinh hinh tai chinh'!BF103</f>
        <v>0</v>
      </c>
      <c r="W102" s="15">
        <f>'[1]Tinh hinh tai chinh'!BG103</f>
        <v>0</v>
      </c>
      <c r="X102" s="15">
        <f>'[1]Tinh hinh tai chinh'!BH103</f>
        <v>0</v>
      </c>
      <c r="Y102" s="15">
        <f>'[1]Tinh hinh tai chinh'!BI103</f>
        <v>0</v>
      </c>
      <c r="Z102" s="15">
        <f>'[1]Tinh hinh tai chinh'!BJ103</f>
        <v>0</v>
      </c>
      <c r="AA102" s="15">
        <f>'[1]Tinh hinh tai chinh'!BK103</f>
        <v>0</v>
      </c>
      <c r="AB102" s="15">
        <f>'Consol BS-DTRG'!D103</f>
        <v>0</v>
      </c>
      <c r="AC102" s="15">
        <f>'Consol BS-DTRG'!E103</f>
        <v>0</v>
      </c>
      <c r="AD102" s="15">
        <f>'Consol BS-DTRG'!F103</f>
        <v>0</v>
      </c>
      <c r="AE102" s="15">
        <f>'Consol BS-DTRG'!G103</f>
        <v>0</v>
      </c>
      <c r="AF102" s="15">
        <f>'Consol BS-DTRG'!H103</f>
        <v>0</v>
      </c>
      <c r="AG102" s="15">
        <f>'Consol BS-DTRG'!I103</f>
        <v>0</v>
      </c>
      <c r="AH102" s="15">
        <f>'Consol BS-DTRG'!J103</f>
        <v>0</v>
      </c>
      <c r="AI102" s="15">
        <f>'Consol BS-DTRG'!K103</f>
        <v>0</v>
      </c>
      <c r="AJ102" s="15">
        <f>'Consol BS-DTRG'!L103</f>
        <v>0</v>
      </c>
      <c r="AK102" s="15">
        <f>'Consol BS-DTRG'!M103</f>
        <v>0</v>
      </c>
      <c r="AL102" s="15">
        <f>'Consol BS-DTRG'!N103</f>
        <v>0</v>
      </c>
      <c r="AM102" s="15">
        <f>'Consol BS-DTRG'!O103</f>
        <v>0</v>
      </c>
    </row>
    <row r="103" spans="1:39">
      <c r="A103" s="633">
        <v>101</v>
      </c>
      <c r="B103" s="625" t="s">
        <v>353</v>
      </c>
      <c r="C103" t="s">
        <v>518</v>
      </c>
      <c r="D103" s="15">
        <f>'[1]Tinh hinh tai chinh'!AN104</f>
        <v>0</v>
      </c>
      <c r="E103" s="15">
        <f>'[1]Tinh hinh tai chinh'!AO104</f>
        <v>0</v>
      </c>
      <c r="F103" s="15">
        <f>'[1]Tinh hinh tai chinh'!AP104</f>
        <v>0</v>
      </c>
      <c r="G103" s="15">
        <f>'[1]Tinh hinh tai chinh'!AQ104</f>
        <v>0</v>
      </c>
      <c r="H103" s="15">
        <f>'[1]Tinh hinh tai chinh'!AR104</f>
        <v>0</v>
      </c>
      <c r="I103" s="15">
        <f>'[1]Tinh hinh tai chinh'!AS104</f>
        <v>0</v>
      </c>
      <c r="J103" s="15">
        <f>'[1]Tinh hinh tai chinh'!AT104</f>
        <v>0</v>
      </c>
      <c r="K103" s="15">
        <f>'[1]Tinh hinh tai chinh'!AU104</f>
        <v>0</v>
      </c>
      <c r="L103" s="15">
        <f>'[1]Tinh hinh tai chinh'!AV104</f>
        <v>0</v>
      </c>
      <c r="M103" s="15">
        <f>'[1]Tinh hinh tai chinh'!AW104</f>
        <v>0</v>
      </c>
      <c r="N103" s="15">
        <f>'[1]Tinh hinh tai chinh'!AX104</f>
        <v>0</v>
      </c>
      <c r="O103" s="15">
        <f>'[1]Tinh hinh tai chinh'!AY104</f>
        <v>0</v>
      </c>
      <c r="P103" s="15">
        <f>'[1]Tinh hinh tai chinh'!AZ104</f>
        <v>0</v>
      </c>
      <c r="Q103" s="15">
        <f>'[1]Tinh hinh tai chinh'!BA104</f>
        <v>0</v>
      </c>
      <c r="R103" s="15">
        <f>'[1]Tinh hinh tai chinh'!BB104</f>
        <v>0</v>
      </c>
      <c r="S103" s="15">
        <f>'[1]Tinh hinh tai chinh'!BC104</f>
        <v>0</v>
      </c>
      <c r="T103" s="15">
        <f>'[1]Tinh hinh tai chinh'!BD104</f>
        <v>0</v>
      </c>
      <c r="U103" s="15">
        <f>'[1]Tinh hinh tai chinh'!BE104</f>
        <v>0</v>
      </c>
      <c r="V103" s="15">
        <f>'[1]Tinh hinh tai chinh'!BF104</f>
        <v>0</v>
      </c>
      <c r="W103" s="15">
        <f>'[1]Tinh hinh tai chinh'!BG104</f>
        <v>0</v>
      </c>
      <c r="X103" s="15">
        <f>'[1]Tinh hinh tai chinh'!BH104</f>
        <v>0</v>
      </c>
      <c r="Y103" s="15">
        <f>'[1]Tinh hinh tai chinh'!BI104</f>
        <v>0</v>
      </c>
      <c r="Z103" s="15">
        <f>'[1]Tinh hinh tai chinh'!BJ104</f>
        <v>0</v>
      </c>
      <c r="AA103" s="15">
        <f>'[1]Tinh hinh tai chinh'!BK104</f>
        <v>0</v>
      </c>
      <c r="AB103" s="15">
        <f>'Consol BS-DTRG'!D104</f>
        <v>0</v>
      </c>
      <c r="AC103" s="15">
        <f>'Consol BS-DTRG'!E104</f>
        <v>0</v>
      </c>
      <c r="AD103" s="15">
        <f>'Consol BS-DTRG'!F104</f>
        <v>0</v>
      </c>
      <c r="AE103" s="15">
        <f>'Consol BS-DTRG'!G104</f>
        <v>0</v>
      </c>
      <c r="AF103" s="15">
        <f>'Consol BS-DTRG'!H104</f>
        <v>0</v>
      </c>
      <c r="AG103" s="15">
        <f>'Consol BS-DTRG'!I104</f>
        <v>0</v>
      </c>
      <c r="AH103" s="15">
        <f>'Consol BS-DTRG'!J104</f>
        <v>0</v>
      </c>
      <c r="AI103" s="15">
        <f>'Consol BS-DTRG'!K104</f>
        <v>0</v>
      </c>
      <c r="AJ103" s="15">
        <f>'Consol BS-DTRG'!L104</f>
        <v>0</v>
      </c>
      <c r="AK103" s="15">
        <f>'Consol BS-DTRG'!M104</f>
        <v>0</v>
      </c>
      <c r="AL103" s="15">
        <f>'Consol BS-DTRG'!N104</f>
        <v>0</v>
      </c>
      <c r="AM103" s="15">
        <f>'Consol BS-DTRG'!O104</f>
        <v>0</v>
      </c>
    </row>
    <row r="104" spans="1:39">
      <c r="A104" s="633">
        <v>102</v>
      </c>
      <c r="B104" s="625" t="s">
        <v>354</v>
      </c>
      <c r="C104" t="s">
        <v>518</v>
      </c>
      <c r="D104" s="15">
        <f>'[1]Tinh hinh tai chinh'!AN105</f>
        <v>0</v>
      </c>
      <c r="E104" s="15">
        <f>'[1]Tinh hinh tai chinh'!AO105</f>
        <v>0</v>
      </c>
      <c r="F104" s="15">
        <f>'[1]Tinh hinh tai chinh'!AP105</f>
        <v>0</v>
      </c>
      <c r="G104" s="15">
        <f>'[1]Tinh hinh tai chinh'!AQ105</f>
        <v>0</v>
      </c>
      <c r="H104" s="15">
        <f>'[1]Tinh hinh tai chinh'!AR105</f>
        <v>0</v>
      </c>
      <c r="I104" s="15">
        <f>'[1]Tinh hinh tai chinh'!AS105</f>
        <v>0</v>
      </c>
      <c r="J104" s="15">
        <f>'[1]Tinh hinh tai chinh'!AT105</f>
        <v>0</v>
      </c>
      <c r="K104" s="15">
        <f>'[1]Tinh hinh tai chinh'!AU105</f>
        <v>0</v>
      </c>
      <c r="L104" s="15">
        <f>'[1]Tinh hinh tai chinh'!AV105</f>
        <v>0</v>
      </c>
      <c r="M104" s="15">
        <f>'[1]Tinh hinh tai chinh'!AW105</f>
        <v>0</v>
      </c>
      <c r="N104" s="15">
        <f>'[1]Tinh hinh tai chinh'!AX105</f>
        <v>0</v>
      </c>
      <c r="O104" s="15">
        <f>'[1]Tinh hinh tai chinh'!AY105</f>
        <v>0</v>
      </c>
      <c r="P104" s="15">
        <f>'[1]Tinh hinh tai chinh'!AZ105</f>
        <v>0</v>
      </c>
      <c r="Q104" s="15">
        <f>'[1]Tinh hinh tai chinh'!BA105</f>
        <v>0</v>
      </c>
      <c r="R104" s="15">
        <f>'[1]Tinh hinh tai chinh'!BB105</f>
        <v>0</v>
      </c>
      <c r="S104" s="15">
        <f>'[1]Tinh hinh tai chinh'!BC105</f>
        <v>0</v>
      </c>
      <c r="T104" s="15">
        <f>'[1]Tinh hinh tai chinh'!BD105</f>
        <v>0</v>
      </c>
      <c r="U104" s="15">
        <f>'[1]Tinh hinh tai chinh'!BE105</f>
        <v>0</v>
      </c>
      <c r="V104" s="15">
        <f>'[1]Tinh hinh tai chinh'!BF105</f>
        <v>0</v>
      </c>
      <c r="W104" s="15">
        <f>'[1]Tinh hinh tai chinh'!BG105</f>
        <v>0</v>
      </c>
      <c r="X104" s="15">
        <f>'[1]Tinh hinh tai chinh'!BH105</f>
        <v>0</v>
      </c>
      <c r="Y104" s="15">
        <f>'[1]Tinh hinh tai chinh'!BI105</f>
        <v>0</v>
      </c>
      <c r="Z104" s="15">
        <f>'[1]Tinh hinh tai chinh'!BJ105</f>
        <v>0</v>
      </c>
      <c r="AA104" s="15">
        <f>'[1]Tinh hinh tai chinh'!BK105</f>
        <v>0</v>
      </c>
      <c r="AB104" s="15">
        <f>'Consol BS-DTRG'!D105</f>
        <v>0</v>
      </c>
      <c r="AC104" s="15">
        <f>'Consol BS-DTRG'!E105</f>
        <v>0</v>
      </c>
      <c r="AD104" s="15">
        <f>'Consol BS-DTRG'!F105</f>
        <v>0</v>
      </c>
      <c r="AE104" s="15">
        <f>'Consol BS-DTRG'!G105</f>
        <v>0</v>
      </c>
      <c r="AF104" s="15">
        <f>'Consol BS-DTRG'!H105</f>
        <v>0</v>
      </c>
      <c r="AG104" s="15">
        <f>'Consol BS-DTRG'!I105</f>
        <v>0</v>
      </c>
      <c r="AH104" s="15">
        <f>'Consol BS-DTRG'!J105</f>
        <v>0</v>
      </c>
      <c r="AI104" s="15">
        <f>'Consol BS-DTRG'!K105</f>
        <v>0</v>
      </c>
      <c r="AJ104" s="15">
        <f>'Consol BS-DTRG'!L105</f>
        <v>0</v>
      </c>
      <c r="AK104" s="15">
        <f>'Consol BS-DTRG'!M105</f>
        <v>0</v>
      </c>
      <c r="AL104" s="15">
        <f>'Consol BS-DTRG'!N105</f>
        <v>0</v>
      </c>
      <c r="AM104" s="15">
        <f>'Consol BS-DTRG'!O105</f>
        <v>0</v>
      </c>
    </row>
    <row r="105" spans="1:39">
      <c r="A105" s="633">
        <v>103</v>
      </c>
      <c r="B105" s="625" t="s">
        <v>355</v>
      </c>
      <c r="C105" t="s">
        <v>518</v>
      </c>
      <c r="D105" s="15">
        <f>'[1]Tinh hinh tai chinh'!AN106</f>
        <v>0</v>
      </c>
      <c r="E105" s="15">
        <f>'[1]Tinh hinh tai chinh'!AO106</f>
        <v>0</v>
      </c>
      <c r="F105" s="15">
        <f>'[1]Tinh hinh tai chinh'!AP106</f>
        <v>0</v>
      </c>
      <c r="G105" s="15">
        <f>'[1]Tinh hinh tai chinh'!AQ106</f>
        <v>0</v>
      </c>
      <c r="H105" s="15">
        <f>'[1]Tinh hinh tai chinh'!AR106</f>
        <v>0</v>
      </c>
      <c r="I105" s="15">
        <f>'[1]Tinh hinh tai chinh'!AS106</f>
        <v>0</v>
      </c>
      <c r="J105" s="15">
        <f>'[1]Tinh hinh tai chinh'!AT106</f>
        <v>0</v>
      </c>
      <c r="K105" s="15">
        <f>'[1]Tinh hinh tai chinh'!AU106</f>
        <v>0</v>
      </c>
      <c r="L105" s="15">
        <f>'[1]Tinh hinh tai chinh'!AV106</f>
        <v>0</v>
      </c>
      <c r="M105" s="15">
        <f>'[1]Tinh hinh tai chinh'!AW106</f>
        <v>0</v>
      </c>
      <c r="N105" s="15">
        <f>'[1]Tinh hinh tai chinh'!AX106</f>
        <v>0</v>
      </c>
      <c r="O105" s="15">
        <f>'[1]Tinh hinh tai chinh'!AY106</f>
        <v>0</v>
      </c>
      <c r="P105" s="15">
        <f>'[1]Tinh hinh tai chinh'!AZ106</f>
        <v>0</v>
      </c>
      <c r="Q105" s="15">
        <f>'[1]Tinh hinh tai chinh'!BA106</f>
        <v>0</v>
      </c>
      <c r="R105" s="15">
        <f>'[1]Tinh hinh tai chinh'!BB106</f>
        <v>0</v>
      </c>
      <c r="S105" s="15">
        <f>'[1]Tinh hinh tai chinh'!BC106</f>
        <v>0</v>
      </c>
      <c r="T105" s="15">
        <f>'[1]Tinh hinh tai chinh'!BD106</f>
        <v>0</v>
      </c>
      <c r="U105" s="15">
        <f>'[1]Tinh hinh tai chinh'!BE106</f>
        <v>0</v>
      </c>
      <c r="V105" s="15">
        <f>'[1]Tinh hinh tai chinh'!BF106</f>
        <v>0</v>
      </c>
      <c r="W105" s="15">
        <f>'[1]Tinh hinh tai chinh'!BG106</f>
        <v>0</v>
      </c>
      <c r="X105" s="15">
        <f>'[1]Tinh hinh tai chinh'!BH106</f>
        <v>0</v>
      </c>
      <c r="Y105" s="15">
        <f>'[1]Tinh hinh tai chinh'!BI106</f>
        <v>0</v>
      </c>
      <c r="Z105" s="15">
        <f>'[1]Tinh hinh tai chinh'!BJ106</f>
        <v>0</v>
      </c>
      <c r="AA105" s="15">
        <f>'[1]Tinh hinh tai chinh'!BK106</f>
        <v>0</v>
      </c>
      <c r="AB105" s="15">
        <f>'Consol BS-DTRG'!D106</f>
        <v>0</v>
      </c>
      <c r="AC105" s="15">
        <f>'Consol BS-DTRG'!E106</f>
        <v>0</v>
      </c>
      <c r="AD105" s="15">
        <f>'Consol BS-DTRG'!F106</f>
        <v>0</v>
      </c>
      <c r="AE105" s="15">
        <f>'Consol BS-DTRG'!G106</f>
        <v>0</v>
      </c>
      <c r="AF105" s="15">
        <f>'Consol BS-DTRG'!H106</f>
        <v>0</v>
      </c>
      <c r="AG105" s="15">
        <f>'Consol BS-DTRG'!I106</f>
        <v>0</v>
      </c>
      <c r="AH105" s="15">
        <f>'Consol BS-DTRG'!J106</f>
        <v>0</v>
      </c>
      <c r="AI105" s="15">
        <f>'Consol BS-DTRG'!K106</f>
        <v>0</v>
      </c>
      <c r="AJ105" s="15">
        <f>'Consol BS-DTRG'!L106</f>
        <v>0</v>
      </c>
      <c r="AK105" s="15">
        <f>'Consol BS-DTRG'!M106</f>
        <v>0</v>
      </c>
      <c r="AL105" s="15">
        <f>'Consol BS-DTRG'!N106</f>
        <v>0</v>
      </c>
      <c r="AM105" s="15">
        <f>'Consol BS-DTRG'!O106</f>
        <v>0</v>
      </c>
    </row>
    <row r="106" spans="1:39">
      <c r="A106" s="633">
        <v>104</v>
      </c>
      <c r="B106" s="625" t="s">
        <v>356</v>
      </c>
      <c r="C106" t="s">
        <v>518</v>
      </c>
      <c r="D106" s="15">
        <f>'[1]Tinh hinh tai chinh'!AN107</f>
        <v>0</v>
      </c>
      <c r="E106" s="15">
        <f>'[1]Tinh hinh tai chinh'!AO107</f>
        <v>0</v>
      </c>
      <c r="F106" s="15">
        <f>'[1]Tinh hinh tai chinh'!AP107</f>
        <v>0</v>
      </c>
      <c r="G106" s="15">
        <f>'[1]Tinh hinh tai chinh'!AQ107</f>
        <v>0</v>
      </c>
      <c r="H106" s="15">
        <f>'[1]Tinh hinh tai chinh'!AR107</f>
        <v>0</v>
      </c>
      <c r="I106" s="15">
        <f>'[1]Tinh hinh tai chinh'!AS107</f>
        <v>0</v>
      </c>
      <c r="J106" s="15">
        <f>'[1]Tinh hinh tai chinh'!AT107</f>
        <v>0</v>
      </c>
      <c r="K106" s="15">
        <f>'[1]Tinh hinh tai chinh'!AU107</f>
        <v>0</v>
      </c>
      <c r="L106" s="15">
        <f>'[1]Tinh hinh tai chinh'!AV107</f>
        <v>0</v>
      </c>
      <c r="M106" s="15">
        <f>'[1]Tinh hinh tai chinh'!AW107</f>
        <v>0</v>
      </c>
      <c r="N106" s="15">
        <f>'[1]Tinh hinh tai chinh'!AX107</f>
        <v>0</v>
      </c>
      <c r="O106" s="15">
        <f>'[1]Tinh hinh tai chinh'!AY107</f>
        <v>0</v>
      </c>
      <c r="P106" s="15">
        <f>'[1]Tinh hinh tai chinh'!AZ107</f>
        <v>0</v>
      </c>
      <c r="Q106" s="15">
        <f>'[1]Tinh hinh tai chinh'!BA107</f>
        <v>0</v>
      </c>
      <c r="R106" s="15">
        <f>'[1]Tinh hinh tai chinh'!BB107</f>
        <v>0</v>
      </c>
      <c r="S106" s="15">
        <f>'[1]Tinh hinh tai chinh'!BC107</f>
        <v>0</v>
      </c>
      <c r="T106" s="15">
        <f>'[1]Tinh hinh tai chinh'!BD107</f>
        <v>0</v>
      </c>
      <c r="U106" s="15">
        <f>'[1]Tinh hinh tai chinh'!BE107</f>
        <v>0</v>
      </c>
      <c r="V106" s="15">
        <f>'[1]Tinh hinh tai chinh'!BF107</f>
        <v>0</v>
      </c>
      <c r="W106" s="15">
        <f>'[1]Tinh hinh tai chinh'!BG107</f>
        <v>0</v>
      </c>
      <c r="X106" s="15">
        <f>'[1]Tinh hinh tai chinh'!BH107</f>
        <v>0</v>
      </c>
      <c r="Y106" s="15">
        <f>'[1]Tinh hinh tai chinh'!BI107</f>
        <v>0</v>
      </c>
      <c r="Z106" s="15">
        <f>'[1]Tinh hinh tai chinh'!BJ107</f>
        <v>0</v>
      </c>
      <c r="AA106" s="15">
        <f>'[1]Tinh hinh tai chinh'!BK107</f>
        <v>0</v>
      </c>
      <c r="AB106" s="15">
        <f>'Consol BS-DTRG'!D107</f>
        <v>200000000000</v>
      </c>
      <c r="AC106" s="15">
        <f>'Consol BS-DTRG'!E107</f>
        <v>200000000000</v>
      </c>
      <c r="AD106" s="15">
        <f>'Consol BS-DTRG'!F107</f>
        <v>183333000000</v>
      </c>
      <c r="AE106" s="15">
        <f>'Consol BS-DTRG'!G107</f>
        <v>183333000000</v>
      </c>
      <c r="AF106" s="15">
        <f>'Consol BS-DTRG'!H107</f>
        <v>183333000000</v>
      </c>
      <c r="AG106" s="15">
        <f>'Consol BS-DTRG'!I107</f>
        <v>166666000000</v>
      </c>
      <c r="AH106" s="15">
        <f>'Consol BS-DTRG'!J107</f>
        <v>166666000000</v>
      </c>
      <c r="AI106" s="15">
        <f>'Consol BS-DTRG'!K107</f>
        <v>166666000000</v>
      </c>
      <c r="AJ106" s="15">
        <f>'Consol BS-DTRG'!L107</f>
        <v>149999000000</v>
      </c>
      <c r="AK106" s="15">
        <f>'Consol BS-DTRG'!M107</f>
        <v>149999000000</v>
      </c>
      <c r="AL106" s="15">
        <f>'Consol BS-DTRG'!N107</f>
        <v>149999000000</v>
      </c>
      <c r="AM106" s="15">
        <f>'Consol BS-DTRG'!O107</f>
        <v>133332000000</v>
      </c>
    </row>
    <row r="107" spans="1:39">
      <c r="A107" s="633">
        <v>105</v>
      </c>
      <c r="B107" s="625" t="s">
        <v>357</v>
      </c>
      <c r="C107" t="s">
        <v>518</v>
      </c>
      <c r="D107" s="15">
        <f>'[1]Tinh hinh tai chinh'!AN108</f>
        <v>110386411070</v>
      </c>
      <c r="E107" s="15">
        <f>'[1]Tinh hinh tai chinh'!AO108</f>
        <v>110292351070</v>
      </c>
      <c r="F107" s="15">
        <f>'[1]Tinh hinh tai chinh'!AP108</f>
        <v>110233351070</v>
      </c>
      <c r="G107" s="15">
        <f>'[1]Tinh hinh tai chinh'!AQ108</f>
        <v>109938157678</v>
      </c>
      <c r="H107" s="15">
        <f>'[1]Tinh hinh tai chinh'!AR108</f>
        <v>107984867678</v>
      </c>
      <c r="I107" s="15">
        <f>'[1]Tinh hinh tai chinh'!AS108</f>
        <v>109314035678</v>
      </c>
      <c r="J107" s="15">
        <f>'[1]Tinh hinh tai chinh'!AT108</f>
        <v>109426842286</v>
      </c>
      <c r="K107" s="15">
        <f>'[1]Tinh hinh tai chinh'!AU108</f>
        <v>108769782286</v>
      </c>
      <c r="L107" s="15">
        <f>'[1]Tinh hinh tai chinh'!AV108</f>
        <v>109364782286</v>
      </c>
      <c r="M107" s="15">
        <f>'[1]Tinh hinh tai chinh'!AW108</f>
        <v>109588588894</v>
      </c>
      <c r="N107" s="15">
        <f>'[1]Tinh hinh tai chinh'!AX108</f>
        <v>136214528894</v>
      </c>
      <c r="O107" s="15">
        <f>'[1]Tinh hinh tai chinh'!AY108</f>
        <v>115668404212</v>
      </c>
      <c r="P107" s="15">
        <f>'[1]Tinh hinh tai chinh'!AZ108</f>
        <v>141180341946</v>
      </c>
      <c r="Q107" s="15">
        <f>'[1]Tinh hinh tai chinh'!BA108</f>
        <v>136932504168</v>
      </c>
      <c r="R107" s="15">
        <f>'[1]Tinh hinh tai chinh'!BB108</f>
        <v>136095726390</v>
      </c>
      <c r="S107" s="15">
        <f>'[1]Tinh hinh tai chinh'!BC108</f>
        <v>135022755220</v>
      </c>
      <c r="T107" s="15">
        <f>'[1]Tinh hinh tai chinh'!BD108</f>
        <v>130774917442</v>
      </c>
      <c r="U107" s="15">
        <f>'[1]Tinh hinh tai chinh'!BE108</f>
        <v>109891791394</v>
      </c>
      <c r="V107" s="15">
        <f>'[1]Tinh hinh tai chinh'!BF108</f>
        <v>108818820224</v>
      </c>
      <c r="W107" s="15">
        <f>'[1]Tinh hinh tai chinh'!BG108</f>
        <v>107233510446</v>
      </c>
      <c r="X107" s="15">
        <f>'[1]Tinh hinh tai chinh'!BH108</f>
        <v>106396732668</v>
      </c>
      <c r="Y107" s="15">
        <f>'[1]Tinh hinh tai chinh'!BI108</f>
        <v>101343133942</v>
      </c>
      <c r="Z107" s="15">
        <f>'[1]Tinh hinh tai chinh'!BJ108</f>
        <v>102401372942</v>
      </c>
      <c r="AA107" s="15">
        <f>'[1]Tinh hinh tai chinh'!BK108</f>
        <v>83152254354</v>
      </c>
      <c r="AB107" s="15">
        <f>'Consol BS-DTRG'!D108</f>
        <v>280799882786.70361</v>
      </c>
      <c r="AC107" s="15">
        <f>'Consol BS-DTRG'!E108</f>
        <v>277211406105.70361</v>
      </c>
      <c r="AD107" s="15">
        <f>'Consol BS-DTRG'!F108</f>
        <v>272896223424.70364</v>
      </c>
      <c r="AE107" s="15">
        <f>'Consol BS-DTRG'!G108</f>
        <v>339436625351.70361</v>
      </c>
      <c r="AF107" s="15">
        <f>'Consol BS-DTRG'!H108</f>
        <v>335848148670.70361</v>
      </c>
      <c r="AG107" s="15">
        <f>'Consol BS-DTRG'!I108</f>
        <v>331532965989.70367</v>
      </c>
      <c r="AH107" s="15">
        <f>'Consol BS-DTRG'!J108</f>
        <v>330015367916.70367</v>
      </c>
      <c r="AI107" s="15">
        <f>'Consol BS-DTRG'!K108</f>
        <v>326426891235.70374</v>
      </c>
      <c r="AJ107" s="15">
        <f>'Consol BS-DTRG'!L108</f>
        <v>322111708554.70374</v>
      </c>
      <c r="AK107" s="15">
        <f>'Consol BS-DTRG'!M108</f>
        <v>320594110481.7038</v>
      </c>
      <c r="AL107" s="15">
        <f>'Consol BS-DTRG'!N108</f>
        <v>317005633800.7038</v>
      </c>
      <c r="AM107" s="15">
        <f>'Consol BS-DTRG'!O108</f>
        <v>312690451119.7038</v>
      </c>
    </row>
    <row r="108" spans="1:39">
      <c r="A108" s="633">
        <v>106</v>
      </c>
      <c r="B108" s="625" t="s">
        <v>358</v>
      </c>
      <c r="C108" t="s">
        <v>518</v>
      </c>
      <c r="D108" s="15">
        <f>'[1]Tinh hinh tai chinh'!AN109</f>
        <v>0</v>
      </c>
      <c r="E108" s="15">
        <f>'[1]Tinh hinh tai chinh'!AO109</f>
        <v>0</v>
      </c>
      <c r="F108" s="15">
        <f>'[1]Tinh hinh tai chinh'!AP109</f>
        <v>0</v>
      </c>
      <c r="G108" s="15">
        <f>'[1]Tinh hinh tai chinh'!AQ109</f>
        <v>0</v>
      </c>
      <c r="H108" s="15">
        <f>'[1]Tinh hinh tai chinh'!AR109</f>
        <v>0</v>
      </c>
      <c r="I108" s="15">
        <f>'[1]Tinh hinh tai chinh'!AS109</f>
        <v>0</v>
      </c>
      <c r="J108" s="15">
        <f>'[1]Tinh hinh tai chinh'!AT109</f>
        <v>0</v>
      </c>
      <c r="K108" s="15">
        <f>'[1]Tinh hinh tai chinh'!AU109</f>
        <v>0</v>
      </c>
      <c r="L108" s="15">
        <f>'[1]Tinh hinh tai chinh'!AV109</f>
        <v>0</v>
      </c>
      <c r="M108" s="15">
        <f>'[1]Tinh hinh tai chinh'!AW109</f>
        <v>0</v>
      </c>
      <c r="N108" s="15">
        <f>'[1]Tinh hinh tai chinh'!AX109</f>
        <v>0</v>
      </c>
      <c r="O108" s="15">
        <f>'[1]Tinh hinh tai chinh'!AY109</f>
        <v>0</v>
      </c>
      <c r="P108" s="15">
        <f>'[1]Tinh hinh tai chinh'!AZ109</f>
        <v>0</v>
      </c>
      <c r="Q108" s="15">
        <f>'[1]Tinh hinh tai chinh'!BA109</f>
        <v>0</v>
      </c>
      <c r="R108" s="15">
        <f>'[1]Tinh hinh tai chinh'!BB109</f>
        <v>0</v>
      </c>
      <c r="S108" s="15">
        <f>'[1]Tinh hinh tai chinh'!BC109</f>
        <v>0</v>
      </c>
      <c r="T108" s="15">
        <f>'[1]Tinh hinh tai chinh'!BD109</f>
        <v>0</v>
      </c>
      <c r="U108" s="15">
        <f>'[1]Tinh hinh tai chinh'!BE109</f>
        <v>0</v>
      </c>
      <c r="V108" s="15">
        <f>'[1]Tinh hinh tai chinh'!BF109</f>
        <v>0</v>
      </c>
      <c r="W108" s="15">
        <f>'[1]Tinh hinh tai chinh'!BG109</f>
        <v>0</v>
      </c>
      <c r="X108" s="15">
        <f>'[1]Tinh hinh tai chinh'!BH109</f>
        <v>0</v>
      </c>
      <c r="Y108" s="15">
        <f>'[1]Tinh hinh tai chinh'!BI109</f>
        <v>0</v>
      </c>
      <c r="Z108" s="15">
        <f>'[1]Tinh hinh tai chinh'!BJ109</f>
        <v>0</v>
      </c>
      <c r="AA108" s="15">
        <f>'[1]Tinh hinh tai chinh'!BK109</f>
        <v>0</v>
      </c>
      <c r="AB108" s="15">
        <f>'Consol BS-DTRG'!D109</f>
        <v>0</v>
      </c>
      <c r="AC108" s="15">
        <f>'Consol BS-DTRG'!E109</f>
        <v>0</v>
      </c>
      <c r="AD108" s="15">
        <f>'Consol BS-DTRG'!F109</f>
        <v>0</v>
      </c>
      <c r="AE108" s="15">
        <f>'Consol BS-DTRG'!G109</f>
        <v>0</v>
      </c>
      <c r="AF108" s="15">
        <f>'Consol BS-DTRG'!H109</f>
        <v>0</v>
      </c>
      <c r="AG108" s="15">
        <f>'Consol BS-DTRG'!I109</f>
        <v>0</v>
      </c>
      <c r="AH108" s="15">
        <f>'Consol BS-DTRG'!J109</f>
        <v>0</v>
      </c>
      <c r="AI108" s="15">
        <f>'Consol BS-DTRG'!K109</f>
        <v>0</v>
      </c>
      <c r="AJ108" s="15">
        <f>'Consol BS-DTRG'!L109</f>
        <v>0</v>
      </c>
      <c r="AK108" s="15">
        <f>'Consol BS-DTRG'!M109</f>
        <v>0</v>
      </c>
      <c r="AL108" s="15">
        <f>'Consol BS-DTRG'!N109</f>
        <v>0</v>
      </c>
      <c r="AM108" s="15">
        <f>'Consol BS-DTRG'!O109</f>
        <v>0</v>
      </c>
    </row>
    <row r="109" spans="1:39">
      <c r="A109" s="633">
        <v>107</v>
      </c>
      <c r="B109" s="625" t="s">
        <v>359</v>
      </c>
      <c r="C109" t="s">
        <v>518</v>
      </c>
      <c r="D109" s="15">
        <f>'[1]Tinh hinh tai chinh'!AN110</f>
        <v>0</v>
      </c>
      <c r="E109" s="15">
        <f>'[1]Tinh hinh tai chinh'!AO110</f>
        <v>0</v>
      </c>
      <c r="F109" s="15">
        <f>'[1]Tinh hinh tai chinh'!AP110</f>
        <v>0</v>
      </c>
      <c r="G109" s="15">
        <f>'[1]Tinh hinh tai chinh'!AQ110</f>
        <v>0</v>
      </c>
      <c r="H109" s="15">
        <f>'[1]Tinh hinh tai chinh'!AR110</f>
        <v>0</v>
      </c>
      <c r="I109" s="15">
        <f>'[1]Tinh hinh tai chinh'!AS110</f>
        <v>0</v>
      </c>
      <c r="J109" s="15">
        <f>'[1]Tinh hinh tai chinh'!AT110</f>
        <v>0</v>
      </c>
      <c r="K109" s="15">
        <f>'[1]Tinh hinh tai chinh'!AU110</f>
        <v>0</v>
      </c>
      <c r="L109" s="15">
        <f>'[1]Tinh hinh tai chinh'!AV110</f>
        <v>0</v>
      </c>
      <c r="M109" s="15">
        <f>'[1]Tinh hinh tai chinh'!AW110</f>
        <v>0</v>
      </c>
      <c r="N109" s="15">
        <f>'[1]Tinh hinh tai chinh'!AX110</f>
        <v>0</v>
      </c>
      <c r="O109" s="15">
        <f>'[1]Tinh hinh tai chinh'!AY110</f>
        <v>0</v>
      </c>
      <c r="P109" s="15">
        <f>'[1]Tinh hinh tai chinh'!AZ110</f>
        <v>0</v>
      </c>
      <c r="Q109" s="15">
        <f>'[1]Tinh hinh tai chinh'!BA110</f>
        <v>0</v>
      </c>
      <c r="R109" s="15">
        <f>'[1]Tinh hinh tai chinh'!BB110</f>
        <v>0</v>
      </c>
      <c r="S109" s="15">
        <f>'[1]Tinh hinh tai chinh'!BC110</f>
        <v>0</v>
      </c>
      <c r="T109" s="15">
        <f>'[1]Tinh hinh tai chinh'!BD110</f>
        <v>0</v>
      </c>
      <c r="U109" s="15">
        <f>'[1]Tinh hinh tai chinh'!BE110</f>
        <v>0</v>
      </c>
      <c r="V109" s="15">
        <f>'[1]Tinh hinh tai chinh'!BF110</f>
        <v>0</v>
      </c>
      <c r="W109" s="15">
        <f>'[1]Tinh hinh tai chinh'!BG110</f>
        <v>0</v>
      </c>
      <c r="X109" s="15">
        <f>'[1]Tinh hinh tai chinh'!BH110</f>
        <v>0</v>
      </c>
      <c r="Y109" s="15">
        <f>'[1]Tinh hinh tai chinh'!BI110</f>
        <v>0</v>
      </c>
      <c r="Z109" s="15">
        <f>'[1]Tinh hinh tai chinh'!BJ110</f>
        <v>0</v>
      </c>
      <c r="AA109" s="15">
        <f>'[1]Tinh hinh tai chinh'!BK110</f>
        <v>0</v>
      </c>
      <c r="AB109" s="15">
        <f>'Consol BS-DTRG'!D110</f>
        <v>0</v>
      </c>
      <c r="AC109" s="15">
        <f>'Consol BS-DTRG'!E110</f>
        <v>0</v>
      </c>
      <c r="AD109" s="15">
        <f>'Consol BS-DTRG'!F110</f>
        <v>0</v>
      </c>
      <c r="AE109" s="15">
        <f>'Consol BS-DTRG'!G110</f>
        <v>0</v>
      </c>
      <c r="AF109" s="15">
        <f>'Consol BS-DTRG'!H110</f>
        <v>0</v>
      </c>
      <c r="AG109" s="15">
        <f>'Consol BS-DTRG'!I110</f>
        <v>0</v>
      </c>
      <c r="AH109" s="15">
        <f>'Consol BS-DTRG'!J110</f>
        <v>0</v>
      </c>
      <c r="AI109" s="15">
        <f>'Consol BS-DTRG'!K110</f>
        <v>0</v>
      </c>
      <c r="AJ109" s="15">
        <f>'Consol BS-DTRG'!L110</f>
        <v>0</v>
      </c>
      <c r="AK109" s="15">
        <f>'Consol BS-DTRG'!M110</f>
        <v>0</v>
      </c>
      <c r="AL109" s="15">
        <f>'Consol BS-DTRG'!N110</f>
        <v>0</v>
      </c>
      <c r="AM109" s="15">
        <f>'Consol BS-DTRG'!O110</f>
        <v>0</v>
      </c>
    </row>
    <row r="110" spans="1:39">
      <c r="A110" s="633">
        <v>108</v>
      </c>
      <c r="B110" s="625" t="s">
        <v>360</v>
      </c>
      <c r="C110" t="s">
        <v>518</v>
      </c>
      <c r="D110" s="15">
        <f>'[1]Tinh hinh tai chinh'!AN111</f>
        <v>0</v>
      </c>
      <c r="E110" s="15">
        <f>'[1]Tinh hinh tai chinh'!AO111</f>
        <v>0</v>
      </c>
      <c r="F110" s="15">
        <f>'[1]Tinh hinh tai chinh'!AP111</f>
        <v>0</v>
      </c>
      <c r="G110" s="15">
        <f>'[1]Tinh hinh tai chinh'!AQ111</f>
        <v>0</v>
      </c>
      <c r="H110" s="15">
        <f>'[1]Tinh hinh tai chinh'!AR111</f>
        <v>0</v>
      </c>
      <c r="I110" s="15">
        <f>'[1]Tinh hinh tai chinh'!AS111</f>
        <v>0</v>
      </c>
      <c r="J110" s="15">
        <f>'[1]Tinh hinh tai chinh'!AT111</f>
        <v>0</v>
      </c>
      <c r="K110" s="15">
        <f>'[1]Tinh hinh tai chinh'!AU111</f>
        <v>0</v>
      </c>
      <c r="L110" s="15">
        <f>'[1]Tinh hinh tai chinh'!AV111</f>
        <v>0</v>
      </c>
      <c r="M110" s="15">
        <f>'[1]Tinh hinh tai chinh'!AW111</f>
        <v>0</v>
      </c>
      <c r="N110" s="15">
        <f>'[1]Tinh hinh tai chinh'!AX111</f>
        <v>0</v>
      </c>
      <c r="O110" s="15">
        <f>'[1]Tinh hinh tai chinh'!AY111</f>
        <v>1838941310</v>
      </c>
      <c r="P110" s="15">
        <f>'[1]Tinh hinh tai chinh'!AZ111</f>
        <v>0</v>
      </c>
      <c r="Q110" s="15">
        <f>'[1]Tinh hinh tai chinh'!BA111</f>
        <v>0</v>
      </c>
      <c r="R110" s="15">
        <f>'[1]Tinh hinh tai chinh'!BB111</f>
        <v>0</v>
      </c>
      <c r="S110" s="15">
        <f>'[1]Tinh hinh tai chinh'!BC111</f>
        <v>0</v>
      </c>
      <c r="T110" s="15">
        <f>'[1]Tinh hinh tai chinh'!BD111</f>
        <v>0</v>
      </c>
      <c r="U110" s="15">
        <f>'[1]Tinh hinh tai chinh'!BE111</f>
        <v>0</v>
      </c>
      <c r="V110" s="15">
        <f>'[1]Tinh hinh tai chinh'!BF111</f>
        <v>0</v>
      </c>
      <c r="W110" s="15">
        <f>'[1]Tinh hinh tai chinh'!BG111</f>
        <v>0</v>
      </c>
      <c r="X110" s="15">
        <f>'[1]Tinh hinh tai chinh'!BH111</f>
        <v>0</v>
      </c>
      <c r="Y110" s="15">
        <f>'[1]Tinh hinh tai chinh'!BI111</f>
        <v>0</v>
      </c>
      <c r="Z110" s="15">
        <f>'[1]Tinh hinh tai chinh'!BJ111</f>
        <v>0</v>
      </c>
      <c r="AA110" s="15">
        <f>'[1]Tinh hinh tai chinh'!BK111</f>
        <v>0</v>
      </c>
      <c r="AB110" s="15">
        <f>'Consol BS-DTRG'!D111</f>
        <v>0</v>
      </c>
      <c r="AC110" s="15">
        <f>'Consol BS-DTRG'!E111</f>
        <v>0</v>
      </c>
      <c r="AD110" s="15">
        <f>'Consol BS-DTRG'!F111</f>
        <v>0</v>
      </c>
      <c r="AE110" s="15">
        <f>'Consol BS-DTRG'!G111</f>
        <v>0</v>
      </c>
      <c r="AF110" s="15">
        <f>'Consol BS-DTRG'!H111</f>
        <v>0</v>
      </c>
      <c r="AG110" s="15">
        <f>'Consol BS-DTRG'!I111</f>
        <v>0</v>
      </c>
      <c r="AH110" s="15">
        <f>'Consol BS-DTRG'!J111</f>
        <v>0</v>
      </c>
      <c r="AI110" s="15">
        <f>'Consol BS-DTRG'!K111</f>
        <v>0</v>
      </c>
      <c r="AJ110" s="15">
        <f>'Consol BS-DTRG'!L111</f>
        <v>0</v>
      </c>
      <c r="AK110" s="15">
        <f>'Consol BS-DTRG'!M111</f>
        <v>0</v>
      </c>
      <c r="AL110" s="15">
        <f>'Consol BS-DTRG'!N111</f>
        <v>0</v>
      </c>
      <c r="AM110" s="15">
        <f>'Consol BS-DTRG'!O111</f>
        <v>0</v>
      </c>
    </row>
    <row r="111" spans="1:39">
      <c r="A111" s="633">
        <v>109</v>
      </c>
      <c r="B111" s="625" t="s">
        <v>361</v>
      </c>
      <c r="C111" t="s">
        <v>518</v>
      </c>
      <c r="D111" s="15">
        <f>'[1]Tinh hinh tai chinh'!AN112</f>
        <v>0</v>
      </c>
      <c r="E111" s="15">
        <f>'[1]Tinh hinh tai chinh'!AO112</f>
        <v>0</v>
      </c>
      <c r="F111" s="15">
        <f>'[1]Tinh hinh tai chinh'!AP112</f>
        <v>0</v>
      </c>
      <c r="G111" s="15">
        <f>'[1]Tinh hinh tai chinh'!AQ112</f>
        <v>0</v>
      </c>
      <c r="H111" s="15">
        <f>'[1]Tinh hinh tai chinh'!AR112</f>
        <v>0</v>
      </c>
      <c r="I111" s="15">
        <f>'[1]Tinh hinh tai chinh'!AS112</f>
        <v>0</v>
      </c>
      <c r="J111" s="15">
        <f>'[1]Tinh hinh tai chinh'!AT112</f>
        <v>0</v>
      </c>
      <c r="K111" s="15">
        <f>'[1]Tinh hinh tai chinh'!AU112</f>
        <v>0</v>
      </c>
      <c r="L111" s="15">
        <f>'[1]Tinh hinh tai chinh'!AV112</f>
        <v>0</v>
      </c>
      <c r="M111" s="15">
        <f>'[1]Tinh hinh tai chinh'!AW112</f>
        <v>0</v>
      </c>
      <c r="N111" s="15">
        <f>'[1]Tinh hinh tai chinh'!AX112</f>
        <v>0</v>
      </c>
      <c r="O111" s="15">
        <f>'[1]Tinh hinh tai chinh'!AY112</f>
        <v>0</v>
      </c>
      <c r="P111" s="15">
        <f>'[1]Tinh hinh tai chinh'!AZ112</f>
        <v>0</v>
      </c>
      <c r="Q111" s="15">
        <f>'[1]Tinh hinh tai chinh'!BA112</f>
        <v>0</v>
      </c>
      <c r="R111" s="15">
        <f>'[1]Tinh hinh tai chinh'!BB112</f>
        <v>0</v>
      </c>
      <c r="S111" s="15">
        <f>'[1]Tinh hinh tai chinh'!BC112</f>
        <v>0</v>
      </c>
      <c r="T111" s="15">
        <f>'[1]Tinh hinh tai chinh'!BD112</f>
        <v>0</v>
      </c>
      <c r="U111" s="15">
        <f>'[1]Tinh hinh tai chinh'!BE112</f>
        <v>0</v>
      </c>
      <c r="V111" s="15">
        <f>'[1]Tinh hinh tai chinh'!BF112</f>
        <v>0</v>
      </c>
      <c r="W111" s="15">
        <f>'[1]Tinh hinh tai chinh'!BG112</f>
        <v>0</v>
      </c>
      <c r="X111" s="15">
        <f>'[1]Tinh hinh tai chinh'!BH112</f>
        <v>0</v>
      </c>
      <c r="Y111" s="15">
        <f>'[1]Tinh hinh tai chinh'!BI112</f>
        <v>0</v>
      </c>
      <c r="Z111" s="15">
        <f>'[1]Tinh hinh tai chinh'!BJ112</f>
        <v>0</v>
      </c>
      <c r="AA111" s="15">
        <f>'[1]Tinh hinh tai chinh'!BK112</f>
        <v>0</v>
      </c>
      <c r="AB111" s="15">
        <f>'Consol BS-DTRG'!D112</f>
        <v>0</v>
      </c>
      <c r="AC111" s="15">
        <f>'Consol BS-DTRG'!E112</f>
        <v>0</v>
      </c>
      <c r="AD111" s="15">
        <f>'Consol BS-DTRG'!F112</f>
        <v>0</v>
      </c>
      <c r="AE111" s="15">
        <f>'Consol BS-DTRG'!G112</f>
        <v>0</v>
      </c>
      <c r="AF111" s="15">
        <f>'Consol BS-DTRG'!H112</f>
        <v>0</v>
      </c>
      <c r="AG111" s="15">
        <f>'Consol BS-DTRG'!I112</f>
        <v>0</v>
      </c>
      <c r="AH111" s="15">
        <f>'Consol BS-DTRG'!J112</f>
        <v>0</v>
      </c>
      <c r="AI111" s="15">
        <f>'Consol BS-DTRG'!K112</f>
        <v>0</v>
      </c>
      <c r="AJ111" s="15">
        <f>'Consol BS-DTRG'!L112</f>
        <v>0</v>
      </c>
      <c r="AK111" s="15">
        <f>'Consol BS-DTRG'!M112</f>
        <v>0</v>
      </c>
      <c r="AL111" s="15">
        <f>'Consol BS-DTRG'!N112</f>
        <v>0</v>
      </c>
      <c r="AM111" s="15">
        <f>'Consol BS-DTRG'!O112</f>
        <v>0</v>
      </c>
    </row>
    <row r="112" spans="1:39">
      <c r="A112" s="633">
        <v>110</v>
      </c>
      <c r="B112" s="625" t="s">
        <v>362</v>
      </c>
      <c r="C112" t="s">
        <v>518</v>
      </c>
      <c r="D112" s="15">
        <f>'[1]Tinh hinh tai chinh'!AN113</f>
        <v>0</v>
      </c>
      <c r="E112" s="15">
        <f>'[1]Tinh hinh tai chinh'!AO113</f>
        <v>0</v>
      </c>
      <c r="F112" s="15">
        <f>'[1]Tinh hinh tai chinh'!AP113</f>
        <v>0</v>
      </c>
      <c r="G112" s="15">
        <f>'[1]Tinh hinh tai chinh'!AQ113</f>
        <v>0</v>
      </c>
      <c r="H112" s="15">
        <f>'[1]Tinh hinh tai chinh'!AR113</f>
        <v>0</v>
      </c>
      <c r="I112" s="15">
        <f>'[1]Tinh hinh tai chinh'!AS113</f>
        <v>0</v>
      </c>
      <c r="J112" s="15">
        <f>'[1]Tinh hinh tai chinh'!AT113</f>
        <v>0</v>
      </c>
      <c r="K112" s="15">
        <f>'[1]Tinh hinh tai chinh'!AU113</f>
        <v>0</v>
      </c>
      <c r="L112" s="15">
        <f>'[1]Tinh hinh tai chinh'!AV113</f>
        <v>0</v>
      </c>
      <c r="M112" s="15">
        <f>'[1]Tinh hinh tai chinh'!AW113</f>
        <v>0</v>
      </c>
      <c r="N112" s="15">
        <f>'[1]Tinh hinh tai chinh'!AX113</f>
        <v>0</v>
      </c>
      <c r="O112" s="15">
        <f>'[1]Tinh hinh tai chinh'!AY113</f>
        <v>0</v>
      </c>
      <c r="P112" s="15">
        <f>'[1]Tinh hinh tai chinh'!AZ113</f>
        <v>0</v>
      </c>
      <c r="Q112" s="15">
        <f>'[1]Tinh hinh tai chinh'!BA113</f>
        <v>0</v>
      </c>
      <c r="R112" s="15">
        <f>'[1]Tinh hinh tai chinh'!BB113</f>
        <v>0</v>
      </c>
      <c r="S112" s="15">
        <f>'[1]Tinh hinh tai chinh'!BC113</f>
        <v>0</v>
      </c>
      <c r="T112" s="15">
        <f>'[1]Tinh hinh tai chinh'!BD113</f>
        <v>0</v>
      </c>
      <c r="U112" s="15">
        <f>'[1]Tinh hinh tai chinh'!BE113</f>
        <v>0</v>
      </c>
      <c r="V112" s="15">
        <f>'[1]Tinh hinh tai chinh'!BF113</f>
        <v>0</v>
      </c>
      <c r="W112" s="15">
        <f>'[1]Tinh hinh tai chinh'!BG113</f>
        <v>0</v>
      </c>
      <c r="X112" s="15">
        <f>'[1]Tinh hinh tai chinh'!BH113</f>
        <v>0</v>
      </c>
      <c r="Y112" s="15">
        <f>'[1]Tinh hinh tai chinh'!BI113</f>
        <v>0</v>
      </c>
      <c r="Z112" s="15">
        <f>'[1]Tinh hinh tai chinh'!BJ113</f>
        <v>0</v>
      </c>
      <c r="AA112" s="15">
        <f>'[1]Tinh hinh tai chinh'!BK113</f>
        <v>0</v>
      </c>
      <c r="AB112" s="15">
        <f>'Consol BS-DTRG'!D113</f>
        <v>0</v>
      </c>
      <c r="AC112" s="15">
        <f>'Consol BS-DTRG'!E113</f>
        <v>0</v>
      </c>
      <c r="AD112" s="15">
        <f>'Consol BS-DTRG'!F113</f>
        <v>0</v>
      </c>
      <c r="AE112" s="15">
        <f>'Consol BS-DTRG'!G113</f>
        <v>0</v>
      </c>
      <c r="AF112" s="15">
        <f>'Consol BS-DTRG'!H113</f>
        <v>0</v>
      </c>
      <c r="AG112" s="15">
        <f>'Consol BS-DTRG'!I113</f>
        <v>0</v>
      </c>
      <c r="AH112" s="15">
        <f>'Consol BS-DTRG'!J113</f>
        <v>0</v>
      </c>
      <c r="AI112" s="15">
        <f>'Consol BS-DTRG'!K113</f>
        <v>0</v>
      </c>
      <c r="AJ112" s="15">
        <f>'Consol BS-DTRG'!L113</f>
        <v>0</v>
      </c>
      <c r="AK112" s="15">
        <f>'Consol BS-DTRG'!M113</f>
        <v>0</v>
      </c>
      <c r="AL112" s="15">
        <f>'Consol BS-DTRG'!N113</f>
        <v>0</v>
      </c>
      <c r="AM112" s="15">
        <f>'Consol BS-DTRG'!O113</f>
        <v>0</v>
      </c>
    </row>
    <row r="113" spans="1:39">
      <c r="A113" s="634">
        <v>111</v>
      </c>
      <c r="B113" s="610" t="s">
        <v>363</v>
      </c>
      <c r="D113" s="639">
        <f t="shared" ref="D113:AA113" si="46">SUM(D114,D117:D125)</f>
        <v>855851514758</v>
      </c>
      <c r="E113" s="639">
        <f t="shared" si="46"/>
        <v>849113202906</v>
      </c>
      <c r="F113" s="639">
        <f t="shared" si="46"/>
        <v>846369881618</v>
      </c>
      <c r="G113" s="639">
        <f t="shared" si="46"/>
        <v>848038222035</v>
      </c>
      <c r="H113" s="639">
        <f t="shared" si="46"/>
        <v>842346413861</v>
      </c>
      <c r="I113" s="639">
        <f t="shared" si="46"/>
        <v>830203765216</v>
      </c>
      <c r="J113" s="639">
        <f t="shared" si="46"/>
        <v>815009488882</v>
      </c>
      <c r="K113" s="639">
        <f t="shared" si="46"/>
        <v>804963168023</v>
      </c>
      <c r="L113" s="639">
        <f t="shared" si="46"/>
        <v>813080811621</v>
      </c>
      <c r="M113" s="639">
        <f t="shared" si="46"/>
        <v>806735064957</v>
      </c>
      <c r="N113" s="639">
        <f t="shared" si="46"/>
        <v>820682915285</v>
      </c>
      <c r="O113" s="639">
        <f t="shared" si="46"/>
        <v>910257269259</v>
      </c>
      <c r="P113" s="639">
        <f t="shared" si="46"/>
        <v>912460126084</v>
      </c>
      <c r="Q113" s="639">
        <f t="shared" si="46"/>
        <v>926520354770</v>
      </c>
      <c r="R113" s="639">
        <f t="shared" si="46"/>
        <v>932264614653</v>
      </c>
      <c r="S113" s="639">
        <f t="shared" si="46"/>
        <v>935523824887</v>
      </c>
      <c r="T113" s="639">
        <f t="shared" si="46"/>
        <v>944822344016</v>
      </c>
      <c r="U113" s="639">
        <f t="shared" si="46"/>
        <v>945507845260</v>
      </c>
      <c r="V113" s="639">
        <f t="shared" si="46"/>
        <v>948751834230</v>
      </c>
      <c r="W113" s="639">
        <f t="shared" si="46"/>
        <v>951300987412</v>
      </c>
      <c r="X113" s="639">
        <f t="shared" si="46"/>
        <v>940112900432</v>
      </c>
      <c r="Y113" s="639">
        <f t="shared" si="46"/>
        <v>935231117543</v>
      </c>
      <c r="Z113" s="639">
        <f t="shared" si="46"/>
        <v>927744063567</v>
      </c>
      <c r="AA113" s="639">
        <f t="shared" si="46"/>
        <v>935589673869</v>
      </c>
      <c r="AB113" s="639">
        <f t="shared" ref="AB113:AM113" ca="1" si="47">SUM(AB114,AB117:AB125)</f>
        <v>925967919932.10583</v>
      </c>
      <c r="AC113" s="639">
        <f t="shared" ca="1" si="47"/>
        <v>924172789957.42505</v>
      </c>
      <c r="AD113" s="639">
        <f t="shared" ca="1" si="47"/>
        <v>927984102743.55774</v>
      </c>
      <c r="AE113" s="639">
        <f t="shared" ca="1" si="47"/>
        <v>930827988979.47339</v>
      </c>
      <c r="AF113" s="639">
        <f t="shared" ca="1" si="47"/>
        <v>935279995637.25354</v>
      </c>
      <c r="AG113" s="639">
        <f t="shared" ca="1" si="47"/>
        <v>937267234353.33435</v>
      </c>
      <c r="AH113" s="639">
        <f t="shared" ca="1" si="47"/>
        <v>945819626085.65198</v>
      </c>
      <c r="AI113" s="639">
        <f t="shared" ca="1" si="47"/>
        <v>952862090524.98193</v>
      </c>
      <c r="AJ113" s="639">
        <f t="shared" ca="1" si="47"/>
        <v>959102522152.40527</v>
      </c>
      <c r="AK113" s="639">
        <f t="shared" ca="1" si="47"/>
        <v>965891725626.78516</v>
      </c>
      <c r="AL113" s="639">
        <f t="shared" ca="1" si="47"/>
        <v>973594468254.16333</v>
      </c>
      <c r="AM113" s="639">
        <f t="shared" ca="1" si="47"/>
        <v>979310898727.73352</v>
      </c>
    </row>
    <row r="114" spans="1:39">
      <c r="A114" s="633">
        <v>112</v>
      </c>
      <c r="B114" s="625" t="s">
        <v>364</v>
      </c>
      <c r="D114" s="15">
        <f t="shared" ref="D114:AA114" si="48">SUM(D115:D116)</f>
        <v>752000000000</v>
      </c>
      <c r="E114" s="15">
        <f t="shared" si="48"/>
        <v>752000000000</v>
      </c>
      <c r="F114" s="15">
        <f t="shared" si="48"/>
        <v>752000000000</v>
      </c>
      <c r="G114" s="15">
        <f t="shared" si="48"/>
        <v>752000000000</v>
      </c>
      <c r="H114" s="15">
        <f t="shared" si="48"/>
        <v>752000000000</v>
      </c>
      <c r="I114" s="15">
        <f t="shared" si="48"/>
        <v>752000000000</v>
      </c>
      <c r="J114" s="15">
        <f t="shared" si="48"/>
        <v>752000000000</v>
      </c>
      <c r="K114" s="15">
        <f t="shared" si="48"/>
        <v>752000000000</v>
      </c>
      <c r="L114" s="15">
        <f t="shared" si="48"/>
        <v>752000000000</v>
      </c>
      <c r="M114" s="15">
        <f t="shared" si="48"/>
        <v>752000000000</v>
      </c>
      <c r="N114" s="15">
        <f t="shared" si="48"/>
        <v>772000000000</v>
      </c>
      <c r="O114" s="15">
        <f t="shared" si="48"/>
        <v>772000000000</v>
      </c>
      <c r="P114" s="15">
        <f t="shared" si="48"/>
        <v>772000000000</v>
      </c>
      <c r="Q114" s="15">
        <f t="shared" si="48"/>
        <v>772000000000</v>
      </c>
      <c r="R114" s="15">
        <f t="shared" si="48"/>
        <v>772000000000</v>
      </c>
      <c r="S114" s="15">
        <f t="shared" si="48"/>
        <v>772000000000</v>
      </c>
      <c r="T114" s="15">
        <f t="shared" si="48"/>
        <v>772000000000</v>
      </c>
      <c r="U114" s="15">
        <f t="shared" si="48"/>
        <v>772000000000</v>
      </c>
      <c r="V114" s="15">
        <f t="shared" si="48"/>
        <v>772000000000</v>
      </c>
      <c r="W114" s="15">
        <f t="shared" si="48"/>
        <v>772000000000</v>
      </c>
      <c r="X114" s="15">
        <f t="shared" si="48"/>
        <v>772000000000</v>
      </c>
      <c r="Y114" s="15">
        <f t="shared" si="48"/>
        <v>772000000000</v>
      </c>
      <c r="Z114" s="15">
        <f t="shared" si="48"/>
        <v>772500000000</v>
      </c>
      <c r="AA114" s="15">
        <f t="shared" si="48"/>
        <v>778000000000</v>
      </c>
      <c r="AB114" s="15">
        <f t="shared" ref="AB114:AM114" si="49">SUM(AB115:AB116)</f>
        <v>772000000000</v>
      </c>
      <c r="AC114" s="15">
        <f t="shared" si="49"/>
        <v>772000000000</v>
      </c>
      <c r="AD114" s="15">
        <f t="shared" si="49"/>
        <v>772000000000</v>
      </c>
      <c r="AE114" s="15">
        <f t="shared" si="49"/>
        <v>772000000000</v>
      </c>
      <c r="AF114" s="15">
        <f t="shared" si="49"/>
        <v>772000000000</v>
      </c>
      <c r="AG114" s="15">
        <f t="shared" si="49"/>
        <v>772000000000</v>
      </c>
      <c r="AH114" s="15">
        <f t="shared" si="49"/>
        <v>772000000000</v>
      </c>
      <c r="AI114" s="15">
        <f t="shared" si="49"/>
        <v>772000000000</v>
      </c>
      <c r="AJ114" s="15">
        <f t="shared" si="49"/>
        <v>772000000000</v>
      </c>
      <c r="AK114" s="15">
        <f t="shared" si="49"/>
        <v>772000000000</v>
      </c>
      <c r="AL114" s="15">
        <f t="shared" si="49"/>
        <v>772000000000</v>
      </c>
      <c r="AM114" s="15">
        <f t="shared" si="49"/>
        <v>772000000000</v>
      </c>
    </row>
    <row r="115" spans="1:39">
      <c r="A115" s="633">
        <v>113</v>
      </c>
      <c r="B115" s="625" t="s">
        <v>365</v>
      </c>
      <c r="C115" t="s">
        <v>518</v>
      </c>
      <c r="D115" s="15">
        <f>'[1]Tinh hinh tai chinh'!AN116</f>
        <v>752000000000</v>
      </c>
      <c r="E115" s="15">
        <f>'[1]Tinh hinh tai chinh'!AO116</f>
        <v>752000000000</v>
      </c>
      <c r="F115" s="15">
        <f>'[1]Tinh hinh tai chinh'!AP116</f>
        <v>752000000000</v>
      </c>
      <c r="G115" s="15">
        <f>'[1]Tinh hinh tai chinh'!AQ116</f>
        <v>752000000000</v>
      </c>
      <c r="H115" s="15">
        <f>'[1]Tinh hinh tai chinh'!AR116</f>
        <v>752000000000</v>
      </c>
      <c r="I115" s="15">
        <f>'[1]Tinh hinh tai chinh'!AS116</f>
        <v>752000000000</v>
      </c>
      <c r="J115" s="15">
        <f>'[1]Tinh hinh tai chinh'!AT116</f>
        <v>752000000000</v>
      </c>
      <c r="K115" s="15">
        <f>'[1]Tinh hinh tai chinh'!AU116</f>
        <v>752000000000</v>
      </c>
      <c r="L115" s="15">
        <f>'[1]Tinh hinh tai chinh'!AV116</f>
        <v>752000000000</v>
      </c>
      <c r="M115" s="15">
        <f>'[1]Tinh hinh tai chinh'!AW116</f>
        <v>752000000000</v>
      </c>
      <c r="N115" s="15">
        <f>'[1]Tinh hinh tai chinh'!AX116</f>
        <v>772000000000</v>
      </c>
      <c r="O115" s="15">
        <f>'[1]Tinh hinh tai chinh'!AY116</f>
        <v>772000000000</v>
      </c>
      <c r="P115" s="15">
        <f>'[1]Tinh hinh tai chinh'!AZ116</f>
        <v>772000000000</v>
      </c>
      <c r="Q115" s="15">
        <f>'[1]Tinh hinh tai chinh'!BA116</f>
        <v>772000000000</v>
      </c>
      <c r="R115" s="15">
        <f>'[1]Tinh hinh tai chinh'!BB116</f>
        <v>772000000000</v>
      </c>
      <c r="S115" s="15">
        <f>'[1]Tinh hinh tai chinh'!BC116</f>
        <v>772000000000</v>
      </c>
      <c r="T115" s="15">
        <f>'[1]Tinh hinh tai chinh'!BD116</f>
        <v>772000000000</v>
      </c>
      <c r="U115" s="15">
        <f>'[1]Tinh hinh tai chinh'!BE116</f>
        <v>772000000000</v>
      </c>
      <c r="V115" s="15">
        <f>'[1]Tinh hinh tai chinh'!BF116</f>
        <v>772000000000</v>
      </c>
      <c r="W115" s="15">
        <f>'[1]Tinh hinh tai chinh'!BG116</f>
        <v>772000000000</v>
      </c>
      <c r="X115" s="15">
        <f>'[1]Tinh hinh tai chinh'!BH116</f>
        <v>772000000000</v>
      </c>
      <c r="Y115" s="15">
        <f>'[1]Tinh hinh tai chinh'!BI116</f>
        <v>772000000000</v>
      </c>
      <c r="Z115" s="15">
        <f>'[1]Tinh hinh tai chinh'!BJ116</f>
        <v>772500000000</v>
      </c>
      <c r="AA115" s="15">
        <f>'[1]Tinh hinh tai chinh'!BK116</f>
        <v>778000000000</v>
      </c>
      <c r="AB115" s="15">
        <f>'Consol BS-DTRG'!D116</f>
        <v>772000000000</v>
      </c>
      <c r="AC115" s="15">
        <f>'Consol BS-DTRG'!E116</f>
        <v>772000000000</v>
      </c>
      <c r="AD115" s="15">
        <f>'Consol BS-DTRG'!F116</f>
        <v>772000000000</v>
      </c>
      <c r="AE115" s="15">
        <f>'Consol BS-DTRG'!G116</f>
        <v>772000000000</v>
      </c>
      <c r="AF115" s="15">
        <f>'Consol BS-DTRG'!H116</f>
        <v>772000000000</v>
      </c>
      <c r="AG115" s="15">
        <f>'Consol BS-DTRG'!I116</f>
        <v>772000000000</v>
      </c>
      <c r="AH115" s="15">
        <f>'Consol BS-DTRG'!J116</f>
        <v>772000000000</v>
      </c>
      <c r="AI115" s="15">
        <f>'Consol BS-DTRG'!K116</f>
        <v>772000000000</v>
      </c>
      <c r="AJ115" s="15">
        <f>'Consol BS-DTRG'!L116</f>
        <v>772000000000</v>
      </c>
      <c r="AK115" s="15">
        <f>'Consol BS-DTRG'!M116</f>
        <v>772000000000</v>
      </c>
      <c r="AL115" s="15">
        <f>'Consol BS-DTRG'!N116</f>
        <v>772000000000</v>
      </c>
      <c r="AM115" s="15">
        <f>'Consol BS-DTRG'!O116</f>
        <v>772000000000</v>
      </c>
    </row>
    <row r="116" spans="1:39">
      <c r="A116" s="633">
        <v>114</v>
      </c>
      <c r="B116" s="625" t="s">
        <v>366</v>
      </c>
      <c r="C116" t="s">
        <v>518</v>
      </c>
      <c r="D116" s="15">
        <f>'[1]Tinh hinh tai chinh'!AN117</f>
        <v>0</v>
      </c>
      <c r="E116" s="15">
        <f>'[1]Tinh hinh tai chinh'!AO117</f>
        <v>0</v>
      </c>
      <c r="F116" s="15">
        <f>'[1]Tinh hinh tai chinh'!AP117</f>
        <v>0</v>
      </c>
      <c r="G116" s="15">
        <f>'[1]Tinh hinh tai chinh'!AQ117</f>
        <v>0</v>
      </c>
      <c r="H116" s="15">
        <f>'[1]Tinh hinh tai chinh'!AR117</f>
        <v>0</v>
      </c>
      <c r="I116" s="15">
        <f>'[1]Tinh hinh tai chinh'!AS117</f>
        <v>0</v>
      </c>
      <c r="J116" s="15">
        <f>'[1]Tinh hinh tai chinh'!AT117</f>
        <v>0</v>
      </c>
      <c r="K116" s="15">
        <f>'[1]Tinh hinh tai chinh'!AU117</f>
        <v>0</v>
      </c>
      <c r="L116" s="15">
        <f>'[1]Tinh hinh tai chinh'!AV117</f>
        <v>0</v>
      </c>
      <c r="M116" s="15">
        <f>'[1]Tinh hinh tai chinh'!AW117</f>
        <v>0</v>
      </c>
      <c r="N116" s="15">
        <f>'[1]Tinh hinh tai chinh'!AX117</f>
        <v>0</v>
      </c>
      <c r="O116" s="15">
        <f>'[1]Tinh hinh tai chinh'!AY117</f>
        <v>0</v>
      </c>
      <c r="P116" s="15">
        <f>'[1]Tinh hinh tai chinh'!AZ117</f>
        <v>0</v>
      </c>
      <c r="Q116" s="15">
        <f>'[1]Tinh hinh tai chinh'!BA117</f>
        <v>0</v>
      </c>
      <c r="R116" s="15">
        <f>'[1]Tinh hinh tai chinh'!BB117</f>
        <v>0</v>
      </c>
      <c r="S116" s="15">
        <f>'[1]Tinh hinh tai chinh'!BC117</f>
        <v>0</v>
      </c>
      <c r="T116" s="15">
        <f>'[1]Tinh hinh tai chinh'!BD117</f>
        <v>0</v>
      </c>
      <c r="U116" s="15">
        <f>'[1]Tinh hinh tai chinh'!BE117</f>
        <v>0</v>
      </c>
      <c r="V116" s="15">
        <f>'[1]Tinh hinh tai chinh'!BF117</f>
        <v>0</v>
      </c>
      <c r="W116" s="15">
        <f>'[1]Tinh hinh tai chinh'!BG117</f>
        <v>0</v>
      </c>
      <c r="X116" s="15">
        <f>'[1]Tinh hinh tai chinh'!BH117</f>
        <v>0</v>
      </c>
      <c r="Y116" s="15">
        <f>'[1]Tinh hinh tai chinh'!BI117</f>
        <v>0</v>
      </c>
      <c r="Z116" s="15">
        <f>'[1]Tinh hinh tai chinh'!BJ117</f>
        <v>0</v>
      </c>
      <c r="AA116" s="15">
        <f>'[1]Tinh hinh tai chinh'!BK117</f>
        <v>0</v>
      </c>
      <c r="AB116" s="15">
        <f>'Consol BS-DTRG'!D117</f>
        <v>0</v>
      </c>
      <c r="AC116" s="15">
        <f>'Consol BS-DTRG'!E117</f>
        <v>0</v>
      </c>
      <c r="AD116" s="15">
        <f>'Consol BS-DTRG'!F117</f>
        <v>0</v>
      </c>
      <c r="AE116" s="15">
        <f>'Consol BS-DTRG'!G117</f>
        <v>0</v>
      </c>
      <c r="AF116" s="15">
        <f>'Consol BS-DTRG'!H117</f>
        <v>0</v>
      </c>
      <c r="AG116" s="15">
        <f>'Consol BS-DTRG'!I117</f>
        <v>0</v>
      </c>
      <c r="AH116" s="15">
        <f>'Consol BS-DTRG'!J117</f>
        <v>0</v>
      </c>
      <c r="AI116" s="15">
        <f>'Consol BS-DTRG'!K117</f>
        <v>0</v>
      </c>
      <c r="AJ116" s="15">
        <f>'Consol BS-DTRG'!L117</f>
        <v>0</v>
      </c>
      <c r="AK116" s="15">
        <f>'Consol BS-DTRG'!M117</f>
        <v>0</v>
      </c>
      <c r="AL116" s="15">
        <f>'Consol BS-DTRG'!N117</f>
        <v>0</v>
      </c>
      <c r="AM116" s="15">
        <f>'Consol BS-DTRG'!O117</f>
        <v>0</v>
      </c>
    </row>
    <row r="117" spans="1:39">
      <c r="A117" s="633">
        <v>115</v>
      </c>
      <c r="B117" s="625" t="s">
        <v>367</v>
      </c>
      <c r="C117" t="s">
        <v>518</v>
      </c>
      <c r="D117" s="15">
        <f>'[1]Tinh hinh tai chinh'!AN118</f>
        <v>0</v>
      </c>
      <c r="E117" s="15">
        <f>'[1]Tinh hinh tai chinh'!AO118</f>
        <v>0</v>
      </c>
      <c r="F117" s="15">
        <f>'[1]Tinh hinh tai chinh'!AP118</f>
        <v>0</v>
      </c>
      <c r="G117" s="15">
        <f>'[1]Tinh hinh tai chinh'!AQ118</f>
        <v>0</v>
      </c>
      <c r="H117" s="15">
        <f>'[1]Tinh hinh tai chinh'!AR118</f>
        <v>0</v>
      </c>
      <c r="I117" s="15">
        <f>'[1]Tinh hinh tai chinh'!AS118</f>
        <v>0</v>
      </c>
      <c r="J117" s="15">
        <f>'[1]Tinh hinh tai chinh'!AT118</f>
        <v>0</v>
      </c>
      <c r="K117" s="15">
        <f>'[1]Tinh hinh tai chinh'!AU118</f>
        <v>0</v>
      </c>
      <c r="L117" s="15">
        <f>'[1]Tinh hinh tai chinh'!AV118</f>
        <v>0</v>
      </c>
      <c r="M117" s="15">
        <f>'[1]Tinh hinh tai chinh'!AW118</f>
        <v>0</v>
      </c>
      <c r="N117" s="15">
        <f>'[1]Tinh hinh tai chinh'!AX118</f>
        <v>0</v>
      </c>
      <c r="O117" s="15">
        <f>'[1]Tinh hinh tai chinh'!AY118</f>
        <v>0</v>
      </c>
      <c r="P117" s="15">
        <f>'[1]Tinh hinh tai chinh'!AZ118</f>
        <v>0</v>
      </c>
      <c r="Q117" s="15">
        <f>'[1]Tinh hinh tai chinh'!BA118</f>
        <v>0</v>
      </c>
      <c r="R117" s="15">
        <f>'[1]Tinh hinh tai chinh'!BB118</f>
        <v>0</v>
      </c>
      <c r="S117" s="15">
        <f>'[1]Tinh hinh tai chinh'!BC118</f>
        <v>0</v>
      </c>
      <c r="T117" s="15">
        <f>'[1]Tinh hinh tai chinh'!BD118</f>
        <v>0</v>
      </c>
      <c r="U117" s="15">
        <f>'[1]Tinh hinh tai chinh'!BE118</f>
        <v>0</v>
      </c>
      <c r="V117" s="15">
        <f>'[1]Tinh hinh tai chinh'!BF118</f>
        <v>0</v>
      </c>
      <c r="W117" s="15">
        <f>'[1]Tinh hinh tai chinh'!BG118</f>
        <v>0</v>
      </c>
      <c r="X117" s="15">
        <f>'[1]Tinh hinh tai chinh'!BH118</f>
        <v>0</v>
      </c>
      <c r="Y117" s="15">
        <f>'[1]Tinh hinh tai chinh'!BI118</f>
        <v>0</v>
      </c>
      <c r="Z117" s="15">
        <f>'[1]Tinh hinh tai chinh'!BJ118</f>
        <v>0</v>
      </c>
      <c r="AA117" s="15">
        <f>'[1]Tinh hinh tai chinh'!BK118</f>
        <v>0</v>
      </c>
      <c r="AB117" s="15">
        <f>'Consol BS-DTRG'!D118</f>
        <v>0</v>
      </c>
      <c r="AC117" s="15">
        <f>'Consol BS-DTRG'!E118</f>
        <v>0</v>
      </c>
      <c r="AD117" s="15">
        <f>'Consol BS-DTRG'!F118</f>
        <v>0</v>
      </c>
      <c r="AE117" s="15">
        <f>'Consol BS-DTRG'!G118</f>
        <v>0</v>
      </c>
      <c r="AF117" s="15">
        <f>'Consol BS-DTRG'!H118</f>
        <v>0</v>
      </c>
      <c r="AG117" s="15">
        <f>'Consol BS-DTRG'!I118</f>
        <v>0</v>
      </c>
      <c r="AH117" s="15">
        <f>'Consol BS-DTRG'!J118</f>
        <v>0</v>
      </c>
      <c r="AI117" s="15">
        <f>'Consol BS-DTRG'!K118</f>
        <v>0</v>
      </c>
      <c r="AJ117" s="15">
        <f>'Consol BS-DTRG'!L118</f>
        <v>0</v>
      </c>
      <c r="AK117" s="15">
        <f>'Consol BS-DTRG'!M118</f>
        <v>0</v>
      </c>
      <c r="AL117" s="15">
        <f>'Consol BS-DTRG'!N118</f>
        <v>0</v>
      </c>
      <c r="AM117" s="15">
        <f>'Consol BS-DTRG'!O118</f>
        <v>0</v>
      </c>
    </row>
    <row r="118" spans="1:39">
      <c r="A118" s="633">
        <v>116</v>
      </c>
      <c r="B118" s="625" t="s">
        <v>368</v>
      </c>
      <c r="C118" t="s">
        <v>518</v>
      </c>
      <c r="D118" s="15">
        <f>'[1]Tinh hinh tai chinh'!AN119</f>
        <v>0</v>
      </c>
      <c r="E118" s="15">
        <f>'[1]Tinh hinh tai chinh'!AO119</f>
        <v>0</v>
      </c>
      <c r="F118" s="15">
        <f>'[1]Tinh hinh tai chinh'!AP119</f>
        <v>0</v>
      </c>
      <c r="G118" s="15">
        <f>'[1]Tinh hinh tai chinh'!AQ119</f>
        <v>0</v>
      </c>
      <c r="H118" s="15">
        <f>'[1]Tinh hinh tai chinh'!AR119</f>
        <v>0</v>
      </c>
      <c r="I118" s="15">
        <f>'[1]Tinh hinh tai chinh'!AS119</f>
        <v>0</v>
      </c>
      <c r="J118" s="15">
        <f>'[1]Tinh hinh tai chinh'!AT119</f>
        <v>0</v>
      </c>
      <c r="K118" s="15">
        <f>'[1]Tinh hinh tai chinh'!AU119</f>
        <v>0</v>
      </c>
      <c r="L118" s="15">
        <f>'[1]Tinh hinh tai chinh'!AV119</f>
        <v>0</v>
      </c>
      <c r="M118" s="15">
        <f>'[1]Tinh hinh tai chinh'!AW119</f>
        <v>0</v>
      </c>
      <c r="N118" s="15">
        <f>'[1]Tinh hinh tai chinh'!AX119</f>
        <v>0</v>
      </c>
      <c r="O118" s="15">
        <f>'[1]Tinh hinh tai chinh'!AY119</f>
        <v>0</v>
      </c>
      <c r="P118" s="15">
        <f>'[1]Tinh hinh tai chinh'!AZ119</f>
        <v>0</v>
      </c>
      <c r="Q118" s="15">
        <f>'[1]Tinh hinh tai chinh'!BA119</f>
        <v>0</v>
      </c>
      <c r="R118" s="15">
        <f>'[1]Tinh hinh tai chinh'!BB119</f>
        <v>0</v>
      </c>
      <c r="S118" s="15">
        <f>'[1]Tinh hinh tai chinh'!BC119</f>
        <v>0</v>
      </c>
      <c r="T118" s="15">
        <f>'[1]Tinh hinh tai chinh'!BD119</f>
        <v>0</v>
      </c>
      <c r="U118" s="15">
        <f>'[1]Tinh hinh tai chinh'!BE119</f>
        <v>0</v>
      </c>
      <c r="V118" s="15">
        <f>'[1]Tinh hinh tai chinh'!BF119</f>
        <v>0</v>
      </c>
      <c r="W118" s="15">
        <f>'[1]Tinh hinh tai chinh'!BG119</f>
        <v>0</v>
      </c>
      <c r="X118" s="15">
        <f>'[1]Tinh hinh tai chinh'!BH119</f>
        <v>0</v>
      </c>
      <c r="Y118" s="15">
        <f>'[1]Tinh hinh tai chinh'!BI119</f>
        <v>0</v>
      </c>
      <c r="Z118" s="15">
        <f>'[1]Tinh hinh tai chinh'!BJ119</f>
        <v>0</v>
      </c>
      <c r="AA118" s="15">
        <f>'[1]Tinh hinh tai chinh'!BK119</f>
        <v>0</v>
      </c>
      <c r="AB118" s="15">
        <f>'Consol BS-DTRG'!D119</f>
        <v>0</v>
      </c>
      <c r="AC118" s="15">
        <f>'Consol BS-DTRG'!E119</f>
        <v>0</v>
      </c>
      <c r="AD118" s="15">
        <f>'Consol BS-DTRG'!F119</f>
        <v>0</v>
      </c>
      <c r="AE118" s="15">
        <f>'Consol BS-DTRG'!G119</f>
        <v>0</v>
      </c>
      <c r="AF118" s="15">
        <f>'Consol BS-DTRG'!H119</f>
        <v>0</v>
      </c>
      <c r="AG118" s="15">
        <f>'Consol BS-DTRG'!I119</f>
        <v>0</v>
      </c>
      <c r="AH118" s="15">
        <f>'Consol BS-DTRG'!J119</f>
        <v>0</v>
      </c>
      <c r="AI118" s="15">
        <f>'Consol BS-DTRG'!K119</f>
        <v>0</v>
      </c>
      <c r="AJ118" s="15">
        <f>'Consol BS-DTRG'!L119</f>
        <v>0</v>
      </c>
      <c r="AK118" s="15">
        <f>'Consol BS-DTRG'!M119</f>
        <v>0</v>
      </c>
      <c r="AL118" s="15">
        <f>'Consol BS-DTRG'!N119</f>
        <v>0</v>
      </c>
      <c r="AM118" s="15">
        <f>'Consol BS-DTRG'!O119</f>
        <v>0</v>
      </c>
    </row>
    <row r="119" spans="1:39">
      <c r="A119" s="633">
        <v>117</v>
      </c>
      <c r="B119" s="625" t="s">
        <v>369</v>
      </c>
      <c r="C119" t="s">
        <v>518</v>
      </c>
      <c r="D119" s="15">
        <f>'[1]Tinh hinh tai chinh'!AN120</f>
        <v>0</v>
      </c>
      <c r="E119" s="15">
        <f>'[1]Tinh hinh tai chinh'!AO120</f>
        <v>0</v>
      </c>
      <c r="F119" s="15">
        <f>'[1]Tinh hinh tai chinh'!AP120</f>
        <v>0</v>
      </c>
      <c r="G119" s="15">
        <f>'[1]Tinh hinh tai chinh'!AQ120</f>
        <v>0</v>
      </c>
      <c r="H119" s="15">
        <f>'[1]Tinh hinh tai chinh'!AR120</f>
        <v>0</v>
      </c>
      <c r="I119" s="15">
        <f>'[1]Tinh hinh tai chinh'!AS120</f>
        <v>0</v>
      </c>
      <c r="J119" s="15">
        <f>'[1]Tinh hinh tai chinh'!AT120</f>
        <v>0</v>
      </c>
      <c r="K119" s="15">
        <f>'[1]Tinh hinh tai chinh'!AU120</f>
        <v>0</v>
      </c>
      <c r="L119" s="15">
        <f>'[1]Tinh hinh tai chinh'!AV120</f>
        <v>0</v>
      </c>
      <c r="M119" s="15">
        <f>'[1]Tinh hinh tai chinh'!AW120</f>
        <v>0</v>
      </c>
      <c r="N119" s="15">
        <f>'[1]Tinh hinh tai chinh'!AX120</f>
        <v>0</v>
      </c>
      <c r="O119" s="15">
        <f>'[1]Tinh hinh tai chinh'!AY120</f>
        <v>0</v>
      </c>
      <c r="P119" s="15">
        <f>'[1]Tinh hinh tai chinh'!AZ120</f>
        <v>0</v>
      </c>
      <c r="Q119" s="15">
        <f>'[1]Tinh hinh tai chinh'!BA120</f>
        <v>0</v>
      </c>
      <c r="R119" s="15">
        <f>'[1]Tinh hinh tai chinh'!BB120</f>
        <v>0</v>
      </c>
      <c r="S119" s="15">
        <f>'[1]Tinh hinh tai chinh'!BC120</f>
        <v>0</v>
      </c>
      <c r="T119" s="15">
        <f>'[1]Tinh hinh tai chinh'!BD120</f>
        <v>0</v>
      </c>
      <c r="U119" s="15">
        <f>'[1]Tinh hinh tai chinh'!BE120</f>
        <v>0</v>
      </c>
      <c r="V119" s="15">
        <f>'[1]Tinh hinh tai chinh'!BF120</f>
        <v>0</v>
      </c>
      <c r="W119" s="15">
        <f>'[1]Tinh hinh tai chinh'!BG120</f>
        <v>0</v>
      </c>
      <c r="X119" s="15">
        <f>'[1]Tinh hinh tai chinh'!BH120</f>
        <v>0</v>
      </c>
      <c r="Y119" s="15">
        <f>'[1]Tinh hinh tai chinh'!BI120</f>
        <v>0</v>
      </c>
      <c r="Z119" s="15">
        <f>'[1]Tinh hinh tai chinh'!BJ120</f>
        <v>0</v>
      </c>
      <c r="AA119" s="15">
        <f>'[1]Tinh hinh tai chinh'!BK120</f>
        <v>0</v>
      </c>
      <c r="AB119" s="15">
        <f>'Consol BS-DTRG'!D120</f>
        <v>0</v>
      </c>
      <c r="AC119" s="15">
        <f>'Consol BS-DTRG'!E120</f>
        <v>0</v>
      </c>
      <c r="AD119" s="15">
        <f>'Consol BS-DTRG'!F120</f>
        <v>0</v>
      </c>
      <c r="AE119" s="15">
        <f>'Consol BS-DTRG'!G120</f>
        <v>0</v>
      </c>
      <c r="AF119" s="15">
        <f>'Consol BS-DTRG'!H120</f>
        <v>0</v>
      </c>
      <c r="AG119" s="15">
        <f>'Consol BS-DTRG'!I120</f>
        <v>0</v>
      </c>
      <c r="AH119" s="15">
        <f>'Consol BS-DTRG'!J120</f>
        <v>0</v>
      </c>
      <c r="AI119" s="15">
        <f>'Consol BS-DTRG'!K120</f>
        <v>0</v>
      </c>
      <c r="AJ119" s="15">
        <f>'Consol BS-DTRG'!L120</f>
        <v>0</v>
      </c>
      <c r="AK119" s="15">
        <f>'Consol BS-DTRG'!M120</f>
        <v>0</v>
      </c>
      <c r="AL119" s="15">
        <f>'Consol BS-DTRG'!N120</f>
        <v>0</v>
      </c>
      <c r="AM119" s="15">
        <f>'Consol BS-DTRG'!O120</f>
        <v>0</v>
      </c>
    </row>
    <row r="120" spans="1:39">
      <c r="A120" s="633">
        <v>118</v>
      </c>
      <c r="B120" s="625" t="s">
        <v>370</v>
      </c>
      <c r="C120" t="s">
        <v>518</v>
      </c>
      <c r="D120" s="15">
        <f>'[1]Tinh hinh tai chinh'!AN121</f>
        <v>0</v>
      </c>
      <c r="E120" s="15">
        <f>'[1]Tinh hinh tai chinh'!AO121</f>
        <v>0</v>
      </c>
      <c r="F120" s="15">
        <f>'[1]Tinh hinh tai chinh'!AP121</f>
        <v>0</v>
      </c>
      <c r="G120" s="15">
        <f>'[1]Tinh hinh tai chinh'!AQ121</f>
        <v>0</v>
      </c>
      <c r="H120" s="15">
        <f>'[1]Tinh hinh tai chinh'!AR121</f>
        <v>0</v>
      </c>
      <c r="I120" s="15">
        <f>'[1]Tinh hinh tai chinh'!AS121</f>
        <v>0</v>
      </c>
      <c r="J120" s="15">
        <f>'[1]Tinh hinh tai chinh'!AT121</f>
        <v>0</v>
      </c>
      <c r="K120" s="15">
        <f>'[1]Tinh hinh tai chinh'!AU121</f>
        <v>0</v>
      </c>
      <c r="L120" s="15">
        <f>'[1]Tinh hinh tai chinh'!AV121</f>
        <v>0</v>
      </c>
      <c r="M120" s="15">
        <f>'[1]Tinh hinh tai chinh'!AW121</f>
        <v>0</v>
      </c>
      <c r="N120" s="15">
        <f>'[1]Tinh hinh tai chinh'!AX121</f>
        <v>0</v>
      </c>
      <c r="O120" s="15">
        <f>'[1]Tinh hinh tai chinh'!AY121</f>
        <v>0</v>
      </c>
      <c r="P120" s="15">
        <f>'[1]Tinh hinh tai chinh'!AZ121</f>
        <v>0</v>
      </c>
      <c r="Q120" s="15">
        <f>'[1]Tinh hinh tai chinh'!BA121</f>
        <v>0</v>
      </c>
      <c r="R120" s="15">
        <f>'[1]Tinh hinh tai chinh'!BB121</f>
        <v>0</v>
      </c>
      <c r="S120" s="15">
        <f>'[1]Tinh hinh tai chinh'!BC121</f>
        <v>0</v>
      </c>
      <c r="T120" s="15">
        <f>'[1]Tinh hinh tai chinh'!BD121</f>
        <v>0</v>
      </c>
      <c r="U120" s="15">
        <f>'[1]Tinh hinh tai chinh'!BE121</f>
        <v>0</v>
      </c>
      <c r="V120" s="15">
        <f>'[1]Tinh hinh tai chinh'!BF121</f>
        <v>0</v>
      </c>
      <c r="W120" s="15">
        <f>'[1]Tinh hinh tai chinh'!BG121</f>
        <v>0</v>
      </c>
      <c r="X120" s="15">
        <f>'[1]Tinh hinh tai chinh'!BH121</f>
        <v>0</v>
      </c>
      <c r="Y120" s="15">
        <f>'[1]Tinh hinh tai chinh'!BI121</f>
        <v>0</v>
      </c>
      <c r="Z120" s="15">
        <f>'[1]Tinh hinh tai chinh'!BJ121</f>
        <v>0</v>
      </c>
      <c r="AA120" s="15">
        <f>'[1]Tinh hinh tai chinh'!BK121</f>
        <v>0</v>
      </c>
      <c r="AB120" s="15">
        <f>'Consol BS-DTRG'!D121</f>
        <v>0</v>
      </c>
      <c r="AC120" s="15">
        <f>'Consol BS-DTRG'!E121</f>
        <v>0</v>
      </c>
      <c r="AD120" s="15">
        <f>'Consol BS-DTRG'!F121</f>
        <v>0</v>
      </c>
      <c r="AE120" s="15">
        <f>'Consol BS-DTRG'!G121</f>
        <v>0</v>
      </c>
      <c r="AF120" s="15">
        <f>'Consol BS-DTRG'!H121</f>
        <v>0</v>
      </c>
      <c r="AG120" s="15">
        <f>'Consol BS-DTRG'!I121</f>
        <v>0</v>
      </c>
      <c r="AH120" s="15">
        <f>'Consol BS-DTRG'!J121</f>
        <v>0</v>
      </c>
      <c r="AI120" s="15">
        <f>'Consol BS-DTRG'!K121</f>
        <v>0</v>
      </c>
      <c r="AJ120" s="15">
        <f>'Consol BS-DTRG'!L121</f>
        <v>0</v>
      </c>
      <c r="AK120" s="15">
        <f>'Consol BS-DTRG'!M121</f>
        <v>0</v>
      </c>
      <c r="AL120" s="15">
        <f>'Consol BS-DTRG'!N121</f>
        <v>0</v>
      </c>
      <c r="AM120" s="15">
        <f>'Consol BS-DTRG'!O121</f>
        <v>0</v>
      </c>
    </row>
    <row r="121" spans="1:39">
      <c r="A121" s="633">
        <v>119</v>
      </c>
      <c r="B121" s="625" t="s">
        <v>371</v>
      </c>
      <c r="C121" t="s">
        <v>518</v>
      </c>
      <c r="D121" s="15">
        <f>'[1]Tinh hinh tai chinh'!AN122</f>
        <v>0</v>
      </c>
      <c r="E121" s="15">
        <f>'[1]Tinh hinh tai chinh'!AO122</f>
        <v>0</v>
      </c>
      <c r="F121" s="15">
        <f>'[1]Tinh hinh tai chinh'!AP122</f>
        <v>0</v>
      </c>
      <c r="G121" s="15">
        <f>'[1]Tinh hinh tai chinh'!AQ122</f>
        <v>0</v>
      </c>
      <c r="H121" s="15">
        <f>'[1]Tinh hinh tai chinh'!AR122</f>
        <v>0</v>
      </c>
      <c r="I121" s="15">
        <f>'[1]Tinh hinh tai chinh'!AS122</f>
        <v>0</v>
      </c>
      <c r="J121" s="15">
        <f>'[1]Tinh hinh tai chinh'!AT122</f>
        <v>0</v>
      </c>
      <c r="K121" s="15">
        <f>'[1]Tinh hinh tai chinh'!AU122</f>
        <v>0</v>
      </c>
      <c r="L121" s="15">
        <f>'[1]Tinh hinh tai chinh'!AV122</f>
        <v>0</v>
      </c>
      <c r="M121" s="15">
        <f>'[1]Tinh hinh tai chinh'!AW122</f>
        <v>0</v>
      </c>
      <c r="N121" s="15">
        <f>'[1]Tinh hinh tai chinh'!AX122</f>
        <v>0</v>
      </c>
      <c r="O121" s="15">
        <f>'[1]Tinh hinh tai chinh'!AY122</f>
        <v>0</v>
      </c>
      <c r="P121" s="15">
        <f>'[1]Tinh hinh tai chinh'!AZ122</f>
        <v>0</v>
      </c>
      <c r="Q121" s="15">
        <f>'[1]Tinh hinh tai chinh'!BA122</f>
        <v>0</v>
      </c>
      <c r="R121" s="15">
        <f>'[1]Tinh hinh tai chinh'!BB122</f>
        <v>0</v>
      </c>
      <c r="S121" s="15">
        <f>'[1]Tinh hinh tai chinh'!BC122</f>
        <v>0</v>
      </c>
      <c r="T121" s="15">
        <f>'[1]Tinh hinh tai chinh'!BD122</f>
        <v>0</v>
      </c>
      <c r="U121" s="15">
        <f>'[1]Tinh hinh tai chinh'!BE122</f>
        <v>0</v>
      </c>
      <c r="V121" s="15">
        <f>'[1]Tinh hinh tai chinh'!BF122</f>
        <v>0</v>
      </c>
      <c r="W121" s="15">
        <f>'[1]Tinh hinh tai chinh'!BG122</f>
        <v>0</v>
      </c>
      <c r="X121" s="15">
        <f>'[1]Tinh hinh tai chinh'!BH122</f>
        <v>0</v>
      </c>
      <c r="Y121" s="15">
        <f>'[1]Tinh hinh tai chinh'!BI122</f>
        <v>0</v>
      </c>
      <c r="Z121" s="15">
        <f>'[1]Tinh hinh tai chinh'!BJ122</f>
        <v>0</v>
      </c>
      <c r="AA121" s="15">
        <f>'[1]Tinh hinh tai chinh'!BK122</f>
        <v>0</v>
      </c>
      <c r="AB121" s="15">
        <f>'Consol BS-DTRG'!D122</f>
        <v>0</v>
      </c>
      <c r="AC121" s="15">
        <f>'Consol BS-DTRG'!E122</f>
        <v>0</v>
      </c>
      <c r="AD121" s="15">
        <f>'Consol BS-DTRG'!F122</f>
        <v>0</v>
      </c>
      <c r="AE121" s="15">
        <f>'Consol BS-DTRG'!G122</f>
        <v>0</v>
      </c>
      <c r="AF121" s="15">
        <f>'Consol BS-DTRG'!H122</f>
        <v>0</v>
      </c>
      <c r="AG121" s="15">
        <f>'Consol BS-DTRG'!I122</f>
        <v>0</v>
      </c>
      <c r="AH121" s="15">
        <f>'Consol BS-DTRG'!J122</f>
        <v>0</v>
      </c>
      <c r="AI121" s="15">
        <f>'Consol BS-DTRG'!K122</f>
        <v>0</v>
      </c>
      <c r="AJ121" s="15">
        <f>'Consol BS-DTRG'!L122</f>
        <v>0</v>
      </c>
      <c r="AK121" s="15">
        <f>'Consol BS-DTRG'!M122</f>
        <v>0</v>
      </c>
      <c r="AL121" s="15">
        <f>'Consol BS-DTRG'!N122</f>
        <v>0</v>
      </c>
      <c r="AM121" s="15">
        <f>'Consol BS-DTRG'!O122</f>
        <v>0</v>
      </c>
    </row>
    <row r="122" spans="1:39">
      <c r="A122" s="633">
        <v>120</v>
      </c>
      <c r="B122" s="625" t="s">
        <v>372</v>
      </c>
      <c r="C122" t="s">
        <v>518</v>
      </c>
      <c r="D122" s="15">
        <f>'[1]Tinh hinh tai chinh'!AN123</f>
        <v>0</v>
      </c>
      <c r="E122" s="15">
        <f>'[1]Tinh hinh tai chinh'!AO123</f>
        <v>0</v>
      </c>
      <c r="F122" s="15">
        <f>'[1]Tinh hinh tai chinh'!AP123</f>
        <v>0</v>
      </c>
      <c r="G122" s="15">
        <f>'[1]Tinh hinh tai chinh'!AQ123</f>
        <v>0</v>
      </c>
      <c r="H122" s="15">
        <f>'[1]Tinh hinh tai chinh'!AR123</f>
        <v>0</v>
      </c>
      <c r="I122" s="15">
        <f>'[1]Tinh hinh tai chinh'!AS123</f>
        <v>0</v>
      </c>
      <c r="J122" s="15">
        <f>'[1]Tinh hinh tai chinh'!AT123</f>
        <v>0</v>
      </c>
      <c r="K122" s="15">
        <f>'[1]Tinh hinh tai chinh'!AU123</f>
        <v>0</v>
      </c>
      <c r="L122" s="15">
        <f>'[1]Tinh hinh tai chinh'!AV123</f>
        <v>0</v>
      </c>
      <c r="M122" s="15">
        <f>'[1]Tinh hinh tai chinh'!AW123</f>
        <v>0</v>
      </c>
      <c r="N122" s="15">
        <f>'[1]Tinh hinh tai chinh'!AX123</f>
        <v>0</v>
      </c>
      <c r="O122" s="15">
        <f>'[1]Tinh hinh tai chinh'!AY123</f>
        <v>0</v>
      </c>
      <c r="P122" s="15">
        <f>'[1]Tinh hinh tai chinh'!AZ123</f>
        <v>0</v>
      </c>
      <c r="Q122" s="15">
        <f>'[1]Tinh hinh tai chinh'!BA123</f>
        <v>0</v>
      </c>
      <c r="R122" s="15">
        <f>'[1]Tinh hinh tai chinh'!BB123</f>
        <v>0</v>
      </c>
      <c r="S122" s="15">
        <f>'[1]Tinh hinh tai chinh'!BC123</f>
        <v>0</v>
      </c>
      <c r="T122" s="15">
        <f>'[1]Tinh hinh tai chinh'!BD123</f>
        <v>0</v>
      </c>
      <c r="U122" s="15">
        <f>'[1]Tinh hinh tai chinh'!BE123</f>
        <v>0</v>
      </c>
      <c r="V122" s="15">
        <f>'[1]Tinh hinh tai chinh'!BF123</f>
        <v>0</v>
      </c>
      <c r="W122" s="15">
        <f>'[1]Tinh hinh tai chinh'!BG123</f>
        <v>0</v>
      </c>
      <c r="X122" s="15">
        <f>'[1]Tinh hinh tai chinh'!BH123</f>
        <v>0</v>
      </c>
      <c r="Y122" s="15">
        <f>'[1]Tinh hinh tai chinh'!BI123</f>
        <v>0</v>
      </c>
      <c r="Z122" s="15">
        <f>'[1]Tinh hinh tai chinh'!BJ123</f>
        <v>0</v>
      </c>
      <c r="AA122" s="15">
        <f>'[1]Tinh hinh tai chinh'!BK123</f>
        <v>0</v>
      </c>
      <c r="AB122" s="15">
        <f>'Consol BS-DTRG'!D123</f>
        <v>0</v>
      </c>
      <c r="AC122" s="15">
        <f>'Consol BS-DTRG'!E123</f>
        <v>0</v>
      </c>
      <c r="AD122" s="15">
        <f>'Consol BS-DTRG'!F123</f>
        <v>0</v>
      </c>
      <c r="AE122" s="15">
        <f>'Consol BS-DTRG'!G123</f>
        <v>0</v>
      </c>
      <c r="AF122" s="15">
        <f>'Consol BS-DTRG'!H123</f>
        <v>0</v>
      </c>
      <c r="AG122" s="15">
        <f>'Consol BS-DTRG'!I123</f>
        <v>0</v>
      </c>
      <c r="AH122" s="15">
        <f>'Consol BS-DTRG'!J123</f>
        <v>0</v>
      </c>
      <c r="AI122" s="15">
        <f>'Consol BS-DTRG'!K123</f>
        <v>0</v>
      </c>
      <c r="AJ122" s="15">
        <f>'Consol BS-DTRG'!L123</f>
        <v>0</v>
      </c>
      <c r="AK122" s="15">
        <f>'Consol BS-DTRG'!M123</f>
        <v>0</v>
      </c>
      <c r="AL122" s="15">
        <f>'Consol BS-DTRG'!N123</f>
        <v>0</v>
      </c>
      <c r="AM122" s="15">
        <f>'Consol BS-DTRG'!O123</f>
        <v>0</v>
      </c>
    </row>
    <row r="123" spans="1:39">
      <c r="A123" s="633">
        <v>121</v>
      </c>
      <c r="B123" s="625" t="s">
        <v>373</v>
      </c>
      <c r="C123" t="s">
        <v>518</v>
      </c>
      <c r="D123" s="15">
        <f>'[1]Tinh hinh tai chinh'!AN124</f>
        <v>0</v>
      </c>
      <c r="E123" s="15">
        <f>'[1]Tinh hinh tai chinh'!AO124</f>
        <v>0</v>
      </c>
      <c r="F123" s="15">
        <f>'[1]Tinh hinh tai chinh'!AP124</f>
        <v>0</v>
      </c>
      <c r="G123" s="15">
        <f>'[1]Tinh hinh tai chinh'!AQ124</f>
        <v>0</v>
      </c>
      <c r="H123" s="15">
        <f>'[1]Tinh hinh tai chinh'!AR124</f>
        <v>0</v>
      </c>
      <c r="I123" s="15">
        <f>'[1]Tinh hinh tai chinh'!AS124</f>
        <v>0</v>
      </c>
      <c r="J123" s="15">
        <f>'[1]Tinh hinh tai chinh'!AT124</f>
        <v>0</v>
      </c>
      <c r="K123" s="15">
        <f>'[1]Tinh hinh tai chinh'!AU124</f>
        <v>0</v>
      </c>
      <c r="L123" s="15">
        <f>'[1]Tinh hinh tai chinh'!AV124</f>
        <v>0</v>
      </c>
      <c r="M123" s="15">
        <f>'[1]Tinh hinh tai chinh'!AW124</f>
        <v>0</v>
      </c>
      <c r="N123" s="15">
        <f>'[1]Tinh hinh tai chinh'!AX124</f>
        <v>0</v>
      </c>
      <c r="O123" s="15">
        <f>'[1]Tinh hinh tai chinh'!AY124</f>
        <v>0</v>
      </c>
      <c r="P123" s="15">
        <f>'[1]Tinh hinh tai chinh'!AZ124</f>
        <v>0</v>
      </c>
      <c r="Q123" s="15">
        <f>'[1]Tinh hinh tai chinh'!BA124</f>
        <v>0</v>
      </c>
      <c r="R123" s="15">
        <f>'[1]Tinh hinh tai chinh'!BB124</f>
        <v>0</v>
      </c>
      <c r="S123" s="15">
        <f>'[1]Tinh hinh tai chinh'!BC124</f>
        <v>0</v>
      </c>
      <c r="T123" s="15">
        <f>'[1]Tinh hinh tai chinh'!BD124</f>
        <v>0</v>
      </c>
      <c r="U123" s="15">
        <f>'[1]Tinh hinh tai chinh'!BE124</f>
        <v>0</v>
      </c>
      <c r="V123" s="15">
        <f>'[1]Tinh hinh tai chinh'!BF124</f>
        <v>0</v>
      </c>
      <c r="W123" s="15">
        <f>'[1]Tinh hinh tai chinh'!BG124</f>
        <v>0</v>
      </c>
      <c r="X123" s="15">
        <f>'[1]Tinh hinh tai chinh'!BH124</f>
        <v>0</v>
      </c>
      <c r="Y123" s="15">
        <f>'[1]Tinh hinh tai chinh'!BI124</f>
        <v>0</v>
      </c>
      <c r="Z123" s="15">
        <f>'[1]Tinh hinh tai chinh'!BJ124</f>
        <v>0</v>
      </c>
      <c r="AA123" s="15">
        <f>'[1]Tinh hinh tai chinh'!BK124</f>
        <v>0</v>
      </c>
      <c r="AB123" s="15">
        <f>'Consol BS-DTRG'!D124</f>
        <v>0</v>
      </c>
      <c r="AC123" s="15">
        <f>'Consol BS-DTRG'!E124</f>
        <v>0</v>
      </c>
      <c r="AD123" s="15">
        <f>'Consol BS-DTRG'!F124</f>
        <v>0</v>
      </c>
      <c r="AE123" s="15">
        <f>'Consol BS-DTRG'!G124</f>
        <v>0</v>
      </c>
      <c r="AF123" s="15">
        <f>'Consol BS-DTRG'!H124</f>
        <v>0</v>
      </c>
      <c r="AG123" s="15">
        <f>'Consol BS-DTRG'!I124</f>
        <v>0</v>
      </c>
      <c r="AH123" s="15">
        <f>'Consol BS-DTRG'!J124</f>
        <v>0</v>
      </c>
      <c r="AI123" s="15">
        <f>'Consol BS-DTRG'!K124</f>
        <v>0</v>
      </c>
      <c r="AJ123" s="15">
        <f>'Consol BS-DTRG'!L124</f>
        <v>0</v>
      </c>
      <c r="AK123" s="15">
        <f>'Consol BS-DTRG'!M124</f>
        <v>0</v>
      </c>
      <c r="AL123" s="15">
        <f>'Consol BS-DTRG'!N124</f>
        <v>0</v>
      </c>
      <c r="AM123" s="15">
        <f>'Consol BS-DTRG'!O124</f>
        <v>0</v>
      </c>
    </row>
    <row r="124" spans="1:39">
      <c r="A124" s="633">
        <v>122</v>
      </c>
      <c r="B124" s="625" t="s">
        <v>374</v>
      </c>
      <c r="C124" t="s">
        <v>518</v>
      </c>
      <c r="D124" s="15">
        <f>'[1]Tinh hinh tai chinh'!AN125</f>
        <v>0</v>
      </c>
      <c r="E124" s="15">
        <f>'[1]Tinh hinh tai chinh'!AO125</f>
        <v>0</v>
      </c>
      <c r="F124" s="15">
        <f>'[1]Tinh hinh tai chinh'!AP125</f>
        <v>0</v>
      </c>
      <c r="G124" s="15">
        <f>'[1]Tinh hinh tai chinh'!AQ125</f>
        <v>0</v>
      </c>
      <c r="H124" s="15">
        <f>'[1]Tinh hinh tai chinh'!AR125</f>
        <v>0</v>
      </c>
      <c r="I124" s="15">
        <f>'[1]Tinh hinh tai chinh'!AS125</f>
        <v>0</v>
      </c>
      <c r="J124" s="15">
        <f>'[1]Tinh hinh tai chinh'!AT125</f>
        <v>0</v>
      </c>
      <c r="K124" s="15">
        <f>'[1]Tinh hinh tai chinh'!AU125</f>
        <v>0</v>
      </c>
      <c r="L124" s="15">
        <f>'[1]Tinh hinh tai chinh'!AV125</f>
        <v>0</v>
      </c>
      <c r="M124" s="15">
        <f>'[1]Tinh hinh tai chinh'!AW125</f>
        <v>0</v>
      </c>
      <c r="N124" s="15">
        <f>'[1]Tinh hinh tai chinh'!AX125</f>
        <v>0</v>
      </c>
      <c r="O124" s="15">
        <f>'[1]Tinh hinh tai chinh'!AY125</f>
        <v>0</v>
      </c>
      <c r="P124" s="15">
        <f>'[1]Tinh hinh tai chinh'!AZ125</f>
        <v>0</v>
      </c>
      <c r="Q124" s="15">
        <f>'[1]Tinh hinh tai chinh'!BA125</f>
        <v>0</v>
      </c>
      <c r="R124" s="15">
        <f>'[1]Tinh hinh tai chinh'!BB125</f>
        <v>0</v>
      </c>
      <c r="S124" s="15">
        <f>'[1]Tinh hinh tai chinh'!BC125</f>
        <v>0</v>
      </c>
      <c r="T124" s="15">
        <f>'[1]Tinh hinh tai chinh'!BD125</f>
        <v>0</v>
      </c>
      <c r="U124" s="15">
        <f>'[1]Tinh hinh tai chinh'!BE125</f>
        <v>0</v>
      </c>
      <c r="V124" s="15">
        <f>'[1]Tinh hinh tai chinh'!BF125</f>
        <v>0</v>
      </c>
      <c r="W124" s="15">
        <f>'[1]Tinh hinh tai chinh'!BG125</f>
        <v>0</v>
      </c>
      <c r="X124" s="15">
        <f>'[1]Tinh hinh tai chinh'!BH125</f>
        <v>0</v>
      </c>
      <c r="Y124" s="15">
        <f>'[1]Tinh hinh tai chinh'!BI125</f>
        <v>0</v>
      </c>
      <c r="Z124" s="15">
        <f>'[1]Tinh hinh tai chinh'!BJ125</f>
        <v>0</v>
      </c>
      <c r="AA124" s="15">
        <f>'[1]Tinh hinh tai chinh'!BK125</f>
        <v>0</v>
      </c>
      <c r="AB124" s="15">
        <f>'Consol BS-DTRG'!D125</f>
        <v>0</v>
      </c>
      <c r="AC124" s="15">
        <f>'Consol BS-DTRG'!E125</f>
        <v>0</v>
      </c>
      <c r="AD124" s="15">
        <f>'Consol BS-DTRG'!F125</f>
        <v>0</v>
      </c>
      <c r="AE124" s="15">
        <f>'Consol BS-DTRG'!G125</f>
        <v>0</v>
      </c>
      <c r="AF124" s="15">
        <f>'Consol BS-DTRG'!H125</f>
        <v>0</v>
      </c>
      <c r="AG124" s="15">
        <f>'Consol BS-DTRG'!I125</f>
        <v>0</v>
      </c>
      <c r="AH124" s="15">
        <f>'Consol BS-DTRG'!J125</f>
        <v>0</v>
      </c>
      <c r="AI124" s="15">
        <f>'Consol BS-DTRG'!K125</f>
        <v>0</v>
      </c>
      <c r="AJ124" s="15">
        <f>'Consol BS-DTRG'!L125</f>
        <v>0</v>
      </c>
      <c r="AK124" s="15">
        <f>'Consol BS-DTRG'!M125</f>
        <v>0</v>
      </c>
      <c r="AL124" s="15">
        <f>'Consol BS-DTRG'!N125</f>
        <v>0</v>
      </c>
      <c r="AM124" s="15">
        <f>'Consol BS-DTRG'!O125</f>
        <v>0</v>
      </c>
    </row>
    <row r="125" spans="1:39">
      <c r="A125" s="636">
        <v>123</v>
      </c>
      <c r="B125" s="627" t="s">
        <v>375</v>
      </c>
      <c r="D125" s="15">
        <f t="shared" ref="D125:AA125" si="50">SUM(D126:D127)</f>
        <v>103851514758</v>
      </c>
      <c r="E125" s="15">
        <f t="shared" si="50"/>
        <v>97113202906</v>
      </c>
      <c r="F125" s="15">
        <f t="shared" si="50"/>
        <v>94369881618</v>
      </c>
      <c r="G125" s="15">
        <f t="shared" si="50"/>
        <v>96038222035</v>
      </c>
      <c r="H125" s="15">
        <f t="shared" si="50"/>
        <v>90346413861</v>
      </c>
      <c r="I125" s="15">
        <f t="shared" si="50"/>
        <v>78203765216</v>
      </c>
      <c r="J125" s="15">
        <f t="shared" si="50"/>
        <v>63009488882</v>
      </c>
      <c r="K125" s="15">
        <f t="shared" si="50"/>
        <v>52963168023</v>
      </c>
      <c r="L125" s="15">
        <f t="shared" si="50"/>
        <v>61080811621</v>
      </c>
      <c r="M125" s="15">
        <f t="shared" si="50"/>
        <v>54735064957</v>
      </c>
      <c r="N125" s="15">
        <f t="shared" si="50"/>
        <v>48682915285</v>
      </c>
      <c r="O125" s="15">
        <f t="shared" si="50"/>
        <v>138257269259</v>
      </c>
      <c r="P125" s="15">
        <f t="shared" si="50"/>
        <v>140460126084</v>
      </c>
      <c r="Q125" s="15">
        <f t="shared" si="50"/>
        <v>154520354770</v>
      </c>
      <c r="R125" s="15">
        <f t="shared" si="50"/>
        <v>160264614653</v>
      </c>
      <c r="S125" s="15">
        <f t="shared" si="50"/>
        <v>163523824887</v>
      </c>
      <c r="T125" s="15">
        <f t="shared" si="50"/>
        <v>172822344016</v>
      </c>
      <c r="U125" s="15">
        <f t="shared" si="50"/>
        <v>173507845260</v>
      </c>
      <c r="V125" s="15">
        <f t="shared" si="50"/>
        <v>176751834230</v>
      </c>
      <c r="W125" s="15">
        <f t="shared" si="50"/>
        <v>179300987412</v>
      </c>
      <c r="X125" s="15">
        <f t="shared" si="50"/>
        <v>168112900432</v>
      </c>
      <c r="Y125" s="15">
        <f t="shared" si="50"/>
        <v>163231117543</v>
      </c>
      <c r="Z125" s="15">
        <f t="shared" si="50"/>
        <v>155244063567</v>
      </c>
      <c r="AA125" s="15">
        <f t="shared" si="50"/>
        <v>157589673869</v>
      </c>
      <c r="AB125" s="15">
        <f t="shared" ref="AB125:AM125" ca="1" si="51">SUM(AB126:AB127)</f>
        <v>153967919932.10583</v>
      </c>
      <c r="AC125" s="15">
        <f t="shared" ca="1" si="51"/>
        <v>152172789957.42502</v>
      </c>
      <c r="AD125" s="15">
        <f t="shared" ca="1" si="51"/>
        <v>155984102743.55777</v>
      </c>
      <c r="AE125" s="15">
        <f t="shared" ca="1" si="51"/>
        <v>158827988979.47339</v>
      </c>
      <c r="AF125" s="15">
        <f t="shared" ca="1" si="51"/>
        <v>163279995637.25354</v>
      </c>
      <c r="AG125" s="15">
        <f t="shared" ca="1" si="51"/>
        <v>165267234353.33435</v>
      </c>
      <c r="AH125" s="15">
        <f t="shared" ca="1" si="51"/>
        <v>173819626085.65198</v>
      </c>
      <c r="AI125" s="15">
        <f t="shared" ca="1" si="51"/>
        <v>180862090524.9819</v>
      </c>
      <c r="AJ125" s="15">
        <f t="shared" ca="1" si="51"/>
        <v>187102522152.40527</v>
      </c>
      <c r="AK125" s="15">
        <f t="shared" ca="1" si="51"/>
        <v>193891725626.78516</v>
      </c>
      <c r="AL125" s="15">
        <f t="shared" ca="1" si="51"/>
        <v>201594468254.16333</v>
      </c>
      <c r="AM125" s="15">
        <f t="shared" ca="1" si="51"/>
        <v>207310898727.73349</v>
      </c>
    </row>
    <row r="126" spans="1:39">
      <c r="A126" s="633">
        <v>124</v>
      </c>
      <c r="B126" s="628" t="s">
        <v>376</v>
      </c>
      <c r="C126" t="s">
        <v>518</v>
      </c>
      <c r="D126" s="15">
        <f>'[1]Tinh hinh tai chinh'!AN127</f>
        <v>106616032141</v>
      </c>
      <c r="E126" s="15">
        <f>'[1]Tinh hinh tai chinh'!AO127</f>
        <v>106089690091</v>
      </c>
      <c r="F126" s="15">
        <f>'[1]Tinh hinh tai chinh'!AP127</f>
        <v>99638196434</v>
      </c>
      <c r="G126" s="15">
        <f>'[1]Tinh hinh tai chinh'!AQ127</f>
        <v>96598905145</v>
      </c>
      <c r="H126" s="15">
        <f>'[1]Tinh hinh tai chinh'!AR127</f>
        <v>98504096257</v>
      </c>
      <c r="I126" s="15">
        <f>'[1]Tinh hinh tai chinh'!AS127</f>
        <v>93134079207</v>
      </c>
      <c r="J126" s="15">
        <f>'[1]Tinh hinh tai chinh'!AT127</f>
        <v>81298575935</v>
      </c>
      <c r="K126" s="15">
        <f>'[1]Tinh hinh tai chinh'!AU127</f>
        <v>66817200404</v>
      </c>
      <c r="L126" s="15">
        <f>'[1]Tinh hinh tai chinh'!AV127</f>
        <v>57599901812</v>
      </c>
      <c r="M126" s="15">
        <f>'[1]Tinh hinh tai chinh'!AW127</f>
        <v>66581916057</v>
      </c>
      <c r="N126" s="15">
        <f>'[1]Tinh hinh tai chinh'!AX127</f>
        <v>60563420421</v>
      </c>
      <c r="O126" s="15">
        <f>'[1]Tinh hinh tai chinh'!AY127</f>
        <v>55535997499</v>
      </c>
      <c r="P126" s="15">
        <f>'[1]Tinh hinh tai chinh'!AZ127</f>
        <v>138224470359</v>
      </c>
      <c r="Q126" s="15">
        <f>'[1]Tinh hinh tai chinh'!BA127</f>
        <v>140460126084</v>
      </c>
      <c r="R126" s="15">
        <f>'[1]Tinh hinh tai chinh'!BB127</f>
        <v>154520354770</v>
      </c>
      <c r="S126" s="15">
        <f>'[1]Tinh hinh tai chinh'!BC127</f>
        <v>160264584003</v>
      </c>
      <c r="T126" s="15">
        <f>'[1]Tinh hinh tai chinh'!BD127</f>
        <v>163523383887</v>
      </c>
      <c r="U126" s="15">
        <f>'[1]Tinh hinh tai chinh'!BE127</f>
        <v>172822533016</v>
      </c>
      <c r="V126" s="15">
        <f>'[1]Tinh hinh tai chinh'!BF127</f>
        <v>173508627910</v>
      </c>
      <c r="W126" s="15">
        <f>'[1]Tinh hinh tai chinh'!BG127</f>
        <v>176751834230</v>
      </c>
      <c r="X126" s="15">
        <f>'[1]Tinh hinh tai chinh'!BH127</f>
        <v>179300987412</v>
      </c>
      <c r="Y126" s="15">
        <f>'[1]Tinh hinh tai chinh'!BI127</f>
        <v>168112900432</v>
      </c>
      <c r="Z126" s="15">
        <f>'[1]Tinh hinh tai chinh'!BJ127</f>
        <v>163231117543</v>
      </c>
      <c r="AA126" s="15">
        <f>'[1]Tinh hinh tai chinh'!BK127</f>
        <v>155244834346</v>
      </c>
      <c r="AB126" s="15">
        <f>'Consol BS-DTRG'!D127</f>
        <v>153900723481.1611</v>
      </c>
      <c r="AC126" s="15">
        <f>'Consol BS-DTRG'!E127</f>
        <v>155049573484.99765</v>
      </c>
      <c r="AD126" s="15">
        <f>'Consol BS-DTRG'!F127</f>
        <v>152379150588.06689</v>
      </c>
      <c r="AE126" s="15">
        <f>'Consol BS-DTRG'!G127</f>
        <v>157295291437.79666</v>
      </c>
      <c r="AF126" s="15">
        <f>'Consol BS-DTRG'!H127</f>
        <v>160517493415.66431</v>
      </c>
      <c r="AG126" s="15">
        <f>'Consol BS-DTRG'!I127</f>
        <v>163880458182.92865</v>
      </c>
      <c r="AH126" s="15">
        <f>'Consol BS-DTRG'!J127</f>
        <v>166654027553.23529</v>
      </c>
      <c r="AI126" s="15">
        <f>'Consol BS-DTRG'!K127</f>
        <v>174137903001.8017</v>
      </c>
      <c r="AJ126" s="15">
        <f>'Consol BS-DTRG'!L127</f>
        <v>180830874378.52206</v>
      </c>
      <c r="AK126" s="15">
        <f>'Consol BS-DTRG'!M127</f>
        <v>186969103302.17096</v>
      </c>
      <c r="AL126" s="15">
        <f>'Consol BS-DTRG'!N127</f>
        <v>194228787852.11057</v>
      </c>
      <c r="AM126" s="15">
        <f>'Consol BS-DTRG'!O127</f>
        <v>201748028858.22617</v>
      </c>
    </row>
    <row r="127" spans="1:39">
      <c r="A127" s="633">
        <v>125</v>
      </c>
      <c r="B127" s="628" t="s">
        <v>377</v>
      </c>
      <c r="C127" t="s">
        <v>518</v>
      </c>
      <c r="D127" s="15">
        <f>'[1]Tinh hinh tai chinh'!AN128</f>
        <v>-2764517383</v>
      </c>
      <c r="E127" s="15">
        <f>'[1]Tinh hinh tai chinh'!AO128</f>
        <v>-8976487185</v>
      </c>
      <c r="F127" s="15">
        <f>'[1]Tinh hinh tai chinh'!AP128</f>
        <v>-5268314816</v>
      </c>
      <c r="G127" s="15">
        <f>'[1]Tinh hinh tai chinh'!AQ128</f>
        <v>-560683110</v>
      </c>
      <c r="H127" s="15">
        <f>'[1]Tinh hinh tai chinh'!AR128</f>
        <v>-8157682396</v>
      </c>
      <c r="I127" s="15">
        <f>'[1]Tinh hinh tai chinh'!AS128</f>
        <v>-14930313991</v>
      </c>
      <c r="J127" s="15">
        <f>'[1]Tinh hinh tai chinh'!AT128</f>
        <v>-18289087053</v>
      </c>
      <c r="K127" s="15">
        <f>'[1]Tinh hinh tai chinh'!AU128</f>
        <v>-13854032381</v>
      </c>
      <c r="L127" s="15">
        <f>'[1]Tinh hinh tai chinh'!AV128</f>
        <v>3480909809</v>
      </c>
      <c r="M127" s="15">
        <f>'[1]Tinh hinh tai chinh'!AW128</f>
        <v>-11846851100</v>
      </c>
      <c r="N127" s="15">
        <f>'[1]Tinh hinh tai chinh'!AX128</f>
        <v>-11880505136</v>
      </c>
      <c r="O127" s="15">
        <f>'[1]Tinh hinh tai chinh'!AY128</f>
        <v>82721271760</v>
      </c>
      <c r="P127" s="15">
        <f>'[1]Tinh hinh tai chinh'!AZ128</f>
        <v>2235655725</v>
      </c>
      <c r="Q127" s="15">
        <f>'[1]Tinh hinh tai chinh'!BA128</f>
        <v>14060228686</v>
      </c>
      <c r="R127" s="15">
        <f>'[1]Tinh hinh tai chinh'!BB128</f>
        <v>5744259883</v>
      </c>
      <c r="S127" s="15">
        <f>'[1]Tinh hinh tai chinh'!BC128</f>
        <v>3259240884</v>
      </c>
      <c r="T127" s="15">
        <f>'[1]Tinh hinh tai chinh'!BD128</f>
        <v>9298960129</v>
      </c>
      <c r="U127" s="15">
        <f>'[1]Tinh hinh tai chinh'!BE128</f>
        <v>685312244</v>
      </c>
      <c r="V127" s="15">
        <f>'[1]Tinh hinh tai chinh'!BF128</f>
        <v>3243206320</v>
      </c>
      <c r="W127" s="15">
        <f>'[1]Tinh hinh tai chinh'!BG128</f>
        <v>2549153182</v>
      </c>
      <c r="X127" s="15">
        <f>'[1]Tinh hinh tai chinh'!BH128</f>
        <v>-11188086980</v>
      </c>
      <c r="Y127" s="15">
        <f>'[1]Tinh hinh tai chinh'!BI128</f>
        <v>-4881782889</v>
      </c>
      <c r="Z127" s="15">
        <f>'[1]Tinh hinh tai chinh'!BJ128</f>
        <v>-7987053976</v>
      </c>
      <c r="AA127" s="15">
        <f>'[1]Tinh hinh tai chinh'!BK128</f>
        <v>2344839523</v>
      </c>
      <c r="AB127" s="15">
        <f ca="1">'Consol BS-DTRG'!D128</f>
        <v>67196450.944738626</v>
      </c>
      <c r="AC127" s="15">
        <f ca="1">'Consol BS-DTRG'!E128</f>
        <v>-2876783527.5726385</v>
      </c>
      <c r="AD127" s="15">
        <f ca="1">'Consol BS-DTRG'!F128</f>
        <v>3604952155.4908791</v>
      </c>
      <c r="AE127" s="15">
        <f ca="1">'Consol BS-DTRG'!G128</f>
        <v>1532697541.6767359</v>
      </c>
      <c r="AF127" s="15">
        <f ca="1">'Consol BS-DTRG'!H128</f>
        <v>2762502221.5892277</v>
      </c>
      <c r="AG127" s="15">
        <f ca="1">'Consol BS-DTRG'!I128</f>
        <v>1386776170.4057136</v>
      </c>
      <c r="AH127" s="15">
        <f ca="1">'Consol BS-DTRG'!J128</f>
        <v>7165598532.4166956</v>
      </c>
      <c r="AI127" s="15">
        <f ca="1">'Consol BS-DTRG'!K128</f>
        <v>6724187523.1802006</v>
      </c>
      <c r="AJ127" s="15">
        <f ca="1">'Consol BS-DTRG'!L128</f>
        <v>6271647773.8832245</v>
      </c>
      <c r="AK127" s="15">
        <f ca="1">'Consol BS-DTRG'!M128</f>
        <v>6922622324.6142025</v>
      </c>
      <c r="AL127" s="15">
        <f ca="1">'Consol BS-DTRG'!N128</f>
        <v>7365680402.0527582</v>
      </c>
      <c r="AM127" s="15">
        <f ca="1">'Consol BS-DTRG'!O128</f>
        <v>5562869869.5073128</v>
      </c>
    </row>
    <row r="128" spans="1:39" ht="15">
      <c r="A128" s="637">
        <v>126</v>
      </c>
      <c r="B128" s="629" t="s">
        <v>378</v>
      </c>
      <c r="D128" s="641">
        <f t="shared" ref="D128:AA128" si="52">D81+D113</f>
        <v>1175130402352</v>
      </c>
      <c r="E128" s="641">
        <f t="shared" si="52"/>
        <v>1156870558457</v>
      </c>
      <c r="F128" s="641">
        <f t="shared" si="52"/>
        <v>1193502357108.8599</v>
      </c>
      <c r="G128" s="641">
        <f t="shared" si="52"/>
        <v>1254540608128.8818</v>
      </c>
      <c r="H128" s="641">
        <f t="shared" si="52"/>
        <v>1298938884161</v>
      </c>
      <c r="I128" s="641">
        <f t="shared" si="52"/>
        <v>1325603983311</v>
      </c>
      <c r="J128" s="641">
        <f t="shared" si="52"/>
        <v>1267478798902</v>
      </c>
      <c r="K128" s="641">
        <f t="shared" si="52"/>
        <v>1218290040966</v>
      </c>
      <c r="L128" s="641">
        <f t="shared" si="52"/>
        <v>1260492317013</v>
      </c>
      <c r="M128" s="641">
        <f t="shared" si="52"/>
        <v>1282720707132</v>
      </c>
      <c r="N128" s="641">
        <f t="shared" si="52"/>
        <v>1380932210078</v>
      </c>
      <c r="O128" s="641">
        <f t="shared" si="52"/>
        <v>1365896363032.4819</v>
      </c>
      <c r="P128" s="641">
        <f t="shared" si="52"/>
        <v>1288397230797</v>
      </c>
      <c r="Q128" s="641">
        <f t="shared" si="52"/>
        <v>1200974905339</v>
      </c>
      <c r="R128" s="641">
        <f t="shared" si="52"/>
        <v>1249189875833.4819</v>
      </c>
      <c r="S128" s="641">
        <f t="shared" si="52"/>
        <v>1322043976414</v>
      </c>
      <c r="T128" s="641">
        <f t="shared" si="52"/>
        <v>1378213576429</v>
      </c>
      <c r="U128" s="641">
        <f t="shared" si="52"/>
        <v>1412639543304.4819</v>
      </c>
      <c r="V128" s="641">
        <f t="shared" si="52"/>
        <v>1406218085864.4822</v>
      </c>
      <c r="W128" s="641">
        <f t="shared" si="52"/>
        <v>1467398603298.4822</v>
      </c>
      <c r="X128" s="641">
        <f t="shared" si="52"/>
        <v>1453327615282.4819</v>
      </c>
      <c r="Y128" s="641">
        <f t="shared" si="52"/>
        <v>1402480690156.4819</v>
      </c>
      <c r="Z128" s="641">
        <f t="shared" si="52"/>
        <v>1380736689249.4819</v>
      </c>
      <c r="AA128" s="641">
        <f t="shared" si="52"/>
        <v>1377306550833.4819</v>
      </c>
      <c r="AB128" s="641">
        <f t="shared" ref="AB128:AM128" ca="1" si="53">AB81+AB113</f>
        <v>1810816141397.0234</v>
      </c>
      <c r="AC128" s="641">
        <f t="shared" ca="1" si="53"/>
        <v>1842447864634.5618</v>
      </c>
      <c r="AD128" s="641">
        <f t="shared" ca="1" si="53"/>
        <v>1890868633879.2178</v>
      </c>
      <c r="AE128" s="641">
        <f t="shared" ca="1" si="53"/>
        <v>1953742363135.3999</v>
      </c>
      <c r="AF128" s="641">
        <f t="shared" ca="1" si="53"/>
        <v>1956704958853.917</v>
      </c>
      <c r="AG128" s="641">
        <f t="shared" ca="1" si="53"/>
        <v>1981896714037.1035</v>
      </c>
      <c r="AH128" s="641">
        <f t="shared" ca="1" si="53"/>
        <v>1967198638154.7424</v>
      </c>
      <c r="AI128" s="641">
        <f t="shared" ca="1" si="53"/>
        <v>1966393282426.0898</v>
      </c>
      <c r="AJ128" s="641">
        <f t="shared" ca="1" si="53"/>
        <v>1964037519799.605</v>
      </c>
      <c r="AK128" s="641">
        <f t="shared" ca="1" si="53"/>
        <v>1966798056851.2046</v>
      </c>
      <c r="AL128" s="641">
        <f t="shared" ca="1" si="53"/>
        <v>1953300177767.29</v>
      </c>
      <c r="AM128" s="641">
        <f t="shared" ca="1" si="53"/>
        <v>1995648251694.6133</v>
      </c>
    </row>
  </sheetData>
  <autoFilter ref="A2:AM128" xr:uid="{C3F90789-F4B2-40B7-9BC9-FFD841F4FE5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7280-976C-4B06-AB6A-B646F6491792}">
  <sheetPr>
    <tabColor theme="1"/>
  </sheetPr>
  <dimension ref="A1"/>
  <sheetViews>
    <sheetView showGridLines="0" workbookViewId="0">
      <selection activeCell="J42" sqref="J42:J43"/>
    </sheetView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5509-E447-4EFC-8ABA-5CF4B7B878CD}">
  <sheetPr>
    <tabColor rgb="FF00B050"/>
  </sheetPr>
  <dimension ref="A1:X5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B66" sqref="B66"/>
    </sheetView>
  </sheetViews>
  <sheetFormatPr defaultColWidth="9" defaultRowHeight="14" outlineLevelRow="2" outlineLevelCol="1"/>
  <cols>
    <col min="1" max="1" width="9" style="7" customWidth="1"/>
    <col min="2" max="2" width="48.08203125" style="7" bestFit="1" customWidth="1"/>
    <col min="3" max="3" width="1.58203125" style="7" customWidth="1"/>
    <col min="4" max="4" width="17.4140625" style="7" bestFit="1" customWidth="1"/>
    <col min="5" max="5" width="19.75" style="7" hidden="1" customWidth="1" outlineLevel="1"/>
    <col min="6" max="6" width="18.75" style="7" hidden="1" customWidth="1" outlineLevel="1"/>
    <col min="7" max="7" width="18.4140625" style="7" hidden="1" customWidth="1" outlineLevel="1"/>
    <col min="8" max="8" width="17.4140625" style="7" bestFit="1" customWidth="1" collapsed="1"/>
    <col min="9" max="9" width="19.33203125" style="7" hidden="1" customWidth="1" outlineLevel="1"/>
    <col min="10" max="10" width="18.75" style="7" hidden="1" customWidth="1" outlineLevel="1"/>
    <col min="11" max="11" width="19.75" style="7" hidden="1" customWidth="1" outlineLevel="1"/>
    <col min="12" max="12" width="16.08203125" style="7" bestFit="1" customWidth="1" collapsed="1"/>
    <col min="13" max="15" width="19.4140625" style="7" hidden="1" customWidth="1" outlineLevel="1"/>
    <col min="16" max="16" width="9.4140625" style="7" customWidth="1" collapsed="1"/>
    <col min="17" max="17" width="16" style="7" hidden="1" customWidth="1" outlineLevel="1"/>
    <col min="18" max="18" width="17.08203125" style="7" hidden="1" customWidth="1" outlineLevel="1"/>
    <col min="19" max="19" width="13.58203125" style="7" hidden="1" customWidth="1" outlineLevel="1"/>
    <col min="20" max="20" width="2.75" style="7" customWidth="1" collapsed="1"/>
    <col min="21" max="22" width="19.25" style="7" bestFit="1" customWidth="1"/>
    <col min="23" max="23" width="16.33203125" style="7" bestFit="1" customWidth="1"/>
    <col min="24" max="24" width="8.75" style="7" customWidth="1"/>
    <col min="25" max="16384" width="9" style="7"/>
  </cols>
  <sheetData>
    <row r="1" spans="1:24" ht="17.5">
      <c r="B1" s="19" t="s">
        <v>57</v>
      </c>
    </row>
    <row r="2" spans="1:24" ht="14.5" thickBot="1">
      <c r="B2" s="20" t="s">
        <v>11</v>
      </c>
    </row>
    <row r="3" spans="1:24" ht="17.149999999999999" customHeight="1" thickTop="1">
      <c r="A3" s="836" t="s">
        <v>39</v>
      </c>
      <c r="B3" s="837" t="s">
        <v>19</v>
      </c>
      <c r="D3" s="832" t="s">
        <v>195</v>
      </c>
      <c r="E3" s="832"/>
      <c r="F3" s="832"/>
      <c r="G3" s="832"/>
      <c r="H3" s="832"/>
      <c r="I3" s="832"/>
      <c r="J3" s="832"/>
      <c r="K3" s="832"/>
      <c r="L3" s="832"/>
      <c r="M3" s="832"/>
      <c r="N3" s="832"/>
      <c r="O3" s="832"/>
      <c r="P3" s="832"/>
      <c r="Q3" s="832"/>
      <c r="R3" s="832"/>
      <c r="S3" s="832"/>
      <c r="U3" s="833" t="s">
        <v>190</v>
      </c>
      <c r="V3" s="834"/>
      <c r="W3" s="834"/>
      <c r="X3" s="835"/>
    </row>
    <row r="4" spans="1:24" s="30" customFormat="1" ht="16.5">
      <c r="A4" s="836"/>
      <c r="B4" s="837"/>
      <c r="D4" s="400" t="s">
        <v>196</v>
      </c>
      <c r="E4" s="402" t="s">
        <v>200</v>
      </c>
      <c r="F4" s="402" t="s">
        <v>201</v>
      </c>
      <c r="G4" s="402" t="s">
        <v>202</v>
      </c>
      <c r="H4" s="400" t="s">
        <v>197</v>
      </c>
      <c r="I4" s="402" t="s">
        <v>200</v>
      </c>
      <c r="J4" s="402" t="s">
        <v>201</v>
      </c>
      <c r="K4" s="402" t="s">
        <v>202</v>
      </c>
      <c r="L4" s="401" t="s">
        <v>198</v>
      </c>
      <c r="M4" s="402" t="s">
        <v>203</v>
      </c>
      <c r="N4" s="402" t="s">
        <v>204</v>
      </c>
      <c r="O4" s="402" t="s">
        <v>205</v>
      </c>
      <c r="P4" s="401" t="s">
        <v>199</v>
      </c>
      <c r="Q4" s="402" t="s">
        <v>206</v>
      </c>
      <c r="R4" s="402" t="s">
        <v>207</v>
      </c>
      <c r="S4" s="402" t="s">
        <v>208</v>
      </c>
      <c r="U4" s="294" t="s">
        <v>196</v>
      </c>
      <c r="V4" s="255" t="s">
        <v>197</v>
      </c>
      <c r="W4" s="255" t="s">
        <v>198</v>
      </c>
      <c r="X4" s="295" t="s">
        <v>199</v>
      </c>
    </row>
    <row r="5" spans="1:24">
      <c r="A5" s="397">
        <v>1</v>
      </c>
      <c r="B5" s="33" t="s">
        <v>40</v>
      </c>
      <c r="D5" s="398">
        <f t="shared" ref="D5:K5" si="0">SUM(D6:D8)</f>
        <v>30121.928</v>
      </c>
      <c r="E5" s="398">
        <f t="shared" si="0"/>
        <v>11305.142000000002</v>
      </c>
      <c r="F5" s="398">
        <f t="shared" si="0"/>
        <v>7115.9999999999991</v>
      </c>
      <c r="G5" s="398">
        <f t="shared" si="0"/>
        <v>11700.785999999998</v>
      </c>
      <c r="H5" s="398">
        <f t="shared" si="0"/>
        <v>29233.917275</v>
      </c>
      <c r="I5" s="398">
        <f t="shared" si="0"/>
        <v>11696.882274999998</v>
      </c>
      <c r="J5" s="398">
        <f t="shared" si="0"/>
        <v>7115.9999999999991</v>
      </c>
      <c r="K5" s="398">
        <f t="shared" si="0"/>
        <v>10421.035000000002</v>
      </c>
      <c r="L5" s="398">
        <f t="shared" ref="L5:L30" si="1">D5-H5</f>
        <v>888.01072500000009</v>
      </c>
      <c r="M5" s="398">
        <f t="shared" ref="M5:M30" si="2">E5-I5</f>
        <v>-391.74027499999647</v>
      </c>
      <c r="N5" s="398">
        <f t="shared" ref="N5:N30" si="3">F5-J5</f>
        <v>0</v>
      </c>
      <c r="O5" s="398">
        <f t="shared" ref="O5:O30" si="4">G5-K5</f>
        <v>1279.7509999999966</v>
      </c>
      <c r="P5" s="425">
        <f t="shared" ref="P5:P30" si="5">IFERROR(L5/H5,0)</f>
        <v>3.0376042890406657E-2</v>
      </c>
      <c r="Q5" s="425">
        <f t="shared" ref="Q5:Q30" si="6">IFERROR(M5/I5,0)</f>
        <v>-3.3490999207307706E-2</v>
      </c>
      <c r="R5" s="425">
        <f t="shared" ref="R5:R30" si="7">IFERROR(N5/J5,0)</f>
        <v>0</v>
      </c>
      <c r="S5" s="425">
        <f t="shared" ref="S5:S30" si="8">IFERROR(O5/K5,0)</f>
        <v>0.12280459666434249</v>
      </c>
      <c r="U5" s="398">
        <f>SUM(U6:U8)</f>
        <v>55000.000002186731</v>
      </c>
      <c r="V5" s="398">
        <f>SUM(V6:V8)</f>
        <v>55000.000002186731</v>
      </c>
      <c r="W5" s="398">
        <f t="shared" ref="W5:W48" si="9">U5-V5</f>
        <v>0</v>
      </c>
      <c r="X5" s="425">
        <f t="shared" ref="X5:X30" si="10">IFERROR(W5/V5,0)</f>
        <v>0</v>
      </c>
    </row>
    <row r="6" spans="1:24" s="97" customFormat="1" hidden="1" outlineLevel="1">
      <c r="A6" s="399" t="s">
        <v>73</v>
      </c>
      <c r="B6" s="100" t="s">
        <v>1</v>
      </c>
      <c r="D6" s="98">
        <f>SUM(E6:G6)</f>
        <v>0</v>
      </c>
      <c r="E6" s="98">
        <f>'Consol PL-DTRG'!CG6</f>
        <v>0</v>
      </c>
      <c r="F6" s="98">
        <f>'Consol PL-DTRG'!CU6</f>
        <v>0</v>
      </c>
      <c r="G6" s="98">
        <f>'Consol PL-DTRG'!DI6</f>
        <v>0</v>
      </c>
      <c r="H6" s="98">
        <f>SUM(I6:K6)</f>
        <v>0</v>
      </c>
      <c r="I6" s="98">
        <f>'Consol PL-DTRG-Cũ'!CG6</f>
        <v>0</v>
      </c>
      <c r="J6" s="98">
        <f>'Consol PL-DTRG-Cũ'!CU6</f>
        <v>0</v>
      </c>
      <c r="K6" s="98">
        <f>'Consol PL-DTRG-Cũ'!DI6</f>
        <v>0</v>
      </c>
      <c r="L6" s="98">
        <f t="shared" si="1"/>
        <v>0</v>
      </c>
      <c r="M6" s="98">
        <f t="shared" si="2"/>
        <v>0</v>
      </c>
      <c r="N6" s="98">
        <f t="shared" si="3"/>
        <v>0</v>
      </c>
      <c r="O6" s="98">
        <f t="shared" si="4"/>
        <v>0</v>
      </c>
      <c r="P6" s="426">
        <f t="shared" si="5"/>
        <v>0</v>
      </c>
      <c r="Q6" s="426">
        <f t="shared" si="6"/>
        <v>0</v>
      </c>
      <c r="R6" s="426">
        <f t="shared" si="7"/>
        <v>0</v>
      </c>
      <c r="S6" s="426">
        <f t="shared" si="8"/>
        <v>0</v>
      </c>
      <c r="U6" s="98">
        <f>'Consol PL-DTRG'!O6</f>
        <v>55000.000002186731</v>
      </c>
      <c r="V6" s="98">
        <f>'Consol PL-DTRG-Cũ'!O6</f>
        <v>55000.000002186731</v>
      </c>
      <c r="W6" s="98">
        <f t="shared" si="9"/>
        <v>0</v>
      </c>
      <c r="X6" s="426">
        <f t="shared" si="10"/>
        <v>0</v>
      </c>
    </row>
    <row r="7" spans="1:24" s="97" customFormat="1" hidden="1" outlineLevel="1">
      <c r="A7" s="399" t="s">
        <v>74</v>
      </c>
      <c r="B7" s="100" t="s">
        <v>2</v>
      </c>
      <c r="D7" s="98">
        <f>SUM(E7:G7)</f>
        <v>30121.928</v>
      </c>
      <c r="E7" s="98">
        <f>'Consol PL-DTRG'!CG7</f>
        <v>11305.142000000002</v>
      </c>
      <c r="F7" s="98">
        <f>'Consol PL-DTRG'!CU7</f>
        <v>7115.9999999999991</v>
      </c>
      <c r="G7" s="98">
        <f>'Consol PL-DTRG'!DI7</f>
        <v>11700.785999999998</v>
      </c>
      <c r="H7" s="98">
        <f>SUM(I7:K7)</f>
        <v>29233.917275</v>
      </c>
      <c r="I7" s="98">
        <f>'Consol PL-DTRG-Cũ'!CG7</f>
        <v>11696.882274999998</v>
      </c>
      <c r="J7" s="98">
        <f>'Consol PL-DTRG-Cũ'!CU7</f>
        <v>7115.9999999999991</v>
      </c>
      <c r="K7" s="98">
        <f>'Consol PL-DTRG-Cũ'!DI7</f>
        <v>10421.035000000002</v>
      </c>
      <c r="L7" s="98">
        <f t="shared" si="1"/>
        <v>888.01072500000009</v>
      </c>
      <c r="M7" s="98">
        <f t="shared" si="2"/>
        <v>-391.74027499999647</v>
      </c>
      <c r="N7" s="98">
        <f t="shared" si="3"/>
        <v>0</v>
      </c>
      <c r="O7" s="98">
        <f t="shared" si="4"/>
        <v>1279.7509999999966</v>
      </c>
      <c r="P7" s="426">
        <f t="shared" si="5"/>
        <v>3.0376042890406657E-2</v>
      </c>
      <c r="Q7" s="426">
        <f t="shared" si="6"/>
        <v>-3.3490999207307706E-2</v>
      </c>
      <c r="R7" s="426">
        <f t="shared" si="7"/>
        <v>0</v>
      </c>
      <c r="S7" s="426">
        <f t="shared" si="8"/>
        <v>0.12280459666434249</v>
      </c>
      <c r="U7" s="98">
        <f>'Consol PL-DTRG'!O7</f>
        <v>0</v>
      </c>
      <c r="V7" s="98">
        <f>'Consol PL-DTRG-Cũ'!O7</f>
        <v>0</v>
      </c>
      <c r="W7" s="98">
        <f t="shared" si="9"/>
        <v>0</v>
      </c>
      <c r="X7" s="426">
        <f t="shared" si="10"/>
        <v>0</v>
      </c>
    </row>
    <row r="8" spans="1:24" s="97" customFormat="1" hidden="1" outlineLevel="1">
      <c r="A8" s="399" t="s">
        <v>75</v>
      </c>
      <c r="B8" s="100" t="s">
        <v>3</v>
      </c>
      <c r="D8" s="98">
        <f>SUM(E8:G8)</f>
        <v>0</v>
      </c>
      <c r="E8" s="98">
        <f>'Consol PL-DTRG'!CG8</f>
        <v>0</v>
      </c>
      <c r="F8" s="98">
        <f>'Consol PL-DTRG'!CU8</f>
        <v>0</v>
      </c>
      <c r="G8" s="98">
        <f>'Consol PL-DTRG'!DI8</f>
        <v>0</v>
      </c>
      <c r="H8" s="98">
        <f>SUM(I8:K8)</f>
        <v>0</v>
      </c>
      <c r="I8" s="98">
        <f>'Consol PL-DTRG-Cũ'!CG8</f>
        <v>0</v>
      </c>
      <c r="J8" s="98">
        <f>'Consol PL-DTRG-Cũ'!CU8</f>
        <v>0</v>
      </c>
      <c r="K8" s="98">
        <f>'Consol PL-DTRG-Cũ'!DI8</f>
        <v>0</v>
      </c>
      <c r="L8" s="98">
        <f t="shared" si="1"/>
        <v>0</v>
      </c>
      <c r="M8" s="98">
        <f t="shared" si="2"/>
        <v>0</v>
      </c>
      <c r="N8" s="98">
        <f t="shared" si="3"/>
        <v>0</v>
      </c>
      <c r="O8" s="98">
        <f t="shared" si="4"/>
        <v>0</v>
      </c>
      <c r="P8" s="426">
        <f t="shared" si="5"/>
        <v>0</v>
      </c>
      <c r="Q8" s="426">
        <f t="shared" si="6"/>
        <v>0</v>
      </c>
      <c r="R8" s="426">
        <f t="shared" si="7"/>
        <v>0</v>
      </c>
      <c r="S8" s="426">
        <f t="shared" si="8"/>
        <v>0</v>
      </c>
      <c r="U8" s="98">
        <f>'Consol PL-DTRG'!O8</f>
        <v>0</v>
      </c>
      <c r="V8" s="98">
        <f>'Consol PL-DTRG-Cũ'!O8</f>
        <v>0</v>
      </c>
      <c r="W8" s="98">
        <f t="shared" si="9"/>
        <v>0</v>
      </c>
      <c r="X8" s="426">
        <f t="shared" si="10"/>
        <v>0</v>
      </c>
    </row>
    <row r="9" spans="1:24" s="49" customFormat="1" ht="15" collapsed="1">
      <c r="A9" s="34">
        <v>2</v>
      </c>
      <c r="B9" s="35" t="s">
        <v>20</v>
      </c>
      <c r="D9" s="405">
        <f t="shared" ref="D9:K9" si="11">SUM(D10:D12)</f>
        <v>458198101250</v>
      </c>
      <c r="E9" s="405">
        <f t="shared" si="11"/>
        <v>177488853750</v>
      </c>
      <c r="F9" s="405">
        <f t="shared" si="11"/>
        <v>99594000000</v>
      </c>
      <c r="G9" s="405">
        <f t="shared" si="11"/>
        <v>181115247500</v>
      </c>
      <c r="H9" s="405">
        <f t="shared" si="11"/>
        <v>441436738250</v>
      </c>
      <c r="I9" s="405">
        <f t="shared" si="11"/>
        <v>182794810750</v>
      </c>
      <c r="J9" s="405">
        <f t="shared" si="11"/>
        <v>99594000000</v>
      </c>
      <c r="K9" s="405">
        <f t="shared" si="11"/>
        <v>159047927500</v>
      </c>
      <c r="L9" s="405">
        <f t="shared" si="1"/>
        <v>16761363000</v>
      </c>
      <c r="M9" s="405">
        <f t="shared" si="2"/>
        <v>-5305957000</v>
      </c>
      <c r="N9" s="405">
        <f t="shared" si="3"/>
        <v>0</v>
      </c>
      <c r="O9" s="405">
        <f t="shared" si="4"/>
        <v>22067320000</v>
      </c>
      <c r="P9" s="427">
        <f t="shared" si="5"/>
        <v>3.797002276350523E-2</v>
      </c>
      <c r="Q9" s="427">
        <f t="shared" si="6"/>
        <v>-2.9026846977930416E-2</v>
      </c>
      <c r="R9" s="427">
        <f t="shared" si="7"/>
        <v>0</v>
      </c>
      <c r="S9" s="427">
        <f t="shared" si="8"/>
        <v>0.13874635367380062</v>
      </c>
      <c r="U9" s="405">
        <f>SUM(U10:U12)</f>
        <v>1678747622141.6824</v>
      </c>
      <c r="V9" s="405">
        <f>SUM(V10:V12)</f>
        <v>1678747622141.6824</v>
      </c>
      <c r="W9" s="405">
        <f t="shared" si="9"/>
        <v>0</v>
      </c>
      <c r="X9" s="427">
        <f t="shared" si="10"/>
        <v>0</v>
      </c>
    </row>
    <row r="10" spans="1:24" s="29" customFormat="1" hidden="1" outlineLevel="1">
      <c r="A10" s="36" t="s">
        <v>62</v>
      </c>
      <c r="B10" s="37" t="s">
        <v>1</v>
      </c>
      <c r="D10" s="406">
        <f>SUM(E10:G10)</f>
        <v>0</v>
      </c>
      <c r="E10" s="406">
        <f>'Consol PL-DTRG'!CG10</f>
        <v>0</v>
      </c>
      <c r="F10" s="406">
        <f>'Consol PL-DTRG'!CU10</f>
        <v>0</v>
      </c>
      <c r="G10" s="406">
        <f>'Consol PL-DTRG'!DI10</f>
        <v>0</v>
      </c>
      <c r="H10" s="406">
        <f>SUM(I10:K10)</f>
        <v>0</v>
      </c>
      <c r="I10" s="406">
        <f>'Consol PL-DTRG-Cũ'!CG10</f>
        <v>0</v>
      </c>
      <c r="J10" s="406">
        <f>'Consol PL-DTRG-Cũ'!CU10</f>
        <v>0</v>
      </c>
      <c r="K10" s="406">
        <f>'Consol PL-DTRG-Cũ'!DI10</f>
        <v>0</v>
      </c>
      <c r="L10" s="406">
        <f t="shared" si="1"/>
        <v>0</v>
      </c>
      <c r="M10" s="406">
        <f t="shared" si="2"/>
        <v>0</v>
      </c>
      <c r="N10" s="406">
        <f t="shared" si="3"/>
        <v>0</v>
      </c>
      <c r="O10" s="406">
        <f t="shared" si="4"/>
        <v>0</v>
      </c>
      <c r="P10" s="428">
        <f t="shared" si="5"/>
        <v>0</v>
      </c>
      <c r="Q10" s="428">
        <f t="shared" si="6"/>
        <v>0</v>
      </c>
      <c r="R10" s="428">
        <f t="shared" si="7"/>
        <v>0</v>
      </c>
      <c r="S10" s="428">
        <f t="shared" si="8"/>
        <v>0</v>
      </c>
      <c r="U10" s="406">
        <f>'Consol PL-DTRG'!O10</f>
        <v>1678747622141.6824</v>
      </c>
      <c r="V10" s="406">
        <f>'Consol PL-DTRG-Cũ'!O10</f>
        <v>1678747622141.6824</v>
      </c>
      <c r="W10" s="406">
        <f t="shared" si="9"/>
        <v>0</v>
      </c>
      <c r="X10" s="428">
        <f t="shared" si="10"/>
        <v>0</v>
      </c>
    </row>
    <row r="11" spans="1:24" s="29" customFormat="1" hidden="1" outlineLevel="1">
      <c r="A11" s="36" t="s">
        <v>65</v>
      </c>
      <c r="B11" s="37" t="s">
        <v>2</v>
      </c>
      <c r="D11" s="406">
        <f>SUM(E11:G11)</f>
        <v>458198101250</v>
      </c>
      <c r="E11" s="406">
        <f>'Consol PL-DTRG'!CG11</f>
        <v>177488853750</v>
      </c>
      <c r="F11" s="406">
        <f>'Consol PL-DTRG'!CU11</f>
        <v>99594000000</v>
      </c>
      <c r="G11" s="406">
        <f>'Consol PL-DTRG'!DI11</f>
        <v>181115247500</v>
      </c>
      <c r="H11" s="406">
        <f>SUM(I11:K11)</f>
        <v>441436738250</v>
      </c>
      <c r="I11" s="406">
        <f>'Consol PL-DTRG-Cũ'!CG11</f>
        <v>182794810750</v>
      </c>
      <c r="J11" s="406">
        <f>'Consol PL-DTRG-Cũ'!CU11</f>
        <v>99594000000</v>
      </c>
      <c r="K11" s="406">
        <f>'Consol PL-DTRG-Cũ'!DI11</f>
        <v>159047927500</v>
      </c>
      <c r="L11" s="406">
        <f t="shared" si="1"/>
        <v>16761363000</v>
      </c>
      <c r="M11" s="406">
        <f t="shared" si="2"/>
        <v>-5305957000</v>
      </c>
      <c r="N11" s="406">
        <f t="shared" si="3"/>
        <v>0</v>
      </c>
      <c r="O11" s="406">
        <f t="shared" si="4"/>
        <v>22067320000</v>
      </c>
      <c r="P11" s="428">
        <f t="shared" si="5"/>
        <v>3.797002276350523E-2</v>
      </c>
      <c r="Q11" s="428">
        <f t="shared" si="6"/>
        <v>-2.9026846977930416E-2</v>
      </c>
      <c r="R11" s="428">
        <f t="shared" si="7"/>
        <v>0</v>
      </c>
      <c r="S11" s="428">
        <f t="shared" si="8"/>
        <v>0.13874635367380062</v>
      </c>
      <c r="U11" s="406">
        <f>'Consol PL-DTRG'!O11</f>
        <v>0</v>
      </c>
      <c r="V11" s="406">
        <f>'Consol PL-DTRG-Cũ'!O11</f>
        <v>0</v>
      </c>
      <c r="W11" s="406">
        <f t="shared" si="9"/>
        <v>0</v>
      </c>
      <c r="X11" s="428">
        <f t="shared" si="10"/>
        <v>0</v>
      </c>
    </row>
    <row r="12" spans="1:24" s="29" customFormat="1" hidden="1" outlineLevel="1">
      <c r="A12" s="36" t="s">
        <v>71</v>
      </c>
      <c r="B12" s="37" t="s">
        <v>3</v>
      </c>
      <c r="D12" s="406">
        <f>SUM(E12:G12)</f>
        <v>0</v>
      </c>
      <c r="E12" s="406">
        <f>'Consol PL-DTRG'!CG12</f>
        <v>0</v>
      </c>
      <c r="F12" s="406">
        <f>'Consol PL-DTRG'!CU12</f>
        <v>0</v>
      </c>
      <c r="G12" s="406">
        <f>'Consol PL-DTRG'!DI12</f>
        <v>0</v>
      </c>
      <c r="H12" s="406">
        <f>SUM(I12:K12)</f>
        <v>0</v>
      </c>
      <c r="I12" s="406">
        <f>'Consol PL-DTRG-Cũ'!CG12</f>
        <v>0</v>
      </c>
      <c r="J12" s="406">
        <f>'Consol PL-DTRG-Cũ'!CU12</f>
        <v>0</v>
      </c>
      <c r="K12" s="406">
        <f>'Consol PL-DTRG-Cũ'!DI12</f>
        <v>0</v>
      </c>
      <c r="L12" s="406">
        <f t="shared" si="1"/>
        <v>0</v>
      </c>
      <c r="M12" s="406">
        <f t="shared" si="2"/>
        <v>0</v>
      </c>
      <c r="N12" s="406">
        <f t="shared" si="3"/>
        <v>0</v>
      </c>
      <c r="O12" s="406">
        <f t="shared" si="4"/>
        <v>0</v>
      </c>
      <c r="P12" s="428">
        <f t="shared" si="5"/>
        <v>0</v>
      </c>
      <c r="Q12" s="428">
        <f t="shared" si="6"/>
        <v>0</v>
      </c>
      <c r="R12" s="428">
        <f t="shared" si="7"/>
        <v>0</v>
      </c>
      <c r="S12" s="428">
        <f t="shared" si="8"/>
        <v>0</v>
      </c>
      <c r="U12" s="406">
        <f>'Consol PL-DTRG'!O12</f>
        <v>0</v>
      </c>
      <c r="V12" s="406">
        <f>'Consol PL-DTRG-Cũ'!O12</f>
        <v>0</v>
      </c>
      <c r="W12" s="406">
        <f t="shared" si="9"/>
        <v>0</v>
      </c>
      <c r="X12" s="428">
        <f t="shared" si="10"/>
        <v>0</v>
      </c>
    </row>
    <row r="13" spans="1:24" s="51" customFormat="1" collapsed="1">
      <c r="A13" s="50">
        <v>3</v>
      </c>
      <c r="B13" s="91" t="s">
        <v>21</v>
      </c>
      <c r="D13" s="407">
        <f t="shared" ref="D13:K13" si="12">SUM(D14:D16)</f>
        <v>0</v>
      </c>
      <c r="E13" s="407">
        <f t="shared" si="12"/>
        <v>0</v>
      </c>
      <c r="F13" s="407">
        <f t="shared" si="12"/>
        <v>0</v>
      </c>
      <c r="G13" s="407">
        <f t="shared" si="12"/>
        <v>0</v>
      </c>
      <c r="H13" s="407">
        <f t="shared" si="12"/>
        <v>0</v>
      </c>
      <c r="I13" s="407">
        <f t="shared" si="12"/>
        <v>0</v>
      </c>
      <c r="J13" s="407">
        <f t="shared" si="12"/>
        <v>0</v>
      </c>
      <c r="K13" s="407">
        <f t="shared" si="12"/>
        <v>0</v>
      </c>
      <c r="L13" s="407">
        <f t="shared" si="1"/>
        <v>0</v>
      </c>
      <c r="M13" s="407">
        <f t="shared" si="2"/>
        <v>0</v>
      </c>
      <c r="N13" s="407">
        <f t="shared" si="3"/>
        <v>0</v>
      </c>
      <c r="O13" s="407">
        <f t="shared" si="4"/>
        <v>0</v>
      </c>
      <c r="P13" s="429">
        <f t="shared" si="5"/>
        <v>0</v>
      </c>
      <c r="Q13" s="429">
        <f t="shared" si="6"/>
        <v>0</v>
      </c>
      <c r="R13" s="429">
        <f t="shared" si="7"/>
        <v>0</v>
      </c>
      <c r="S13" s="429">
        <f t="shared" si="8"/>
        <v>0</v>
      </c>
      <c r="U13" s="407">
        <f>SUM(U14:U16)</f>
        <v>0</v>
      </c>
      <c r="V13" s="407">
        <f>SUM(V14:V16)</f>
        <v>0</v>
      </c>
      <c r="W13" s="407">
        <f t="shared" si="9"/>
        <v>0</v>
      </c>
      <c r="X13" s="429">
        <f t="shared" si="10"/>
        <v>0</v>
      </c>
    </row>
    <row r="14" spans="1:24" hidden="1" outlineLevel="1">
      <c r="A14" s="38" t="s">
        <v>63</v>
      </c>
      <c r="B14" s="39" t="s">
        <v>1</v>
      </c>
      <c r="D14" s="408">
        <f>SUM(E14:G14)</f>
        <v>0</v>
      </c>
      <c r="E14" s="408">
        <f>'Consol PL-DTRG'!CG14</f>
        <v>0</v>
      </c>
      <c r="F14" s="408">
        <f>'Consol PL-DTRG'!CU14</f>
        <v>0</v>
      </c>
      <c r="G14" s="408">
        <f>'Consol PL-DTRG'!DI14</f>
        <v>0</v>
      </c>
      <c r="H14" s="408">
        <f>SUM(I14:K14)</f>
        <v>0</v>
      </c>
      <c r="I14" s="408">
        <f>'Consol PL-DTRG-Cũ'!CG14</f>
        <v>0</v>
      </c>
      <c r="J14" s="408">
        <f>'Consol PL-DTRG-Cũ'!CU14</f>
        <v>0</v>
      </c>
      <c r="K14" s="408">
        <f>'Consol PL-DTRG-Cũ'!DI14</f>
        <v>0</v>
      </c>
      <c r="L14" s="408">
        <f t="shared" si="1"/>
        <v>0</v>
      </c>
      <c r="M14" s="408">
        <f t="shared" si="2"/>
        <v>0</v>
      </c>
      <c r="N14" s="408">
        <f t="shared" si="3"/>
        <v>0</v>
      </c>
      <c r="O14" s="408">
        <f t="shared" si="4"/>
        <v>0</v>
      </c>
      <c r="P14" s="430">
        <f t="shared" si="5"/>
        <v>0</v>
      </c>
      <c r="Q14" s="430">
        <f t="shared" si="6"/>
        <v>0</v>
      </c>
      <c r="R14" s="430">
        <f t="shared" si="7"/>
        <v>0</v>
      </c>
      <c r="S14" s="430">
        <f t="shared" si="8"/>
        <v>0</v>
      </c>
      <c r="U14" s="408">
        <f>'Consol PL-DTRG'!O14</f>
        <v>0</v>
      </c>
      <c r="V14" s="408">
        <f>'Consol PL-DTRG-Cũ'!O14</f>
        <v>0</v>
      </c>
      <c r="W14" s="408">
        <f t="shared" si="9"/>
        <v>0</v>
      </c>
      <c r="X14" s="430">
        <f t="shared" si="10"/>
        <v>0</v>
      </c>
    </row>
    <row r="15" spans="1:24" hidden="1" outlineLevel="1">
      <c r="A15" s="38" t="s">
        <v>66</v>
      </c>
      <c r="B15" s="39" t="s">
        <v>2</v>
      </c>
      <c r="D15" s="408">
        <f>SUM(E15:G15)</f>
        <v>0</v>
      </c>
      <c r="E15" s="408">
        <f>'Consol PL-DTRG'!CG15</f>
        <v>0</v>
      </c>
      <c r="F15" s="408">
        <f>'Consol PL-DTRG'!CU15</f>
        <v>0</v>
      </c>
      <c r="G15" s="408">
        <f>'Consol PL-DTRG'!DI15</f>
        <v>0</v>
      </c>
      <c r="H15" s="408">
        <f>SUM(I15:K15)</f>
        <v>0</v>
      </c>
      <c r="I15" s="408">
        <f>'Consol PL-DTRG-Cũ'!CG15</f>
        <v>0</v>
      </c>
      <c r="J15" s="408">
        <f>'Consol PL-DTRG-Cũ'!CU15</f>
        <v>0</v>
      </c>
      <c r="K15" s="408">
        <f>'Consol PL-DTRG-Cũ'!DI15</f>
        <v>0</v>
      </c>
      <c r="L15" s="408">
        <f t="shared" si="1"/>
        <v>0</v>
      </c>
      <c r="M15" s="408">
        <f t="shared" si="2"/>
        <v>0</v>
      </c>
      <c r="N15" s="408">
        <f t="shared" si="3"/>
        <v>0</v>
      </c>
      <c r="O15" s="408">
        <f t="shared" si="4"/>
        <v>0</v>
      </c>
      <c r="P15" s="430">
        <f t="shared" si="5"/>
        <v>0</v>
      </c>
      <c r="Q15" s="430">
        <f t="shared" si="6"/>
        <v>0</v>
      </c>
      <c r="R15" s="430">
        <f t="shared" si="7"/>
        <v>0</v>
      </c>
      <c r="S15" s="430">
        <f t="shared" si="8"/>
        <v>0</v>
      </c>
      <c r="U15" s="408">
        <f>'Consol PL-DTRG'!O15</f>
        <v>0</v>
      </c>
      <c r="V15" s="408">
        <f>'Consol PL-DTRG-Cũ'!O15</f>
        <v>0</v>
      </c>
      <c r="W15" s="408">
        <f t="shared" si="9"/>
        <v>0</v>
      </c>
      <c r="X15" s="430">
        <f t="shared" si="10"/>
        <v>0</v>
      </c>
    </row>
    <row r="16" spans="1:24" hidden="1" outlineLevel="1">
      <c r="A16" s="55" t="s">
        <v>72</v>
      </c>
      <c r="B16" s="56" t="s">
        <v>3</v>
      </c>
      <c r="D16" s="409">
        <f>SUM(E16:G16)</f>
        <v>0</v>
      </c>
      <c r="E16" s="409">
        <f>'Consol PL-DTRG'!CG16</f>
        <v>0</v>
      </c>
      <c r="F16" s="409">
        <f>'Consol PL-DTRG'!CU16</f>
        <v>0</v>
      </c>
      <c r="G16" s="409">
        <f>'Consol PL-DTRG'!DI16</f>
        <v>0</v>
      </c>
      <c r="H16" s="409">
        <f>SUM(I16:K16)</f>
        <v>0</v>
      </c>
      <c r="I16" s="409">
        <f>'Consol PL-DTRG-Cũ'!CG16</f>
        <v>0</v>
      </c>
      <c r="J16" s="409">
        <f>'Consol PL-DTRG-Cũ'!CU16</f>
        <v>0</v>
      </c>
      <c r="K16" s="409">
        <f>'Consol PL-DTRG-Cũ'!DI16</f>
        <v>0</v>
      </c>
      <c r="L16" s="409">
        <f t="shared" si="1"/>
        <v>0</v>
      </c>
      <c r="M16" s="409">
        <f t="shared" si="2"/>
        <v>0</v>
      </c>
      <c r="N16" s="409">
        <f t="shared" si="3"/>
        <v>0</v>
      </c>
      <c r="O16" s="409">
        <f t="shared" si="4"/>
        <v>0</v>
      </c>
      <c r="P16" s="431">
        <f t="shared" si="5"/>
        <v>0</v>
      </c>
      <c r="Q16" s="431">
        <f t="shared" si="6"/>
        <v>0</v>
      </c>
      <c r="R16" s="431">
        <f t="shared" si="7"/>
        <v>0</v>
      </c>
      <c r="S16" s="431">
        <f t="shared" si="8"/>
        <v>0</v>
      </c>
      <c r="U16" s="409">
        <f>'Consol PL-DTRG'!O16</f>
        <v>0</v>
      </c>
      <c r="V16" s="409">
        <f>'Consol PL-DTRG-Cũ'!O16</f>
        <v>0</v>
      </c>
      <c r="W16" s="409">
        <f t="shared" si="9"/>
        <v>0</v>
      </c>
      <c r="X16" s="431">
        <f t="shared" si="10"/>
        <v>0</v>
      </c>
    </row>
    <row r="17" spans="1:24" collapsed="1">
      <c r="A17" s="61">
        <v>4</v>
      </c>
      <c r="B17" s="62" t="s">
        <v>22</v>
      </c>
      <c r="D17" s="410">
        <f t="shared" ref="D17:K17" si="13">SUM(D18:D20)</f>
        <v>458198101250</v>
      </c>
      <c r="E17" s="410">
        <f t="shared" si="13"/>
        <v>177488853750</v>
      </c>
      <c r="F17" s="410">
        <f t="shared" si="13"/>
        <v>99594000000</v>
      </c>
      <c r="G17" s="410">
        <f t="shared" si="13"/>
        <v>181115247500</v>
      </c>
      <c r="H17" s="410">
        <f t="shared" si="13"/>
        <v>441436738250</v>
      </c>
      <c r="I17" s="410">
        <f t="shared" si="13"/>
        <v>182794810750</v>
      </c>
      <c r="J17" s="410">
        <f t="shared" si="13"/>
        <v>99594000000</v>
      </c>
      <c r="K17" s="410">
        <f t="shared" si="13"/>
        <v>159047927500</v>
      </c>
      <c r="L17" s="410">
        <f t="shared" si="1"/>
        <v>16761363000</v>
      </c>
      <c r="M17" s="410">
        <f t="shared" si="2"/>
        <v>-5305957000</v>
      </c>
      <c r="N17" s="410">
        <f t="shared" si="3"/>
        <v>0</v>
      </c>
      <c r="O17" s="410">
        <f t="shared" si="4"/>
        <v>22067320000</v>
      </c>
      <c r="P17" s="432">
        <f t="shared" si="5"/>
        <v>3.797002276350523E-2</v>
      </c>
      <c r="Q17" s="432">
        <f t="shared" si="6"/>
        <v>-2.9026846977930416E-2</v>
      </c>
      <c r="R17" s="432">
        <f t="shared" si="7"/>
        <v>0</v>
      </c>
      <c r="S17" s="432">
        <f t="shared" si="8"/>
        <v>0.13874635367380062</v>
      </c>
      <c r="U17" s="410">
        <f>SUM(U18:U20)</f>
        <v>1678747622141.6824</v>
      </c>
      <c r="V17" s="410">
        <f>SUM(V18:V20)</f>
        <v>1678747622141.6824</v>
      </c>
      <c r="W17" s="410">
        <f t="shared" si="9"/>
        <v>0</v>
      </c>
      <c r="X17" s="432">
        <f t="shared" si="10"/>
        <v>0</v>
      </c>
    </row>
    <row r="18" spans="1:24" s="29" customFormat="1" hidden="1" outlineLevel="1">
      <c r="A18" s="58" t="s">
        <v>58</v>
      </c>
      <c r="B18" s="59" t="s">
        <v>1</v>
      </c>
      <c r="D18" s="411">
        <f t="shared" ref="D18:K20" si="14">D10-D14</f>
        <v>0</v>
      </c>
      <c r="E18" s="411">
        <f t="shared" si="14"/>
        <v>0</v>
      </c>
      <c r="F18" s="411">
        <f t="shared" si="14"/>
        <v>0</v>
      </c>
      <c r="G18" s="411">
        <f t="shared" si="14"/>
        <v>0</v>
      </c>
      <c r="H18" s="411">
        <f t="shared" si="14"/>
        <v>0</v>
      </c>
      <c r="I18" s="411">
        <f t="shared" si="14"/>
        <v>0</v>
      </c>
      <c r="J18" s="411">
        <f t="shared" si="14"/>
        <v>0</v>
      </c>
      <c r="K18" s="411">
        <f t="shared" si="14"/>
        <v>0</v>
      </c>
      <c r="L18" s="411">
        <f t="shared" si="1"/>
        <v>0</v>
      </c>
      <c r="M18" s="411">
        <f t="shared" si="2"/>
        <v>0</v>
      </c>
      <c r="N18" s="411">
        <f t="shared" si="3"/>
        <v>0</v>
      </c>
      <c r="O18" s="411">
        <f t="shared" si="4"/>
        <v>0</v>
      </c>
      <c r="P18" s="433">
        <f t="shared" si="5"/>
        <v>0</v>
      </c>
      <c r="Q18" s="433">
        <f t="shared" si="6"/>
        <v>0</v>
      </c>
      <c r="R18" s="433">
        <f t="shared" si="7"/>
        <v>0</v>
      </c>
      <c r="S18" s="433">
        <f t="shared" si="8"/>
        <v>0</v>
      </c>
      <c r="U18" s="411">
        <f t="shared" ref="U18:V20" si="15">U10-U14</f>
        <v>1678747622141.6824</v>
      </c>
      <c r="V18" s="411">
        <f t="shared" si="15"/>
        <v>1678747622141.6824</v>
      </c>
      <c r="W18" s="411">
        <f t="shared" si="9"/>
        <v>0</v>
      </c>
      <c r="X18" s="433">
        <f t="shared" si="10"/>
        <v>0</v>
      </c>
    </row>
    <row r="19" spans="1:24" s="29" customFormat="1" hidden="1" outlineLevel="1">
      <c r="A19" s="40" t="s">
        <v>59</v>
      </c>
      <c r="B19" s="41" t="s">
        <v>2</v>
      </c>
      <c r="D19" s="412">
        <f t="shared" si="14"/>
        <v>458198101250</v>
      </c>
      <c r="E19" s="412">
        <f t="shared" si="14"/>
        <v>177488853750</v>
      </c>
      <c r="F19" s="412">
        <f t="shared" si="14"/>
        <v>99594000000</v>
      </c>
      <c r="G19" s="412">
        <f t="shared" si="14"/>
        <v>181115247500</v>
      </c>
      <c r="H19" s="412">
        <f t="shared" si="14"/>
        <v>441436738250</v>
      </c>
      <c r="I19" s="412">
        <f t="shared" si="14"/>
        <v>182794810750</v>
      </c>
      <c r="J19" s="412">
        <f t="shared" si="14"/>
        <v>99594000000</v>
      </c>
      <c r="K19" s="412">
        <f t="shared" si="14"/>
        <v>159047927500</v>
      </c>
      <c r="L19" s="412">
        <f t="shared" si="1"/>
        <v>16761363000</v>
      </c>
      <c r="M19" s="412">
        <f t="shared" si="2"/>
        <v>-5305957000</v>
      </c>
      <c r="N19" s="412">
        <f t="shared" si="3"/>
        <v>0</v>
      </c>
      <c r="O19" s="412">
        <f t="shared" si="4"/>
        <v>22067320000</v>
      </c>
      <c r="P19" s="434">
        <f t="shared" si="5"/>
        <v>3.797002276350523E-2</v>
      </c>
      <c r="Q19" s="434">
        <f t="shared" si="6"/>
        <v>-2.9026846977930416E-2</v>
      </c>
      <c r="R19" s="434">
        <f t="shared" si="7"/>
        <v>0</v>
      </c>
      <c r="S19" s="434">
        <f t="shared" si="8"/>
        <v>0.13874635367380062</v>
      </c>
      <c r="U19" s="412">
        <f t="shared" si="15"/>
        <v>0</v>
      </c>
      <c r="V19" s="412">
        <f t="shared" si="15"/>
        <v>0</v>
      </c>
      <c r="W19" s="412">
        <f t="shared" si="9"/>
        <v>0</v>
      </c>
      <c r="X19" s="434">
        <f t="shared" si="10"/>
        <v>0</v>
      </c>
    </row>
    <row r="20" spans="1:24" s="29" customFormat="1" hidden="1" outlineLevel="1">
      <c r="A20" s="40" t="s">
        <v>60</v>
      </c>
      <c r="B20" s="41" t="s">
        <v>3</v>
      </c>
      <c r="D20" s="412">
        <f t="shared" si="14"/>
        <v>0</v>
      </c>
      <c r="E20" s="412">
        <f t="shared" si="14"/>
        <v>0</v>
      </c>
      <c r="F20" s="412">
        <f t="shared" si="14"/>
        <v>0</v>
      </c>
      <c r="G20" s="412">
        <f t="shared" si="14"/>
        <v>0</v>
      </c>
      <c r="H20" s="412">
        <f t="shared" si="14"/>
        <v>0</v>
      </c>
      <c r="I20" s="412">
        <f t="shared" si="14"/>
        <v>0</v>
      </c>
      <c r="J20" s="412">
        <f t="shared" si="14"/>
        <v>0</v>
      </c>
      <c r="K20" s="412">
        <f t="shared" si="14"/>
        <v>0</v>
      </c>
      <c r="L20" s="412">
        <f t="shared" si="1"/>
        <v>0</v>
      </c>
      <c r="M20" s="412">
        <f t="shared" si="2"/>
        <v>0</v>
      </c>
      <c r="N20" s="412">
        <f t="shared" si="3"/>
        <v>0</v>
      </c>
      <c r="O20" s="412">
        <f t="shared" si="4"/>
        <v>0</v>
      </c>
      <c r="P20" s="434">
        <f t="shared" si="5"/>
        <v>0</v>
      </c>
      <c r="Q20" s="434">
        <f t="shared" si="6"/>
        <v>0</v>
      </c>
      <c r="R20" s="434">
        <f t="shared" si="7"/>
        <v>0</v>
      </c>
      <c r="S20" s="434">
        <f t="shared" si="8"/>
        <v>0</v>
      </c>
      <c r="U20" s="412">
        <f t="shared" si="15"/>
        <v>0</v>
      </c>
      <c r="V20" s="412">
        <f t="shared" si="15"/>
        <v>0</v>
      </c>
      <c r="W20" s="412">
        <f t="shared" si="9"/>
        <v>0</v>
      </c>
      <c r="X20" s="434">
        <f t="shared" si="10"/>
        <v>0</v>
      </c>
    </row>
    <row r="21" spans="1:24" s="51" customFormat="1" collapsed="1">
      <c r="A21" s="50">
        <v>5</v>
      </c>
      <c r="B21" s="91" t="s">
        <v>23</v>
      </c>
      <c r="D21" s="407">
        <f t="shared" ref="D21:K21" si="16">SUM(D22:D24)-D25+D26</f>
        <v>434198986370.46283</v>
      </c>
      <c r="E21" s="407">
        <f t="shared" si="16"/>
        <v>167989966379.80621</v>
      </c>
      <c r="F21" s="407">
        <f t="shared" si="16"/>
        <v>92113708807.182983</v>
      </c>
      <c r="G21" s="407">
        <f t="shared" si="16"/>
        <v>174095311183.47363</v>
      </c>
      <c r="H21" s="407">
        <f t="shared" si="16"/>
        <v>439571283441.55151</v>
      </c>
      <c r="I21" s="407">
        <f t="shared" si="16"/>
        <v>184192407370.94977</v>
      </c>
      <c r="J21" s="407">
        <f t="shared" si="16"/>
        <v>94520063687.366257</v>
      </c>
      <c r="K21" s="407">
        <f t="shared" si="16"/>
        <v>160858812383.23544</v>
      </c>
      <c r="L21" s="407">
        <f t="shared" si="1"/>
        <v>-5372297071.0886841</v>
      </c>
      <c r="M21" s="407">
        <f t="shared" si="2"/>
        <v>-16202440991.143555</v>
      </c>
      <c r="N21" s="407">
        <f t="shared" si="3"/>
        <v>-2406354880.1832733</v>
      </c>
      <c r="O21" s="407">
        <f t="shared" si="4"/>
        <v>13236498800.23819</v>
      </c>
      <c r="P21" s="429">
        <f t="shared" si="5"/>
        <v>-1.2221674330104465E-2</v>
      </c>
      <c r="Q21" s="429">
        <f t="shared" si="6"/>
        <v>-8.7964760450266813E-2</v>
      </c>
      <c r="R21" s="429">
        <f t="shared" si="7"/>
        <v>-2.5458667570755263E-2</v>
      </c>
      <c r="S21" s="429">
        <f t="shared" si="8"/>
        <v>8.2286438673332421E-2</v>
      </c>
      <c r="U21" s="407">
        <f ca="1">SUM(U22:U24)-U25+U26</f>
        <v>1399190681665.437</v>
      </c>
      <c r="V21" s="407">
        <f ca="1">SUM(V22:V24)-V25+V26</f>
        <v>1414176736720.0657</v>
      </c>
      <c r="W21" s="407">
        <f t="shared" ca="1" si="9"/>
        <v>-14986055054.628662</v>
      </c>
      <c r="X21" s="429">
        <f t="shared" ca="1" si="10"/>
        <v>-1.0597017095180183E-2</v>
      </c>
    </row>
    <row r="22" spans="1:24" hidden="1" outlineLevel="2">
      <c r="A22" s="38" t="s">
        <v>64</v>
      </c>
      <c r="B22" s="39" t="s">
        <v>1</v>
      </c>
      <c r="D22" s="413">
        <f>SUM(E22:G22)</f>
        <v>0</v>
      </c>
      <c r="E22" s="413">
        <f>'Consol PL-DTRG'!CG22</f>
        <v>0</v>
      </c>
      <c r="F22" s="413">
        <f>'Consol PL-DTRG'!CU22</f>
        <v>0</v>
      </c>
      <c r="G22" s="413">
        <f>'Consol PL-DTRG'!DI22</f>
        <v>0</v>
      </c>
      <c r="H22" s="413">
        <f>SUM(I22:K22)</f>
        <v>0</v>
      </c>
      <c r="I22" s="413">
        <f>'Consol PL-DTRG-Cũ'!CG22</f>
        <v>0</v>
      </c>
      <c r="J22" s="413">
        <f>'Consol PL-DTRG-Cũ'!CU22</f>
        <v>0</v>
      </c>
      <c r="K22" s="413">
        <f>'Consol PL-DTRG-Cũ'!DI22</f>
        <v>0</v>
      </c>
      <c r="L22" s="413">
        <f t="shared" si="1"/>
        <v>0</v>
      </c>
      <c r="M22" s="413">
        <f t="shared" si="2"/>
        <v>0</v>
      </c>
      <c r="N22" s="413">
        <f t="shared" si="3"/>
        <v>0</v>
      </c>
      <c r="O22" s="413">
        <f t="shared" si="4"/>
        <v>0</v>
      </c>
      <c r="P22" s="435">
        <f t="shared" si="5"/>
        <v>0</v>
      </c>
      <c r="Q22" s="435">
        <f t="shared" si="6"/>
        <v>0</v>
      </c>
      <c r="R22" s="435">
        <f t="shared" si="7"/>
        <v>0</v>
      </c>
      <c r="S22" s="435">
        <f t="shared" si="8"/>
        <v>0</v>
      </c>
      <c r="U22" s="413">
        <f>'Consol PL-DTRG'!O22</f>
        <v>1416042191528.5142</v>
      </c>
      <c r="V22" s="413">
        <f>'Consol PL-DTRG-Cũ'!O22</f>
        <v>1416042191528.5142</v>
      </c>
      <c r="W22" s="413">
        <f t="shared" si="9"/>
        <v>0</v>
      </c>
      <c r="X22" s="435">
        <f t="shared" si="10"/>
        <v>0</v>
      </c>
    </row>
    <row r="23" spans="1:24" hidden="1" outlineLevel="2">
      <c r="A23" s="38" t="s">
        <v>67</v>
      </c>
      <c r="B23" s="39" t="s">
        <v>2</v>
      </c>
      <c r="D23" s="413">
        <f>SUM(E23:G23)</f>
        <v>434198986370.46283</v>
      </c>
      <c r="E23" s="413">
        <f>'Consol PL-DTRG'!CG23</f>
        <v>167989966379.80621</v>
      </c>
      <c r="F23" s="413">
        <f>'Consol PL-DTRG'!CU23</f>
        <v>92113708807.182983</v>
      </c>
      <c r="G23" s="413">
        <f>'Consol PL-DTRG'!DI23</f>
        <v>174095311183.47363</v>
      </c>
      <c r="H23" s="413">
        <f>SUM(I23:K23)</f>
        <v>439571283441.55151</v>
      </c>
      <c r="I23" s="413">
        <f>'Consol PL-DTRG-Cũ'!CG23</f>
        <v>184192407370.94977</v>
      </c>
      <c r="J23" s="413">
        <f>'Consol PL-DTRG-Cũ'!CU23</f>
        <v>94520063687.366257</v>
      </c>
      <c r="K23" s="413">
        <f>'Consol PL-DTRG-Cũ'!DI23</f>
        <v>160858812383.23544</v>
      </c>
      <c r="L23" s="413">
        <f t="shared" si="1"/>
        <v>-5372297071.0886841</v>
      </c>
      <c r="M23" s="413">
        <f t="shared" si="2"/>
        <v>-16202440991.143555</v>
      </c>
      <c r="N23" s="413">
        <f t="shared" si="3"/>
        <v>-2406354880.1832733</v>
      </c>
      <c r="O23" s="413">
        <f t="shared" si="4"/>
        <v>13236498800.23819</v>
      </c>
      <c r="P23" s="435">
        <f t="shared" si="5"/>
        <v>-1.2221674330104465E-2</v>
      </c>
      <c r="Q23" s="435">
        <f t="shared" si="6"/>
        <v>-8.7964760450266813E-2</v>
      </c>
      <c r="R23" s="435">
        <f t="shared" si="7"/>
        <v>-2.5458667570755263E-2</v>
      </c>
      <c r="S23" s="435">
        <f t="shared" si="8"/>
        <v>8.2286438673332421E-2</v>
      </c>
      <c r="U23" s="413">
        <f>'Consol PL-DTRG'!O23</f>
        <v>-23999114879.537201</v>
      </c>
      <c r="V23" s="413">
        <f>'Consol PL-DTRG-Cũ'!O23</f>
        <v>-1865454808.4485245</v>
      </c>
      <c r="W23" s="413">
        <f t="shared" si="9"/>
        <v>-22133660071.088676</v>
      </c>
      <c r="X23" s="435">
        <f t="shared" si="10"/>
        <v>11.865020782517355</v>
      </c>
    </row>
    <row r="24" spans="1:24" hidden="1" outlineLevel="2">
      <c r="A24" s="38" t="s">
        <v>68</v>
      </c>
      <c r="B24" s="39" t="s">
        <v>3</v>
      </c>
      <c r="D24" s="407">
        <f>SUM(E24:G24)</f>
        <v>0</v>
      </c>
      <c r="E24" s="407">
        <f>'Consol PL-DTRG'!CG24</f>
        <v>0</v>
      </c>
      <c r="F24" s="407">
        <f>'Consol PL-DTRG'!CU24</f>
        <v>0</v>
      </c>
      <c r="G24" s="407">
        <f>'Consol PL-DTRG'!DI24</f>
        <v>0</v>
      </c>
      <c r="H24" s="407">
        <f>SUM(I24:K24)</f>
        <v>0</v>
      </c>
      <c r="I24" s="407">
        <f>'Consol PL-DTRG-Cũ'!CG24</f>
        <v>0</v>
      </c>
      <c r="J24" s="407">
        <f>'Consol PL-DTRG-Cũ'!CU24</f>
        <v>0</v>
      </c>
      <c r="K24" s="407">
        <f>'Consol PL-DTRG-Cũ'!DI24</f>
        <v>0</v>
      </c>
      <c r="L24" s="407">
        <f t="shared" si="1"/>
        <v>0</v>
      </c>
      <c r="M24" s="407">
        <f t="shared" si="2"/>
        <v>0</v>
      </c>
      <c r="N24" s="407">
        <f t="shared" si="3"/>
        <v>0</v>
      </c>
      <c r="O24" s="407">
        <f t="shared" si="4"/>
        <v>0</v>
      </c>
      <c r="P24" s="429">
        <f t="shared" si="5"/>
        <v>0</v>
      </c>
      <c r="Q24" s="429">
        <f t="shared" si="6"/>
        <v>0</v>
      </c>
      <c r="R24" s="429">
        <f t="shared" si="7"/>
        <v>0</v>
      </c>
      <c r="S24" s="429">
        <f t="shared" si="8"/>
        <v>0</v>
      </c>
      <c r="U24" s="407">
        <f>'Consol PL-DTRG'!O24</f>
        <v>0</v>
      </c>
      <c r="V24" s="407">
        <f>'Consol PL-DTRG-Cũ'!O24</f>
        <v>0</v>
      </c>
      <c r="W24" s="407">
        <f t="shared" si="9"/>
        <v>0</v>
      </c>
      <c r="X24" s="429">
        <f t="shared" si="10"/>
        <v>0</v>
      </c>
    </row>
    <row r="25" spans="1:24" s="28" customFormat="1" hidden="1" outlineLevel="1" collapsed="1">
      <c r="A25" s="43" t="s">
        <v>6</v>
      </c>
      <c r="B25" s="44" t="s">
        <v>4</v>
      </c>
      <c r="D25" s="414"/>
      <c r="E25" s="414"/>
      <c r="F25" s="414"/>
      <c r="G25" s="414"/>
      <c r="H25" s="414"/>
      <c r="I25" s="414"/>
      <c r="J25" s="414"/>
      <c r="K25" s="414"/>
      <c r="L25" s="414">
        <f t="shared" si="1"/>
        <v>0</v>
      </c>
      <c r="M25" s="414">
        <f t="shared" si="2"/>
        <v>0</v>
      </c>
      <c r="N25" s="414">
        <f t="shared" si="3"/>
        <v>0</v>
      </c>
      <c r="O25" s="414">
        <f t="shared" si="4"/>
        <v>0</v>
      </c>
      <c r="P25" s="436">
        <f t="shared" si="5"/>
        <v>0</v>
      </c>
      <c r="Q25" s="436">
        <f t="shared" si="6"/>
        <v>0</v>
      </c>
      <c r="R25" s="436">
        <f t="shared" si="7"/>
        <v>0</v>
      </c>
      <c r="S25" s="436">
        <f t="shared" si="8"/>
        <v>0</v>
      </c>
      <c r="U25" s="414">
        <f>'Consol PL-DTRG'!O25</f>
        <v>0</v>
      </c>
      <c r="V25" s="414">
        <f>'Consol PL-DTRG-Cũ'!O25</f>
        <v>0</v>
      </c>
      <c r="W25" s="414">
        <f t="shared" si="9"/>
        <v>0</v>
      </c>
      <c r="X25" s="436">
        <f t="shared" si="10"/>
        <v>0</v>
      </c>
    </row>
    <row r="26" spans="1:24" s="28" customFormat="1" hidden="1" outlineLevel="1">
      <c r="A26" s="64" t="s">
        <v>7</v>
      </c>
      <c r="B26" s="65" t="s">
        <v>5</v>
      </c>
      <c r="D26" s="415"/>
      <c r="E26" s="415"/>
      <c r="F26" s="415"/>
      <c r="G26" s="415"/>
      <c r="H26" s="415"/>
      <c r="I26" s="415"/>
      <c r="J26" s="415"/>
      <c r="K26" s="415"/>
      <c r="L26" s="415">
        <f t="shared" si="1"/>
        <v>0</v>
      </c>
      <c r="M26" s="415">
        <f t="shared" si="2"/>
        <v>0</v>
      </c>
      <c r="N26" s="415">
        <f t="shared" si="3"/>
        <v>0</v>
      </c>
      <c r="O26" s="415">
        <f t="shared" si="4"/>
        <v>0</v>
      </c>
      <c r="P26" s="437">
        <f t="shared" si="5"/>
        <v>0</v>
      </c>
      <c r="Q26" s="437">
        <f t="shared" si="6"/>
        <v>0</v>
      </c>
      <c r="R26" s="437">
        <f t="shared" si="7"/>
        <v>0</v>
      </c>
      <c r="S26" s="437">
        <f t="shared" si="8"/>
        <v>0</v>
      </c>
      <c r="U26" s="415">
        <f ca="1">'Consol PL-DTRG'!O26</f>
        <v>7147605016.4599972</v>
      </c>
      <c r="V26" s="415">
        <f ca="1">'Consol PL-DTRG-Cũ'!O26</f>
        <v>0</v>
      </c>
      <c r="W26" s="415">
        <f t="shared" ca="1" si="9"/>
        <v>7147605016.4599972</v>
      </c>
      <c r="X26" s="437">
        <f t="shared" ca="1" si="10"/>
        <v>0</v>
      </c>
    </row>
    <row r="27" spans="1:24" s="51" customFormat="1" collapsed="1">
      <c r="A27" s="66">
        <v>6</v>
      </c>
      <c r="B27" s="62" t="s">
        <v>24</v>
      </c>
      <c r="D27" s="416">
        <f t="shared" ref="D27:K27" si="17">SUM(D28:D30)</f>
        <v>23999114879.53717</v>
      </c>
      <c r="E27" s="416">
        <f t="shared" si="17"/>
        <v>9498887370.1937866</v>
      </c>
      <c r="F27" s="416">
        <f t="shared" si="17"/>
        <v>7480291192.8170166</v>
      </c>
      <c r="G27" s="416">
        <f t="shared" si="17"/>
        <v>7019936316.5263672</v>
      </c>
      <c r="H27" s="416">
        <f t="shared" si="17"/>
        <v>1865454808.4484863</v>
      </c>
      <c r="I27" s="416">
        <f t="shared" si="17"/>
        <v>-1397596620.9497681</v>
      </c>
      <c r="J27" s="416">
        <f t="shared" si="17"/>
        <v>5073936312.6337433</v>
      </c>
      <c r="K27" s="416">
        <f t="shared" si="17"/>
        <v>-1810884883.2354431</v>
      </c>
      <c r="L27" s="416">
        <f t="shared" si="1"/>
        <v>22133660071.088684</v>
      </c>
      <c r="M27" s="416">
        <f t="shared" si="2"/>
        <v>10896483991.143555</v>
      </c>
      <c r="N27" s="416">
        <f t="shared" si="3"/>
        <v>2406354880.1832733</v>
      </c>
      <c r="O27" s="416">
        <f t="shared" si="4"/>
        <v>8830821199.7618103</v>
      </c>
      <c r="P27" s="438">
        <f t="shared" si="5"/>
        <v>11.865020782517602</v>
      </c>
      <c r="Q27" s="438">
        <f t="shared" si="6"/>
        <v>-7.7965872468542496</v>
      </c>
      <c r="R27" s="438">
        <f t="shared" si="7"/>
        <v>0.47425799850731659</v>
      </c>
      <c r="S27" s="438">
        <f t="shared" si="8"/>
        <v>-4.8765226776779418</v>
      </c>
      <c r="U27" s="416">
        <f ca="1">SUM(U28:U30)</f>
        <v>279556940476.24542</v>
      </c>
      <c r="V27" s="416">
        <f ca="1">SUM(V28:V30)</f>
        <v>264570885421.61673</v>
      </c>
      <c r="W27" s="416">
        <f t="shared" ca="1" si="9"/>
        <v>14986055054.628693</v>
      </c>
      <c r="X27" s="438">
        <f t="shared" ca="1" si="10"/>
        <v>5.6642872970497526E-2</v>
      </c>
    </row>
    <row r="28" spans="1:24" s="29" customFormat="1" hidden="1" outlineLevel="1">
      <c r="A28" s="74" t="s">
        <v>8</v>
      </c>
      <c r="B28" s="59" t="s">
        <v>1</v>
      </c>
      <c r="D28" s="411">
        <f t="shared" ref="D28:K28" si="18">D18-D22+D25-D26</f>
        <v>0</v>
      </c>
      <c r="E28" s="411">
        <f t="shared" si="18"/>
        <v>0</v>
      </c>
      <c r="F28" s="411">
        <f t="shared" si="18"/>
        <v>0</v>
      </c>
      <c r="G28" s="411">
        <f t="shared" si="18"/>
        <v>0</v>
      </c>
      <c r="H28" s="411">
        <f t="shared" si="18"/>
        <v>0</v>
      </c>
      <c r="I28" s="411">
        <f t="shared" si="18"/>
        <v>0</v>
      </c>
      <c r="J28" s="411">
        <f t="shared" si="18"/>
        <v>0</v>
      </c>
      <c r="K28" s="411">
        <f t="shared" si="18"/>
        <v>0</v>
      </c>
      <c r="L28" s="411">
        <f t="shared" si="1"/>
        <v>0</v>
      </c>
      <c r="M28" s="411">
        <f t="shared" si="2"/>
        <v>0</v>
      </c>
      <c r="N28" s="411">
        <f t="shared" si="3"/>
        <v>0</v>
      </c>
      <c r="O28" s="411">
        <f t="shared" si="4"/>
        <v>0</v>
      </c>
      <c r="P28" s="433">
        <f t="shared" si="5"/>
        <v>0</v>
      </c>
      <c r="Q28" s="433">
        <f t="shared" si="6"/>
        <v>0</v>
      </c>
      <c r="R28" s="433">
        <f t="shared" si="7"/>
        <v>0</v>
      </c>
      <c r="S28" s="433">
        <f t="shared" si="8"/>
        <v>0</v>
      </c>
      <c r="U28" s="411">
        <f ca="1">U18-U22+U25-U26</f>
        <v>255557825596.70822</v>
      </c>
      <c r="V28" s="411">
        <f ca="1">V18-V22+V25-V26</f>
        <v>262705430613.16821</v>
      </c>
      <c r="W28" s="411">
        <f t="shared" ca="1" si="9"/>
        <v>-7147605016.4599915</v>
      </c>
      <c r="X28" s="433">
        <f t="shared" ca="1" si="10"/>
        <v>-2.7207678957291089E-2</v>
      </c>
    </row>
    <row r="29" spans="1:24" s="29" customFormat="1" hidden="1" outlineLevel="1">
      <c r="A29" s="75" t="s">
        <v>9</v>
      </c>
      <c r="B29" s="41" t="s">
        <v>2</v>
      </c>
      <c r="D29" s="417">
        <f t="shared" ref="D29:K30" si="19">D19-D23</f>
        <v>23999114879.53717</v>
      </c>
      <c r="E29" s="417">
        <f t="shared" si="19"/>
        <v>9498887370.1937866</v>
      </c>
      <c r="F29" s="417">
        <f t="shared" si="19"/>
        <v>7480291192.8170166</v>
      </c>
      <c r="G29" s="417">
        <f t="shared" si="19"/>
        <v>7019936316.5263672</v>
      </c>
      <c r="H29" s="417">
        <f t="shared" si="19"/>
        <v>1865454808.4484863</v>
      </c>
      <c r="I29" s="417">
        <f t="shared" si="19"/>
        <v>-1397596620.9497681</v>
      </c>
      <c r="J29" s="417">
        <f t="shared" si="19"/>
        <v>5073936312.6337433</v>
      </c>
      <c r="K29" s="417">
        <f t="shared" si="19"/>
        <v>-1810884883.2354431</v>
      </c>
      <c r="L29" s="417">
        <f t="shared" si="1"/>
        <v>22133660071.088684</v>
      </c>
      <c r="M29" s="417">
        <f t="shared" si="2"/>
        <v>10896483991.143555</v>
      </c>
      <c r="N29" s="417">
        <f t="shared" si="3"/>
        <v>2406354880.1832733</v>
      </c>
      <c r="O29" s="417">
        <f t="shared" si="4"/>
        <v>8830821199.7618103</v>
      </c>
      <c r="P29" s="439">
        <f t="shared" si="5"/>
        <v>11.865020782517602</v>
      </c>
      <c r="Q29" s="439">
        <f t="shared" si="6"/>
        <v>-7.7965872468542496</v>
      </c>
      <c r="R29" s="439">
        <f t="shared" si="7"/>
        <v>0.47425799850731659</v>
      </c>
      <c r="S29" s="439">
        <f t="shared" si="8"/>
        <v>-4.8765226776779418</v>
      </c>
      <c r="U29" s="417">
        <f>U19-U23</f>
        <v>23999114879.537201</v>
      </c>
      <c r="V29" s="417">
        <f>V19-V23</f>
        <v>1865454808.4485245</v>
      </c>
      <c r="W29" s="417">
        <f t="shared" si="9"/>
        <v>22133660071.088676</v>
      </c>
      <c r="X29" s="439">
        <f t="shared" si="10"/>
        <v>11.865020782517355</v>
      </c>
    </row>
    <row r="30" spans="1:24" s="29" customFormat="1" hidden="1" outlineLevel="1">
      <c r="A30" s="75" t="s">
        <v>10</v>
      </c>
      <c r="B30" s="41" t="s">
        <v>3</v>
      </c>
      <c r="D30" s="412">
        <f t="shared" si="19"/>
        <v>0</v>
      </c>
      <c r="E30" s="412">
        <f t="shared" si="19"/>
        <v>0</v>
      </c>
      <c r="F30" s="412">
        <f t="shared" si="19"/>
        <v>0</v>
      </c>
      <c r="G30" s="412">
        <f t="shared" si="19"/>
        <v>0</v>
      </c>
      <c r="H30" s="412">
        <f t="shared" si="19"/>
        <v>0</v>
      </c>
      <c r="I30" s="412">
        <f t="shared" si="19"/>
        <v>0</v>
      </c>
      <c r="J30" s="412">
        <f t="shared" si="19"/>
        <v>0</v>
      </c>
      <c r="K30" s="412">
        <f t="shared" si="19"/>
        <v>0</v>
      </c>
      <c r="L30" s="412">
        <f t="shared" si="1"/>
        <v>0</v>
      </c>
      <c r="M30" s="412">
        <f t="shared" si="2"/>
        <v>0</v>
      </c>
      <c r="N30" s="412">
        <f t="shared" si="3"/>
        <v>0</v>
      </c>
      <c r="O30" s="412">
        <f t="shared" si="4"/>
        <v>0</v>
      </c>
      <c r="P30" s="434">
        <f t="shared" si="5"/>
        <v>0</v>
      </c>
      <c r="Q30" s="434">
        <f t="shared" si="6"/>
        <v>0</v>
      </c>
      <c r="R30" s="434">
        <f t="shared" si="7"/>
        <v>0</v>
      </c>
      <c r="S30" s="434">
        <f t="shared" si="8"/>
        <v>0</v>
      </c>
      <c r="U30" s="412">
        <f>U20-U24</f>
        <v>0</v>
      </c>
      <c r="V30" s="412">
        <f>V20-V24</f>
        <v>0</v>
      </c>
      <c r="W30" s="412">
        <f t="shared" si="9"/>
        <v>0</v>
      </c>
      <c r="X30" s="434">
        <f t="shared" si="10"/>
        <v>0</v>
      </c>
    </row>
    <row r="31" spans="1:24" s="449" customFormat="1" collapsed="1">
      <c r="A31" s="447"/>
      <c r="B31" s="448" t="s">
        <v>209</v>
      </c>
      <c r="D31" s="450">
        <f t="shared" ref="D31:K31" si="20">IFERROR(D27/D17,0)</f>
        <v>5.237715916776111E-2</v>
      </c>
      <c r="E31" s="450">
        <f t="shared" si="20"/>
        <v>5.3518219141655742E-2</v>
      </c>
      <c r="F31" s="450">
        <f t="shared" si="20"/>
        <v>7.5107849798351473E-2</v>
      </c>
      <c r="G31" s="450">
        <f t="shared" si="20"/>
        <v>3.8759499343236505E-2</v>
      </c>
      <c r="H31" s="450">
        <f t="shared" si="20"/>
        <v>4.2258712218737407E-3</v>
      </c>
      <c r="I31" s="451">
        <f t="shared" si="20"/>
        <v>-7.6457127815362123E-3</v>
      </c>
      <c r="J31" s="451">
        <f t="shared" si="20"/>
        <v>5.0946204717490444E-2</v>
      </c>
      <c r="K31" s="451">
        <f t="shared" si="20"/>
        <v>-1.1385781076810594E-2</v>
      </c>
      <c r="L31" s="451">
        <f t="shared" ref="L31:L48" si="21">D31-H31</f>
        <v>4.8151287945887369E-2</v>
      </c>
      <c r="M31" s="452"/>
      <c r="N31" s="452"/>
      <c r="O31" s="452"/>
      <c r="P31" s="453"/>
      <c r="Q31" s="453"/>
      <c r="R31" s="453"/>
      <c r="S31" s="453"/>
      <c r="U31" s="450">
        <f ca="1">IFERROR(U27/U17,0)</f>
        <v>0.16652708053852508</v>
      </c>
      <c r="V31" s="450">
        <f ca="1">IFERROR(V27/V17,0)</f>
        <v>0.15760015497986962</v>
      </c>
      <c r="W31" s="450">
        <f t="shared" ca="1" si="9"/>
        <v>8.9269255586554574E-3</v>
      </c>
      <c r="X31" s="453"/>
    </row>
    <row r="32" spans="1:24" ht="16.5" customHeight="1">
      <c r="A32" s="45">
        <v>7</v>
      </c>
      <c r="B32" s="35" t="s">
        <v>25</v>
      </c>
      <c r="D32" s="418">
        <f t="shared" ref="D32:K32" si="22">SUM(D33:D35)</f>
        <v>0</v>
      </c>
      <c r="E32" s="418">
        <f t="shared" si="22"/>
        <v>0</v>
      </c>
      <c r="F32" s="418">
        <f t="shared" si="22"/>
        <v>0</v>
      </c>
      <c r="G32" s="418">
        <f t="shared" si="22"/>
        <v>0</v>
      </c>
      <c r="H32" s="418">
        <f t="shared" si="22"/>
        <v>0</v>
      </c>
      <c r="I32" s="418">
        <f t="shared" si="22"/>
        <v>0</v>
      </c>
      <c r="J32" s="418">
        <f t="shared" si="22"/>
        <v>0</v>
      </c>
      <c r="K32" s="418">
        <f t="shared" si="22"/>
        <v>0</v>
      </c>
      <c r="L32" s="418">
        <f t="shared" si="21"/>
        <v>0</v>
      </c>
      <c r="M32" s="418">
        <f t="shared" ref="M32:M48" si="23">E32-I32</f>
        <v>0</v>
      </c>
      <c r="N32" s="418">
        <f t="shared" ref="N32:N48" si="24">F32-J32</f>
        <v>0</v>
      </c>
      <c r="O32" s="418">
        <f t="shared" ref="O32:O48" si="25">G32-K32</f>
        <v>0</v>
      </c>
      <c r="P32" s="440">
        <f t="shared" ref="P32:P48" si="26">IFERROR(L32/H32,0)</f>
        <v>0</v>
      </c>
      <c r="Q32" s="440">
        <f t="shared" ref="Q32:Q48" si="27">IFERROR(M32/I32,0)</f>
        <v>0</v>
      </c>
      <c r="R32" s="440">
        <f t="shared" ref="R32:R48" si="28">IFERROR(N32/J32,0)</f>
        <v>0</v>
      </c>
      <c r="S32" s="440">
        <f t="shared" ref="S32:S48" si="29">IFERROR(O32/K32,0)</f>
        <v>0</v>
      </c>
      <c r="U32" s="418">
        <f>SUM(U33:U35)</f>
        <v>0</v>
      </c>
      <c r="V32" s="418">
        <f>SUM(V33:V35)</f>
        <v>0</v>
      </c>
      <c r="W32" s="418">
        <f t="shared" si="9"/>
        <v>0</v>
      </c>
      <c r="X32" s="440">
        <f t="shared" ref="X32:X48" si="30">IFERROR(W32/V32,0)</f>
        <v>0</v>
      </c>
    </row>
    <row r="33" spans="1:24" s="29" customFormat="1" ht="28" hidden="1" outlineLevel="1">
      <c r="A33" s="403" t="s">
        <v>61</v>
      </c>
      <c r="B33" s="37" t="s">
        <v>1</v>
      </c>
      <c r="D33" s="406">
        <f t="shared" ref="D33:D40" si="31">SUM(E33:G33)</f>
        <v>0</v>
      </c>
      <c r="E33" s="406">
        <f>'Consol PL-DTRG'!CG32</f>
        <v>0</v>
      </c>
      <c r="F33" s="406">
        <f>'Consol PL-DTRG'!CU32</f>
        <v>0</v>
      </c>
      <c r="G33" s="406">
        <f>'Consol PL-DTRG'!DI32</f>
        <v>0</v>
      </c>
      <c r="H33" s="406">
        <f t="shared" ref="H33:H40" si="32">SUM(I33:K33)</f>
        <v>0</v>
      </c>
      <c r="I33" s="406">
        <f>'Consol PL-DTRG-Cũ'!CG32</f>
        <v>0</v>
      </c>
      <c r="J33" s="406">
        <f>'Consol PL-DTRG-Cũ'!CU32</f>
        <v>0</v>
      </c>
      <c r="K33" s="406">
        <f>'Consol PL-DTRG-Cũ'!DI32</f>
        <v>0</v>
      </c>
      <c r="L33" s="406">
        <f t="shared" si="21"/>
        <v>0</v>
      </c>
      <c r="M33" s="406">
        <f t="shared" si="23"/>
        <v>0</v>
      </c>
      <c r="N33" s="406">
        <f t="shared" si="24"/>
        <v>0</v>
      </c>
      <c r="O33" s="406">
        <f t="shared" si="25"/>
        <v>0</v>
      </c>
      <c r="P33" s="428">
        <f t="shared" si="26"/>
        <v>0</v>
      </c>
      <c r="Q33" s="428">
        <f t="shared" si="27"/>
        <v>0</v>
      </c>
      <c r="R33" s="428">
        <f t="shared" si="28"/>
        <v>0</v>
      </c>
      <c r="S33" s="428">
        <f t="shared" si="29"/>
        <v>0</v>
      </c>
      <c r="U33" s="406">
        <f>'Consol PL-DTRG'!O32</f>
        <v>0</v>
      </c>
      <c r="V33" s="406">
        <f>'Consol PL-DTRG-Cũ'!O32</f>
        <v>0</v>
      </c>
      <c r="W33" s="406">
        <f t="shared" si="9"/>
        <v>0</v>
      </c>
      <c r="X33" s="428">
        <f t="shared" si="30"/>
        <v>0</v>
      </c>
    </row>
    <row r="34" spans="1:24" s="29" customFormat="1" ht="15" hidden="1" customHeight="1" outlineLevel="1">
      <c r="A34" s="403" t="s">
        <v>69</v>
      </c>
      <c r="B34" s="37" t="s">
        <v>2</v>
      </c>
      <c r="D34" s="406">
        <f t="shared" si="31"/>
        <v>0</v>
      </c>
      <c r="E34" s="406">
        <f>'Consol PL-DTRG'!CG33</f>
        <v>0</v>
      </c>
      <c r="F34" s="406">
        <f>'Consol PL-DTRG'!CU33</f>
        <v>0</v>
      </c>
      <c r="G34" s="406">
        <f>'Consol PL-DTRG'!DI33</f>
        <v>0</v>
      </c>
      <c r="H34" s="406">
        <f t="shared" si="32"/>
        <v>0</v>
      </c>
      <c r="I34" s="406">
        <f>'Consol PL-DTRG-Cũ'!CG33</f>
        <v>0</v>
      </c>
      <c r="J34" s="406">
        <f>'Consol PL-DTRG-Cũ'!CU33</f>
        <v>0</v>
      </c>
      <c r="K34" s="406">
        <f>'Consol PL-DTRG-Cũ'!DI33</f>
        <v>0</v>
      </c>
      <c r="L34" s="406">
        <f t="shared" si="21"/>
        <v>0</v>
      </c>
      <c r="M34" s="406">
        <f t="shared" si="23"/>
        <v>0</v>
      </c>
      <c r="N34" s="406">
        <f t="shared" si="24"/>
        <v>0</v>
      </c>
      <c r="O34" s="406">
        <f t="shared" si="25"/>
        <v>0</v>
      </c>
      <c r="P34" s="428">
        <f t="shared" si="26"/>
        <v>0</v>
      </c>
      <c r="Q34" s="428">
        <f t="shared" si="27"/>
        <v>0</v>
      </c>
      <c r="R34" s="428">
        <f t="shared" si="28"/>
        <v>0</v>
      </c>
      <c r="S34" s="428">
        <f t="shared" si="29"/>
        <v>0</v>
      </c>
      <c r="U34" s="406">
        <f>'Consol PL-DTRG'!O33</f>
        <v>0</v>
      </c>
      <c r="V34" s="406">
        <f>'Consol PL-DTRG-Cũ'!O33</f>
        <v>0</v>
      </c>
      <c r="W34" s="406">
        <f t="shared" si="9"/>
        <v>0</v>
      </c>
      <c r="X34" s="428">
        <f t="shared" si="30"/>
        <v>0</v>
      </c>
    </row>
    <row r="35" spans="1:24" s="29" customFormat="1" ht="28" hidden="1" outlineLevel="1">
      <c r="A35" s="403" t="s">
        <v>70</v>
      </c>
      <c r="B35" s="37" t="s">
        <v>3</v>
      </c>
      <c r="D35" s="406">
        <f t="shared" si="31"/>
        <v>0</v>
      </c>
      <c r="E35" s="406">
        <f>'Consol PL-DTRG'!CG34</f>
        <v>0</v>
      </c>
      <c r="F35" s="406">
        <f>'Consol PL-DTRG'!CU34</f>
        <v>0</v>
      </c>
      <c r="G35" s="406">
        <f>'Consol PL-DTRG'!DI34</f>
        <v>0</v>
      </c>
      <c r="H35" s="406">
        <f t="shared" si="32"/>
        <v>0</v>
      </c>
      <c r="I35" s="406">
        <f>'Consol PL-DTRG-Cũ'!CG34</f>
        <v>0</v>
      </c>
      <c r="J35" s="406">
        <f>'Consol PL-DTRG-Cũ'!CU34</f>
        <v>0</v>
      </c>
      <c r="K35" s="406">
        <f>'Consol PL-DTRG-Cũ'!DI34</f>
        <v>0</v>
      </c>
      <c r="L35" s="406">
        <f t="shared" si="21"/>
        <v>0</v>
      </c>
      <c r="M35" s="406">
        <f t="shared" si="23"/>
        <v>0</v>
      </c>
      <c r="N35" s="406">
        <f t="shared" si="24"/>
        <v>0</v>
      </c>
      <c r="O35" s="406">
        <f t="shared" si="25"/>
        <v>0</v>
      </c>
      <c r="P35" s="428">
        <f t="shared" si="26"/>
        <v>0</v>
      </c>
      <c r="Q35" s="428">
        <f t="shared" si="27"/>
        <v>0</v>
      </c>
      <c r="R35" s="428">
        <f t="shared" si="28"/>
        <v>0</v>
      </c>
      <c r="S35" s="428">
        <f t="shared" si="29"/>
        <v>0</v>
      </c>
      <c r="U35" s="406">
        <f>'Consol PL-DTRG'!O34</f>
        <v>0</v>
      </c>
      <c r="V35" s="406">
        <f>'Consol PL-DTRG-Cũ'!O34</f>
        <v>0</v>
      </c>
      <c r="W35" s="406">
        <f t="shared" si="9"/>
        <v>0</v>
      </c>
      <c r="X35" s="428">
        <f t="shared" si="30"/>
        <v>0</v>
      </c>
    </row>
    <row r="36" spans="1:24" collapsed="1">
      <c r="A36" s="38">
        <v>8</v>
      </c>
      <c r="B36" s="39" t="s">
        <v>26</v>
      </c>
      <c r="D36" s="408">
        <f t="shared" si="31"/>
        <v>150720000</v>
      </c>
      <c r="E36" s="408">
        <f>'Consol PL-DTRG'!CG35</f>
        <v>150000000</v>
      </c>
      <c r="F36" s="408">
        <f>'Consol PL-DTRG'!CU35</f>
        <v>720000</v>
      </c>
      <c r="G36" s="408">
        <f>'Consol PL-DTRG'!DI35</f>
        <v>0</v>
      </c>
      <c r="H36" s="408">
        <f t="shared" si="32"/>
        <v>150000000</v>
      </c>
      <c r="I36" s="408">
        <f>'Consol PL-DTRG-Cũ'!CG35</f>
        <v>150000000</v>
      </c>
      <c r="J36" s="408">
        <f>'Consol PL-DTRG-Cũ'!CU35</f>
        <v>0</v>
      </c>
      <c r="K36" s="408">
        <f>'Consol PL-DTRG-Cũ'!DI35</f>
        <v>0</v>
      </c>
      <c r="L36" s="408">
        <f t="shared" si="21"/>
        <v>720000</v>
      </c>
      <c r="M36" s="408">
        <f t="shared" si="23"/>
        <v>0</v>
      </c>
      <c r="N36" s="408">
        <f t="shared" si="24"/>
        <v>720000</v>
      </c>
      <c r="O36" s="408">
        <f t="shared" si="25"/>
        <v>0</v>
      </c>
      <c r="P36" s="430">
        <f t="shared" si="26"/>
        <v>4.7999999999999996E-3</v>
      </c>
      <c r="Q36" s="430">
        <f t="shared" si="27"/>
        <v>0</v>
      </c>
      <c r="R36" s="430">
        <f t="shared" si="28"/>
        <v>0</v>
      </c>
      <c r="S36" s="430">
        <f t="shared" si="29"/>
        <v>0</v>
      </c>
      <c r="U36" s="408">
        <f>'Consol PL-DTRG'!O35</f>
        <v>150786577.33333328</v>
      </c>
      <c r="V36" s="408">
        <f>'Consol PL-DTRG-Cũ'!O35</f>
        <v>150066577.33333328</v>
      </c>
      <c r="W36" s="408">
        <f t="shared" si="9"/>
        <v>720000</v>
      </c>
      <c r="X36" s="430">
        <f t="shared" si="30"/>
        <v>4.797870470522627E-3</v>
      </c>
    </row>
    <row r="37" spans="1:24">
      <c r="A37" s="47">
        <v>9</v>
      </c>
      <c r="B37" s="35" t="s">
        <v>27</v>
      </c>
      <c r="D37" s="408">
        <f t="shared" si="31"/>
        <v>0</v>
      </c>
      <c r="E37" s="408">
        <f>'Consol PL-DTRG'!CG36</f>
        <v>0</v>
      </c>
      <c r="F37" s="408">
        <f>'Consol PL-DTRG'!CU36</f>
        <v>0</v>
      </c>
      <c r="G37" s="408">
        <f>'Consol PL-DTRG'!DI36</f>
        <v>0</v>
      </c>
      <c r="H37" s="408">
        <f t="shared" si="32"/>
        <v>0</v>
      </c>
      <c r="I37" s="408">
        <f>'Consol PL-DTRG-Cũ'!CG36</f>
        <v>0</v>
      </c>
      <c r="J37" s="408">
        <f>'Consol PL-DTRG-Cũ'!CU36</f>
        <v>0</v>
      </c>
      <c r="K37" s="408">
        <f>'Consol PL-DTRG-Cũ'!DI36</f>
        <v>0</v>
      </c>
      <c r="L37" s="408">
        <f t="shared" si="21"/>
        <v>0</v>
      </c>
      <c r="M37" s="408">
        <f t="shared" si="23"/>
        <v>0</v>
      </c>
      <c r="N37" s="408">
        <f t="shared" si="24"/>
        <v>0</v>
      </c>
      <c r="O37" s="408">
        <f t="shared" si="25"/>
        <v>0</v>
      </c>
      <c r="P37" s="430">
        <f t="shared" si="26"/>
        <v>0</v>
      </c>
      <c r="Q37" s="430">
        <f t="shared" si="27"/>
        <v>0</v>
      </c>
      <c r="R37" s="430">
        <f t="shared" si="28"/>
        <v>0</v>
      </c>
      <c r="S37" s="430">
        <f t="shared" si="29"/>
        <v>0</v>
      </c>
      <c r="U37" s="408">
        <f>'Consol PL-DTRG'!O36</f>
        <v>34565904323.400558</v>
      </c>
      <c r="V37" s="408">
        <f>'Consol PL-DTRG-Cũ'!O36</f>
        <v>34565904323.400558</v>
      </c>
      <c r="W37" s="408">
        <f t="shared" si="9"/>
        <v>0</v>
      </c>
      <c r="X37" s="430">
        <f t="shared" si="30"/>
        <v>0</v>
      </c>
    </row>
    <row r="38" spans="1:24">
      <c r="A38" s="38">
        <v>10</v>
      </c>
      <c r="B38" s="48" t="s">
        <v>28</v>
      </c>
      <c r="D38" s="418">
        <f t="shared" si="31"/>
        <v>0</v>
      </c>
      <c r="E38" s="418">
        <f>'Consol PL-DTRG'!CG37</f>
        <v>0</v>
      </c>
      <c r="F38" s="418">
        <f>'Consol PL-DTRG'!CU37</f>
        <v>0</v>
      </c>
      <c r="G38" s="418">
        <f>'Consol PL-DTRG'!DI37</f>
        <v>0</v>
      </c>
      <c r="H38" s="418">
        <f t="shared" si="32"/>
        <v>0</v>
      </c>
      <c r="I38" s="418">
        <f>'Consol PL-DTRG-Cũ'!CG37</f>
        <v>0</v>
      </c>
      <c r="J38" s="418">
        <f>'Consol PL-DTRG-Cũ'!CU37</f>
        <v>0</v>
      </c>
      <c r="K38" s="418">
        <f>'Consol PL-DTRG-Cũ'!DI37</f>
        <v>0</v>
      </c>
      <c r="L38" s="418">
        <f t="shared" si="21"/>
        <v>0</v>
      </c>
      <c r="M38" s="418">
        <f t="shared" si="23"/>
        <v>0</v>
      </c>
      <c r="N38" s="418">
        <f t="shared" si="24"/>
        <v>0</v>
      </c>
      <c r="O38" s="418">
        <f t="shared" si="25"/>
        <v>0</v>
      </c>
      <c r="P38" s="440">
        <f t="shared" si="26"/>
        <v>0</v>
      </c>
      <c r="Q38" s="440">
        <f t="shared" si="27"/>
        <v>0</v>
      </c>
      <c r="R38" s="440">
        <f t="shared" si="28"/>
        <v>0</v>
      </c>
      <c r="S38" s="440">
        <f t="shared" si="29"/>
        <v>0</v>
      </c>
      <c r="U38" s="418">
        <f>'Consol PL-DTRG'!O37</f>
        <v>34565904323.400558</v>
      </c>
      <c r="V38" s="418">
        <f>'Consol PL-DTRG-Cũ'!O37</f>
        <v>34565904323.400558</v>
      </c>
      <c r="W38" s="418">
        <f t="shared" si="9"/>
        <v>0</v>
      </c>
      <c r="X38" s="440">
        <f t="shared" si="30"/>
        <v>0</v>
      </c>
    </row>
    <row r="39" spans="1:24">
      <c r="A39" s="38">
        <v>11</v>
      </c>
      <c r="B39" s="39" t="s">
        <v>29</v>
      </c>
      <c r="D39" s="408">
        <f t="shared" si="31"/>
        <v>9079448722.9004326</v>
      </c>
      <c r="E39" s="408">
        <f>'Consol PL-DTRG'!CG38</f>
        <v>3799518440</v>
      </c>
      <c r="F39" s="408">
        <f>'Consol PL-DTRG'!CU38</f>
        <v>1386233766.2337661</v>
      </c>
      <c r="G39" s="408">
        <f>'Consol PL-DTRG'!DI38</f>
        <v>3893696516.666667</v>
      </c>
      <c r="H39" s="408">
        <f t="shared" si="32"/>
        <v>8817703093.0793667</v>
      </c>
      <c r="I39" s="408">
        <f>'Consol PL-DTRG-Cũ'!CG38</f>
        <v>3840892528</v>
      </c>
      <c r="J39" s="408">
        <f>'Consol PL-DTRG-Cũ'!CU38</f>
        <v>1524857142.8571429</v>
      </c>
      <c r="K39" s="408">
        <f>'Consol PL-DTRG-Cũ'!DI38</f>
        <v>3451953422.2222228</v>
      </c>
      <c r="L39" s="408">
        <f t="shared" si="21"/>
        <v>261745629.8210659</v>
      </c>
      <c r="M39" s="408">
        <f t="shared" si="23"/>
        <v>-41374088</v>
      </c>
      <c r="N39" s="408">
        <f t="shared" si="24"/>
        <v>-138623376.62337685</v>
      </c>
      <c r="O39" s="408">
        <f t="shared" si="25"/>
        <v>441743094.44444418</v>
      </c>
      <c r="P39" s="430">
        <f t="shared" si="26"/>
        <v>2.9684105606424729E-2</v>
      </c>
      <c r="Q39" s="430">
        <f t="shared" si="27"/>
        <v>-1.0771998356731944E-2</v>
      </c>
      <c r="R39" s="430">
        <f t="shared" si="28"/>
        <v>-9.090909090909105E-2</v>
      </c>
      <c r="S39" s="430">
        <f t="shared" si="29"/>
        <v>0.12796901939657937</v>
      </c>
      <c r="U39" s="408">
        <f>'Consol PL-DTRG'!O38</f>
        <v>65635223862.106766</v>
      </c>
      <c r="V39" s="408">
        <f>'Consol PL-DTRG-Cũ'!O38</f>
        <v>65373478232.28569</v>
      </c>
      <c r="W39" s="408">
        <f t="shared" si="9"/>
        <v>261745629.82107544</v>
      </c>
      <c r="X39" s="430">
        <f t="shared" si="30"/>
        <v>4.0038504436162668E-3</v>
      </c>
    </row>
    <row r="40" spans="1:24">
      <c r="A40" s="55">
        <v>12</v>
      </c>
      <c r="B40" s="56" t="s">
        <v>30</v>
      </c>
      <c r="D40" s="409">
        <f t="shared" si="31"/>
        <v>14847055790.312708</v>
      </c>
      <c r="E40" s="409">
        <f>'Consol PL-DTRG'!CG39</f>
        <v>4349662250.0370369</v>
      </c>
      <c r="F40" s="409">
        <f>'Consol PL-DTRG'!CU39</f>
        <v>4292838083.3413696</v>
      </c>
      <c r="G40" s="409">
        <f>'Consol PL-DTRG'!DI39</f>
        <v>6204555456.9343014</v>
      </c>
      <c r="H40" s="409">
        <f t="shared" si="32"/>
        <v>16375558497.80386</v>
      </c>
      <c r="I40" s="409">
        <f>'Consol PL-DTRG-Cũ'!CG39</f>
        <v>4687510614.6703711</v>
      </c>
      <c r="J40" s="409">
        <f>'Consol PL-DTRG-Cũ'!CU39</f>
        <v>5413820182.4097137</v>
      </c>
      <c r="K40" s="409">
        <f>'Consol PL-DTRG-Cũ'!DI39</f>
        <v>6274227700.7237749</v>
      </c>
      <c r="L40" s="409">
        <f t="shared" si="21"/>
        <v>-1528502707.4911518</v>
      </c>
      <c r="M40" s="409">
        <f t="shared" si="23"/>
        <v>-337848364.63333416</v>
      </c>
      <c r="N40" s="409">
        <f t="shared" si="24"/>
        <v>-1120982099.0683441</v>
      </c>
      <c r="O40" s="409">
        <f t="shared" si="25"/>
        <v>-69672243.789473534</v>
      </c>
      <c r="P40" s="431">
        <f t="shared" si="26"/>
        <v>-9.334049325378066E-2</v>
      </c>
      <c r="Q40" s="431">
        <f t="shared" si="27"/>
        <v>-7.2074154579187422E-2</v>
      </c>
      <c r="R40" s="431">
        <f t="shared" si="28"/>
        <v>-0.20705935204692932</v>
      </c>
      <c r="S40" s="431">
        <f t="shared" si="29"/>
        <v>-1.1104513115046233E-2</v>
      </c>
      <c r="U40" s="409">
        <f>'Consol PL-DTRG'!O39</f>
        <v>114445458341.13443</v>
      </c>
      <c r="V40" s="409">
        <f>'Consol PL-DTRG-Cũ'!O39</f>
        <v>115973961048.62556</v>
      </c>
      <c r="W40" s="409">
        <f t="shared" si="9"/>
        <v>-1528502707.4911346</v>
      </c>
      <c r="X40" s="431">
        <f t="shared" si="30"/>
        <v>-1.3179705975984246E-2</v>
      </c>
    </row>
    <row r="41" spans="1:24">
      <c r="A41" s="67">
        <v>13</v>
      </c>
      <c r="B41" s="68" t="s">
        <v>31</v>
      </c>
      <c r="D41" s="419">
        <f t="shared" ref="D41:K41" si="33">D27+D32+D36-D37-D39-D40</f>
        <v>223330366.32402992</v>
      </c>
      <c r="E41" s="419">
        <f t="shared" si="33"/>
        <v>1499706680.1567497</v>
      </c>
      <c r="F41" s="419">
        <f t="shared" si="33"/>
        <v>1801939343.2418804</v>
      </c>
      <c r="G41" s="419">
        <f t="shared" si="33"/>
        <v>-3078315657.0746012</v>
      </c>
      <c r="H41" s="419">
        <f t="shared" si="33"/>
        <v>-23177806782.434738</v>
      </c>
      <c r="I41" s="419">
        <f t="shared" si="33"/>
        <v>-9775999763.6201401</v>
      </c>
      <c r="J41" s="419">
        <f t="shared" si="33"/>
        <v>-1864741012.6331134</v>
      </c>
      <c r="K41" s="419">
        <f t="shared" si="33"/>
        <v>-11537066006.181442</v>
      </c>
      <c r="L41" s="419">
        <f t="shared" si="21"/>
        <v>23401137148.758766</v>
      </c>
      <c r="M41" s="419">
        <f t="shared" si="23"/>
        <v>11275706443.77689</v>
      </c>
      <c r="N41" s="419">
        <f t="shared" si="24"/>
        <v>3666680355.8749938</v>
      </c>
      <c r="O41" s="419">
        <f t="shared" si="25"/>
        <v>8458750349.1068411</v>
      </c>
      <c r="P41" s="441">
        <f t="shared" si="26"/>
        <v>-1.0096355262782362</v>
      </c>
      <c r="Q41" s="441">
        <f t="shared" si="27"/>
        <v>-1.1534069881770737</v>
      </c>
      <c r="R41" s="441">
        <f t="shared" si="28"/>
        <v>-1.9663215057931538</v>
      </c>
      <c r="S41" s="441">
        <f t="shared" si="29"/>
        <v>-0.73318037225189914</v>
      </c>
      <c r="U41" s="419">
        <f ca="1">U27+U32+U36-U37-U39-U40</f>
        <v>65061140526.936981</v>
      </c>
      <c r="V41" s="419">
        <f ca="1">V27+V32+V36-V37-V39-V40</f>
        <v>48807608394.638229</v>
      </c>
      <c r="W41" s="419">
        <f t="shared" ca="1" si="9"/>
        <v>16253532132.298752</v>
      </c>
      <c r="X41" s="441">
        <f t="shared" ca="1" si="30"/>
        <v>0.3330122631881362</v>
      </c>
    </row>
    <row r="42" spans="1:24" s="79" customFormat="1">
      <c r="A42" s="77">
        <v>14</v>
      </c>
      <c r="B42" s="78" t="s">
        <v>32</v>
      </c>
      <c r="D42" s="420">
        <f>SUM(E42:G42)</f>
        <v>0</v>
      </c>
      <c r="E42" s="420">
        <f>'Consol PL-DTRG'!CG41</f>
        <v>0</v>
      </c>
      <c r="F42" s="420">
        <f>'Consol PL-DTRG'!CU41</f>
        <v>0</v>
      </c>
      <c r="G42" s="420">
        <f>'Consol PL-DTRG'!DI41</f>
        <v>0</v>
      </c>
      <c r="H42" s="420">
        <f>SUM(I42:K42)</f>
        <v>0</v>
      </c>
      <c r="I42" s="420">
        <f>'Consol PL-DTRG-Cũ'!CG41</f>
        <v>0</v>
      </c>
      <c r="J42" s="420">
        <f>'Consol PL-DTRG-Cũ'!CU41</f>
        <v>0</v>
      </c>
      <c r="K42" s="420">
        <f>'Consol PL-DTRG-Cũ'!DI41</f>
        <v>0</v>
      </c>
      <c r="L42" s="420">
        <f t="shared" si="21"/>
        <v>0</v>
      </c>
      <c r="M42" s="420">
        <f t="shared" si="23"/>
        <v>0</v>
      </c>
      <c r="N42" s="420">
        <f t="shared" si="24"/>
        <v>0</v>
      </c>
      <c r="O42" s="420">
        <f t="shared" si="25"/>
        <v>0</v>
      </c>
      <c r="P42" s="442">
        <f t="shared" si="26"/>
        <v>0</v>
      </c>
      <c r="Q42" s="442">
        <f t="shared" si="27"/>
        <v>0</v>
      </c>
      <c r="R42" s="442">
        <f t="shared" si="28"/>
        <v>0</v>
      </c>
      <c r="S42" s="442">
        <f t="shared" si="29"/>
        <v>0</v>
      </c>
      <c r="U42" s="420">
        <f>'Consol PL-DTRG'!O41</f>
        <v>0</v>
      </c>
      <c r="V42" s="420">
        <f>'Consol PL-DTRG-Cũ'!O41</f>
        <v>0</v>
      </c>
      <c r="W42" s="420">
        <f t="shared" si="9"/>
        <v>0</v>
      </c>
      <c r="X42" s="442">
        <f t="shared" si="30"/>
        <v>0</v>
      </c>
    </row>
    <row r="43" spans="1:24" s="79" customFormat="1">
      <c r="A43" s="80">
        <v>15</v>
      </c>
      <c r="B43" s="81" t="s">
        <v>33</v>
      </c>
      <c r="D43" s="421">
        <f>SUM(E43:G43)</f>
        <v>0</v>
      </c>
      <c r="E43" s="421">
        <f>'Consol PL-DTRG'!CG42</f>
        <v>0</v>
      </c>
      <c r="F43" s="421">
        <f>'Consol PL-DTRG'!CU42</f>
        <v>0</v>
      </c>
      <c r="G43" s="421">
        <f>'Consol PL-DTRG'!DI42</f>
        <v>0</v>
      </c>
      <c r="H43" s="421">
        <f>SUM(I43:K43)</f>
        <v>0</v>
      </c>
      <c r="I43" s="421">
        <f>'Consol PL-DTRG-Cũ'!CG42</f>
        <v>0</v>
      </c>
      <c r="J43" s="421">
        <f>'Consol PL-DTRG-Cũ'!CU42</f>
        <v>0</v>
      </c>
      <c r="K43" s="421">
        <f>'Consol PL-DTRG-Cũ'!DI42</f>
        <v>0</v>
      </c>
      <c r="L43" s="421">
        <f t="shared" si="21"/>
        <v>0</v>
      </c>
      <c r="M43" s="421">
        <f t="shared" si="23"/>
        <v>0</v>
      </c>
      <c r="N43" s="421">
        <f t="shared" si="24"/>
        <v>0</v>
      </c>
      <c r="O43" s="421">
        <f t="shared" si="25"/>
        <v>0</v>
      </c>
      <c r="P43" s="443">
        <f t="shared" si="26"/>
        <v>0</v>
      </c>
      <c r="Q43" s="443">
        <f t="shared" si="27"/>
        <v>0</v>
      </c>
      <c r="R43" s="443">
        <f t="shared" si="28"/>
        <v>0</v>
      </c>
      <c r="S43" s="443">
        <f t="shared" si="29"/>
        <v>0</v>
      </c>
      <c r="U43" s="421">
        <f>'Consol PL-DTRG'!O42</f>
        <v>5203499999.999999</v>
      </c>
      <c r="V43" s="421">
        <f>'Consol PL-DTRG-Cũ'!O42</f>
        <v>5203499999.999999</v>
      </c>
      <c r="W43" s="421">
        <f t="shared" si="9"/>
        <v>0</v>
      </c>
      <c r="X43" s="443">
        <f t="shared" si="30"/>
        <v>0</v>
      </c>
    </row>
    <row r="44" spans="1:24">
      <c r="A44" s="69">
        <v>16</v>
      </c>
      <c r="B44" s="70" t="s">
        <v>34</v>
      </c>
      <c r="D44" s="422">
        <f>SUM(E44:G44)</f>
        <v>0</v>
      </c>
      <c r="E44" s="422">
        <f>E42-E43</f>
        <v>0</v>
      </c>
      <c r="F44" s="422">
        <f>F42-F43</f>
        <v>0</v>
      </c>
      <c r="G44" s="422">
        <f>G42-G43</f>
        <v>0</v>
      </c>
      <c r="H44" s="422">
        <f>SUM(I44:K44)</f>
        <v>0</v>
      </c>
      <c r="I44" s="422">
        <f>I42-I43</f>
        <v>0</v>
      </c>
      <c r="J44" s="422">
        <f>J42-J43</f>
        <v>0</v>
      </c>
      <c r="K44" s="422">
        <f>K42-K43</f>
        <v>0</v>
      </c>
      <c r="L44" s="422">
        <f t="shared" si="21"/>
        <v>0</v>
      </c>
      <c r="M44" s="422">
        <f t="shared" si="23"/>
        <v>0</v>
      </c>
      <c r="N44" s="422">
        <f t="shared" si="24"/>
        <v>0</v>
      </c>
      <c r="O44" s="422">
        <f t="shared" si="25"/>
        <v>0</v>
      </c>
      <c r="P44" s="444">
        <f t="shared" si="26"/>
        <v>0</v>
      </c>
      <c r="Q44" s="444">
        <f t="shared" si="27"/>
        <v>0</v>
      </c>
      <c r="R44" s="444">
        <f t="shared" si="28"/>
        <v>0</v>
      </c>
      <c r="S44" s="444">
        <f t="shared" si="29"/>
        <v>0</v>
      </c>
      <c r="U44" s="422">
        <f>U42-U43</f>
        <v>-5203499999.999999</v>
      </c>
      <c r="V44" s="422">
        <f>V42-V43</f>
        <v>-5203499999.999999</v>
      </c>
      <c r="W44" s="422">
        <f t="shared" si="9"/>
        <v>0</v>
      </c>
      <c r="X44" s="444">
        <f t="shared" si="30"/>
        <v>0</v>
      </c>
    </row>
    <row r="45" spans="1:24">
      <c r="A45" s="71">
        <v>17</v>
      </c>
      <c r="B45" s="68" t="s">
        <v>35</v>
      </c>
      <c r="D45" s="419">
        <f t="shared" ref="D45:K45" si="34">D41+D44</f>
        <v>223330366.32402992</v>
      </c>
      <c r="E45" s="419">
        <f t="shared" si="34"/>
        <v>1499706680.1567497</v>
      </c>
      <c r="F45" s="419">
        <f t="shared" si="34"/>
        <v>1801939343.2418804</v>
      </c>
      <c r="G45" s="419">
        <f t="shared" si="34"/>
        <v>-3078315657.0746012</v>
      </c>
      <c r="H45" s="419">
        <f t="shared" si="34"/>
        <v>-23177806782.434738</v>
      </c>
      <c r="I45" s="419">
        <f t="shared" si="34"/>
        <v>-9775999763.6201401</v>
      </c>
      <c r="J45" s="419">
        <f t="shared" si="34"/>
        <v>-1864741012.6331134</v>
      </c>
      <c r="K45" s="419">
        <f t="shared" si="34"/>
        <v>-11537066006.181442</v>
      </c>
      <c r="L45" s="419">
        <f t="shared" si="21"/>
        <v>23401137148.758766</v>
      </c>
      <c r="M45" s="419">
        <f t="shared" si="23"/>
        <v>11275706443.77689</v>
      </c>
      <c r="N45" s="419">
        <f t="shared" si="24"/>
        <v>3666680355.8749938</v>
      </c>
      <c r="O45" s="419">
        <f t="shared" si="25"/>
        <v>8458750349.1068411</v>
      </c>
      <c r="P45" s="441">
        <f t="shared" si="26"/>
        <v>-1.0096355262782362</v>
      </c>
      <c r="Q45" s="441">
        <f t="shared" si="27"/>
        <v>-1.1534069881770737</v>
      </c>
      <c r="R45" s="441">
        <f t="shared" si="28"/>
        <v>-1.9663215057931538</v>
      </c>
      <c r="S45" s="441">
        <f t="shared" si="29"/>
        <v>-0.73318037225189914</v>
      </c>
      <c r="U45" s="419">
        <f ca="1">U41+U44</f>
        <v>59857640526.936981</v>
      </c>
      <c r="V45" s="419">
        <f ca="1">V41+V44</f>
        <v>43604108394.638229</v>
      </c>
      <c r="W45" s="419">
        <f t="shared" ca="1" si="9"/>
        <v>16253532132.298752</v>
      </c>
      <c r="X45" s="441">
        <f t="shared" ca="1" si="30"/>
        <v>0.37275231006208037</v>
      </c>
    </row>
    <row r="46" spans="1:24" s="29" customFormat="1">
      <c r="A46" s="87">
        <v>18</v>
      </c>
      <c r="B46" s="88" t="s">
        <v>36</v>
      </c>
      <c r="D46" s="423">
        <f>SUM(E46:G46)</f>
        <v>0</v>
      </c>
      <c r="E46" s="423">
        <f>'Consol PL-DTRG'!CG45</f>
        <v>0</v>
      </c>
      <c r="F46" s="423">
        <f>'Consol PL-DTRG'!CU45</f>
        <v>0</v>
      </c>
      <c r="G46" s="423">
        <f>'Consol PL-DTRG'!DI45</f>
        <v>0</v>
      </c>
      <c r="H46" s="423">
        <f>SUM(I46:K46)</f>
        <v>0</v>
      </c>
      <c r="I46" s="423">
        <f>'Consol PL-DTRG-Cũ'!CG45</f>
        <v>0</v>
      </c>
      <c r="J46" s="423">
        <f>'Consol PL-DTRG-Cũ'!CU45</f>
        <v>0</v>
      </c>
      <c r="K46" s="423">
        <f>'Consol PL-DTRG-Cũ'!DI45</f>
        <v>0</v>
      </c>
      <c r="L46" s="423">
        <f t="shared" si="21"/>
        <v>0</v>
      </c>
      <c r="M46" s="423">
        <f t="shared" si="23"/>
        <v>0</v>
      </c>
      <c r="N46" s="423">
        <f t="shared" si="24"/>
        <v>0</v>
      </c>
      <c r="O46" s="423">
        <f t="shared" si="25"/>
        <v>0</v>
      </c>
      <c r="P46" s="445">
        <f t="shared" si="26"/>
        <v>0</v>
      </c>
      <c r="Q46" s="445">
        <f t="shared" si="27"/>
        <v>0</v>
      </c>
      <c r="R46" s="445">
        <f t="shared" si="28"/>
        <v>0</v>
      </c>
      <c r="S46" s="445">
        <f t="shared" si="29"/>
        <v>0</v>
      </c>
      <c r="U46" s="423">
        <f>'Consol PL-DTRG'!O45</f>
        <v>13367693088.747927</v>
      </c>
      <c r="V46" s="423">
        <f>'Consol PL-DTRG-Cũ'!O45</f>
        <v>13367693088.747927</v>
      </c>
      <c r="W46" s="423">
        <f t="shared" si="9"/>
        <v>0</v>
      </c>
      <c r="X46" s="445">
        <f t="shared" si="30"/>
        <v>0</v>
      </c>
    </row>
    <row r="47" spans="1:24" s="29" customFormat="1">
      <c r="A47" s="89">
        <v>19</v>
      </c>
      <c r="B47" s="90" t="s">
        <v>37</v>
      </c>
      <c r="D47" s="422">
        <f>SUM(E47:G47)</f>
        <v>0</v>
      </c>
      <c r="E47" s="422">
        <f>'Consol PL-DTRG'!CG46</f>
        <v>0</v>
      </c>
      <c r="F47" s="422">
        <f>'Consol PL-DTRG'!CU46</f>
        <v>0</v>
      </c>
      <c r="G47" s="422">
        <f>'Consol PL-DTRG'!DI46</f>
        <v>0</v>
      </c>
      <c r="H47" s="422">
        <f>SUM(I47:K47)</f>
        <v>0</v>
      </c>
      <c r="I47" s="422">
        <f>'Consol PL-DTRG-Cũ'!CG46</f>
        <v>0</v>
      </c>
      <c r="J47" s="422">
        <f>'Consol PL-DTRG-Cũ'!CU46</f>
        <v>0</v>
      </c>
      <c r="K47" s="422">
        <f>'Consol PL-DTRG-Cũ'!DI46</f>
        <v>0</v>
      </c>
      <c r="L47" s="422">
        <f t="shared" si="21"/>
        <v>0</v>
      </c>
      <c r="M47" s="422">
        <f t="shared" si="23"/>
        <v>0</v>
      </c>
      <c r="N47" s="422">
        <f t="shared" si="24"/>
        <v>0</v>
      </c>
      <c r="O47" s="422">
        <f t="shared" si="25"/>
        <v>0</v>
      </c>
      <c r="P47" s="444">
        <f t="shared" si="26"/>
        <v>0</v>
      </c>
      <c r="Q47" s="444">
        <f t="shared" si="27"/>
        <v>0</v>
      </c>
      <c r="R47" s="444">
        <f t="shared" si="28"/>
        <v>0</v>
      </c>
      <c r="S47" s="444">
        <f t="shared" si="29"/>
        <v>0</v>
      </c>
      <c r="U47" s="422">
        <f>'Consol PL-DTRG'!O46</f>
        <v>0</v>
      </c>
      <c r="V47" s="422">
        <f>'Consol PL-DTRG-Cũ'!O46</f>
        <v>0</v>
      </c>
      <c r="W47" s="422">
        <f t="shared" si="9"/>
        <v>0</v>
      </c>
      <c r="X47" s="444">
        <f t="shared" si="30"/>
        <v>0</v>
      </c>
    </row>
    <row r="48" spans="1:24" s="51" customFormat="1">
      <c r="A48" s="72">
        <v>20</v>
      </c>
      <c r="B48" s="68" t="s">
        <v>38</v>
      </c>
      <c r="D48" s="424">
        <f t="shared" ref="D48:K48" si="35">D45-D46-D47</f>
        <v>223330366.32402992</v>
      </c>
      <c r="E48" s="424">
        <f t="shared" si="35"/>
        <v>1499706680.1567497</v>
      </c>
      <c r="F48" s="424">
        <f t="shared" si="35"/>
        <v>1801939343.2418804</v>
      </c>
      <c r="G48" s="424">
        <f t="shared" si="35"/>
        <v>-3078315657.0746012</v>
      </c>
      <c r="H48" s="424">
        <f t="shared" si="35"/>
        <v>-23177806782.434738</v>
      </c>
      <c r="I48" s="424">
        <f t="shared" si="35"/>
        <v>-9775999763.6201401</v>
      </c>
      <c r="J48" s="424">
        <f t="shared" si="35"/>
        <v>-1864741012.6331134</v>
      </c>
      <c r="K48" s="424">
        <f t="shared" si="35"/>
        <v>-11537066006.181442</v>
      </c>
      <c r="L48" s="424">
        <f t="shared" si="21"/>
        <v>23401137148.758766</v>
      </c>
      <c r="M48" s="424">
        <f t="shared" si="23"/>
        <v>11275706443.77689</v>
      </c>
      <c r="N48" s="424">
        <f t="shared" si="24"/>
        <v>3666680355.8749938</v>
      </c>
      <c r="O48" s="424">
        <f t="shared" si="25"/>
        <v>8458750349.1068411</v>
      </c>
      <c r="P48" s="446">
        <f t="shared" si="26"/>
        <v>-1.0096355262782362</v>
      </c>
      <c r="Q48" s="446">
        <f t="shared" si="27"/>
        <v>-1.1534069881770737</v>
      </c>
      <c r="R48" s="446">
        <f t="shared" si="28"/>
        <v>-1.9663215057931538</v>
      </c>
      <c r="S48" s="446">
        <f t="shared" si="29"/>
        <v>-0.73318037225189914</v>
      </c>
      <c r="U48" s="424">
        <f ca="1">U45-U46-U47</f>
        <v>46489947438.189056</v>
      </c>
      <c r="V48" s="424">
        <f ca="1">V45-V46-V47</f>
        <v>30236415305.890305</v>
      </c>
      <c r="W48" s="424">
        <f t="shared" ca="1" si="9"/>
        <v>16253532132.298752</v>
      </c>
      <c r="X48" s="446">
        <f t="shared" ca="1" si="30"/>
        <v>0.53754824994523831</v>
      </c>
    </row>
    <row r="49" spans="2:23" s="449" customFormat="1">
      <c r="B49" s="449" t="s">
        <v>210</v>
      </c>
      <c r="D49" s="454">
        <f t="shared" ref="D49:K49" si="36">IFERROR(D48/D17,0)</f>
        <v>4.8741006502376884E-4</v>
      </c>
      <c r="E49" s="454">
        <f t="shared" si="36"/>
        <v>8.4495823172600192E-3</v>
      </c>
      <c r="F49" s="454">
        <f t="shared" si="36"/>
        <v>1.8092850405063362E-2</v>
      </c>
      <c r="G49" s="454">
        <f t="shared" si="36"/>
        <v>-1.6996446735245752E-2</v>
      </c>
      <c r="H49" s="454">
        <f t="shared" si="36"/>
        <v>-5.2505387010422296E-2</v>
      </c>
      <c r="I49" s="454">
        <f t="shared" si="36"/>
        <v>-5.3480729149310055E-2</v>
      </c>
      <c r="J49" s="454">
        <f t="shared" si="36"/>
        <v>-1.8723427240929305E-2</v>
      </c>
      <c r="K49" s="454">
        <f t="shared" si="36"/>
        <v>-7.2538298282330285E-2</v>
      </c>
      <c r="U49" s="454">
        <f ca="1">IFERROR(U48/U17,0)</f>
        <v>2.7693232040965722E-2</v>
      </c>
      <c r="V49" s="454">
        <f ca="1">IFERROR(V48/V17,0)</f>
        <v>1.8011293006220813E-2</v>
      </c>
    </row>
    <row r="51" spans="2:23">
      <c r="L51" s="96"/>
      <c r="M51" s="96"/>
      <c r="N51" s="96"/>
      <c r="O51" s="96"/>
    </row>
    <row r="52" spans="2:23" s="17" customFormat="1">
      <c r="B52" s="17" t="s">
        <v>18</v>
      </c>
      <c r="D52" s="18">
        <f>D48-SUM(E48:G48)</f>
        <v>9.5367431640625E-7</v>
      </c>
      <c r="E52" s="18">
        <f>E48-'Consol PL-DTRG'!CG47</f>
        <v>0</v>
      </c>
      <c r="F52" s="18">
        <f>F48-'Consol PL-DTRG'!CU47</f>
        <v>0</v>
      </c>
      <c r="G52" s="18">
        <f>G48-'Consol PL-DTRG'!DI47</f>
        <v>0</v>
      </c>
      <c r="H52" s="404">
        <f>H48-SUM(I48:K48)</f>
        <v>-4.1961669921875E-5</v>
      </c>
      <c r="I52" s="18">
        <f>I48-'Consol PL-DTRG-Cũ'!CG47</f>
        <v>0</v>
      </c>
      <c r="J52" s="18">
        <f>J48-'Consol PL-DTRG-Cũ'!CU47</f>
        <v>0</v>
      </c>
      <c r="K52" s="18">
        <f>K48-'Consol PL-DTRG-Cũ'!DI47</f>
        <v>0</v>
      </c>
      <c r="U52" s="18">
        <f ca="1">U48-'Consol PL-DTRG'!O47</f>
        <v>0</v>
      </c>
      <c r="V52" s="18">
        <f ca="1">V48-'Consol PL-DTRG-Cũ'!O47</f>
        <v>0</v>
      </c>
      <c r="W52" s="18"/>
    </row>
    <row r="53" spans="2:23">
      <c r="L53" s="96"/>
      <c r="M53" s="96"/>
      <c r="N53" s="96"/>
      <c r="O53" s="96"/>
    </row>
    <row r="54" spans="2:23">
      <c r="L54" s="17"/>
      <c r="M54" s="17"/>
      <c r="N54" s="17"/>
      <c r="O54" s="17"/>
    </row>
  </sheetData>
  <mergeCells count="4">
    <mergeCell ref="D3:S3"/>
    <mergeCell ref="U3:X3"/>
    <mergeCell ref="A3:A4"/>
    <mergeCell ref="B3:B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0EF5-C235-4C30-84B6-33A84CBAB5B3}">
  <sheetPr>
    <tabColor theme="6" tint="0.39997558519241921"/>
  </sheetPr>
  <dimension ref="A1:EK54"/>
  <sheetViews>
    <sheetView showGridLines="0" zoomScale="85" zoomScaleNormal="85" workbookViewId="0">
      <pane xSplit="2" ySplit="4" topLeftCell="C40" activePane="bottomRight" state="frozen"/>
      <selection pane="topRight" activeCell="C1" sqref="C1"/>
      <selection pane="bottomLeft" activeCell="A4" sqref="A4"/>
      <selection pane="bottomRight" activeCell="W19" sqref="W19"/>
    </sheetView>
  </sheetViews>
  <sheetFormatPr defaultColWidth="9" defaultRowHeight="14" outlineLevelRow="2" outlineLevelCol="1"/>
  <cols>
    <col min="1" max="1" width="12" style="7" bestFit="1" customWidth="1"/>
    <col min="2" max="2" width="48.08203125" style="7" customWidth="1"/>
    <col min="3" max="3" width="16.58203125" style="7" bestFit="1" customWidth="1"/>
    <col min="4" max="13" width="16.58203125" style="7" hidden="1" customWidth="1" outlineLevel="1"/>
    <col min="14" max="14" width="16.58203125" style="7" bestFit="1" customWidth="1" collapsed="1"/>
    <col min="15" max="15" width="18.25" style="7" bestFit="1" customWidth="1"/>
    <col min="16" max="16" width="2.75" style="7" customWidth="1"/>
    <col min="17" max="17" width="16.4140625" style="7" bestFit="1" customWidth="1"/>
    <col min="18" max="27" width="16.4140625" style="7" customWidth="1" outlineLevel="1"/>
    <col min="28" max="28" width="16.4140625" style="7" bestFit="1" customWidth="1"/>
    <col min="29" max="29" width="17.4140625" style="7" bestFit="1" customWidth="1"/>
    <col min="30" max="30" width="3.75" style="7" customWidth="1"/>
    <col min="31" max="31" width="16.58203125" style="7" bestFit="1" customWidth="1"/>
    <col min="32" max="41" width="16.58203125" style="7" hidden="1" customWidth="1" outlineLevel="1"/>
    <col min="42" max="42" width="16.58203125" style="7" bestFit="1" customWidth="1" collapsed="1"/>
    <col min="43" max="43" width="18.25" style="7" bestFit="1" customWidth="1"/>
    <col min="44" max="44" width="2.4140625" style="7" customWidth="1"/>
    <col min="45" max="45" width="16.58203125" style="7" bestFit="1" customWidth="1"/>
    <col min="46" max="55" width="16.58203125" style="7" hidden="1" customWidth="1" outlineLevel="1"/>
    <col min="56" max="56" width="16.58203125" style="7" bestFit="1" customWidth="1" collapsed="1"/>
    <col min="57" max="57" width="18.25" style="7" customWidth="1"/>
    <col min="58" max="58" width="1.4140625" style="7" customWidth="1"/>
    <col min="59" max="59" width="15.58203125" style="7" bestFit="1" customWidth="1"/>
    <col min="60" max="60" width="14.33203125" style="7" hidden="1" customWidth="1" outlineLevel="1"/>
    <col min="61" max="69" width="15.58203125" style="7" hidden="1" customWidth="1" outlineLevel="1"/>
    <col min="70" max="70" width="15.58203125" style="7" bestFit="1" customWidth="1" collapsed="1"/>
    <col min="71" max="71" width="16.58203125" style="7" bestFit="1" customWidth="1"/>
    <col min="72" max="72" width="9" style="7"/>
    <col min="73" max="73" width="15.4140625" style="7" bestFit="1" customWidth="1"/>
    <col min="74" max="74" width="14.33203125" style="7" hidden="1" customWidth="1" outlineLevel="1"/>
    <col min="75" max="83" width="15.58203125" style="7" hidden="1" customWidth="1" outlineLevel="1"/>
    <col min="84" max="84" width="15.6640625" style="7" bestFit="1" customWidth="1" collapsed="1"/>
    <col min="85" max="85" width="16.58203125" style="7" bestFit="1" customWidth="1"/>
    <col min="86" max="86" width="9" style="7"/>
    <col min="87" max="87" width="15.4140625" style="7" bestFit="1" customWidth="1"/>
    <col min="88" max="97" width="14.33203125" style="7" hidden="1" customWidth="1" outlineLevel="1"/>
    <col min="98" max="98" width="15.4140625" style="7" bestFit="1" customWidth="1" collapsed="1"/>
    <col min="99" max="99" width="15.58203125" style="7" bestFit="1" customWidth="1"/>
    <col min="100" max="100" width="9" style="7"/>
    <col min="101" max="101" width="15.58203125" style="7" bestFit="1" customWidth="1"/>
    <col min="102" max="102" width="14.33203125" style="7" hidden="1" customWidth="1" outlineLevel="1"/>
    <col min="103" max="111" width="15.58203125" style="7" hidden="1" customWidth="1" outlineLevel="1"/>
    <col min="112" max="112" width="15.58203125" style="7" bestFit="1" customWidth="1" collapsed="1"/>
    <col min="113" max="113" width="16.58203125" style="7" bestFit="1" customWidth="1"/>
    <col min="114" max="114" width="9" style="7"/>
    <col min="115" max="115" width="10.58203125" style="7" bestFit="1" customWidth="1"/>
    <col min="116" max="125" width="10.58203125" style="7" hidden="1" customWidth="1" outlineLevel="1"/>
    <col min="126" max="126" width="10.58203125" style="7" bestFit="1" customWidth="1" collapsed="1"/>
    <col min="127" max="127" width="11.58203125" style="7" bestFit="1" customWidth="1"/>
    <col min="128" max="128" width="9" style="7"/>
    <col min="129" max="141" width="9" style="7" customWidth="1"/>
    <col min="142" max="16384" width="9" style="7"/>
  </cols>
  <sheetData>
    <row r="1" spans="1:141" ht="18.5" thickTop="1" thickBot="1">
      <c r="B1" s="19" t="s">
        <v>57</v>
      </c>
      <c r="C1" s="289">
        <f ca="1">C17-C21-C27</f>
        <v>0</v>
      </c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Q1" s="292" t="s">
        <v>194</v>
      </c>
      <c r="R1" s="293">
        <v>4</v>
      </c>
      <c r="AE1" s="291"/>
      <c r="AF1" s="290"/>
      <c r="AG1" s="291"/>
      <c r="AH1" s="291"/>
      <c r="AP1" s="290"/>
    </row>
    <row r="2" spans="1:141" ht="15" thickTop="1" thickBot="1">
      <c r="B2" s="20" t="s">
        <v>11</v>
      </c>
      <c r="AE2" s="291"/>
      <c r="AF2" s="290"/>
      <c r="AG2" s="290"/>
      <c r="AH2" s="290"/>
      <c r="AM2" s="290"/>
      <c r="AN2" s="290"/>
      <c r="AO2" s="290"/>
      <c r="AP2" s="290"/>
      <c r="AS2" s="257"/>
    </row>
    <row r="3" spans="1:141" ht="17" thickTop="1">
      <c r="A3" s="840" t="s">
        <v>39</v>
      </c>
      <c r="B3" s="837" t="s">
        <v>19</v>
      </c>
      <c r="C3" s="833" t="s">
        <v>190</v>
      </c>
      <c r="D3" s="834"/>
      <c r="E3" s="834"/>
      <c r="F3" s="834"/>
      <c r="G3" s="834"/>
      <c r="H3" s="834"/>
      <c r="I3" s="834"/>
      <c r="J3" s="834"/>
      <c r="K3" s="834"/>
      <c r="L3" s="834"/>
      <c r="M3" s="834"/>
      <c r="N3" s="834"/>
      <c r="O3" s="835"/>
      <c r="Q3" s="841" t="s">
        <v>191</v>
      </c>
      <c r="R3" s="841"/>
      <c r="S3" s="841"/>
      <c r="T3" s="841"/>
      <c r="U3" s="841"/>
      <c r="V3" s="841"/>
      <c r="W3" s="841"/>
      <c r="X3" s="841"/>
      <c r="Y3" s="841"/>
      <c r="Z3" s="841"/>
      <c r="AA3" s="841"/>
      <c r="AB3" s="841"/>
      <c r="AC3" s="841"/>
      <c r="AE3" s="842" t="s">
        <v>17</v>
      </c>
      <c r="AF3" s="843"/>
      <c r="AG3" s="843"/>
      <c r="AH3" s="843"/>
      <c r="AI3" s="843"/>
      <c r="AJ3" s="843"/>
      <c r="AK3" s="843"/>
      <c r="AL3" s="843"/>
      <c r="AM3" s="843"/>
      <c r="AN3" s="843"/>
      <c r="AO3" s="843"/>
      <c r="AP3" s="843"/>
      <c r="AQ3" s="844"/>
      <c r="AS3" s="839" t="s">
        <v>0</v>
      </c>
      <c r="AT3" s="839"/>
      <c r="AU3" s="839"/>
      <c r="AV3" s="839"/>
      <c r="AW3" s="839"/>
      <c r="AX3" s="839"/>
      <c r="AY3" s="839"/>
      <c r="AZ3" s="839"/>
      <c r="BA3" s="839"/>
      <c r="BB3" s="839"/>
      <c r="BC3" s="839"/>
      <c r="BD3" s="839"/>
      <c r="BE3" s="839"/>
      <c r="BG3" s="839" t="s">
        <v>195</v>
      </c>
      <c r="BH3" s="839"/>
      <c r="BI3" s="839"/>
      <c r="BJ3" s="839"/>
      <c r="BK3" s="839"/>
      <c r="BL3" s="839"/>
      <c r="BM3" s="839"/>
      <c r="BN3" s="839"/>
      <c r="BO3" s="839"/>
      <c r="BP3" s="839"/>
      <c r="BQ3" s="839"/>
      <c r="BR3" s="839"/>
      <c r="BS3" s="839"/>
      <c r="BU3" s="845" t="s">
        <v>13</v>
      </c>
      <c r="BV3" s="845"/>
      <c r="BW3" s="845"/>
      <c r="BX3" s="845"/>
      <c r="BY3" s="845"/>
      <c r="BZ3" s="845"/>
      <c r="CA3" s="845"/>
      <c r="CB3" s="845"/>
      <c r="CC3" s="845"/>
      <c r="CD3" s="845"/>
      <c r="CE3" s="845"/>
      <c r="CF3" s="845"/>
      <c r="CG3" s="845"/>
      <c r="CI3" s="845" t="s">
        <v>14</v>
      </c>
      <c r="CJ3" s="845"/>
      <c r="CK3" s="845"/>
      <c r="CL3" s="845"/>
      <c r="CM3" s="845"/>
      <c r="CN3" s="845"/>
      <c r="CO3" s="845"/>
      <c r="CP3" s="845"/>
      <c r="CQ3" s="845"/>
      <c r="CR3" s="845"/>
      <c r="CS3" s="845"/>
      <c r="CT3" s="845"/>
      <c r="CU3" s="845"/>
      <c r="CW3" s="845" t="s">
        <v>16</v>
      </c>
      <c r="CX3" s="845"/>
      <c r="CY3" s="845"/>
      <c r="CZ3" s="845"/>
      <c r="DA3" s="845"/>
      <c r="DB3" s="845"/>
      <c r="DC3" s="845"/>
      <c r="DD3" s="845"/>
      <c r="DE3" s="845"/>
      <c r="DF3" s="845"/>
      <c r="DG3" s="845"/>
      <c r="DH3" s="845"/>
      <c r="DI3" s="845"/>
      <c r="DK3" s="839" t="s">
        <v>192</v>
      </c>
      <c r="DL3" s="839"/>
      <c r="DM3" s="839"/>
      <c r="DN3" s="839"/>
      <c r="DO3" s="839"/>
      <c r="DP3" s="839"/>
      <c r="DQ3" s="839"/>
      <c r="DR3" s="839"/>
      <c r="DS3" s="839"/>
      <c r="DT3" s="839"/>
      <c r="DU3" s="839"/>
      <c r="DV3" s="839"/>
      <c r="DW3" s="839"/>
      <c r="DY3" s="838" t="s">
        <v>193</v>
      </c>
      <c r="DZ3" s="838"/>
      <c r="EA3" s="838"/>
      <c r="EB3" s="838"/>
      <c r="EC3" s="838"/>
      <c r="ED3" s="838"/>
      <c r="EE3" s="838"/>
      <c r="EF3" s="838"/>
      <c r="EG3" s="838"/>
      <c r="EH3" s="838"/>
      <c r="EI3" s="838"/>
      <c r="EJ3" s="838"/>
      <c r="EK3" s="838"/>
    </row>
    <row r="4" spans="1:141" s="707" customFormat="1" ht="16.5">
      <c r="A4" s="840"/>
      <c r="B4" s="837"/>
      <c r="C4" s="705">
        <v>1</v>
      </c>
      <c r="D4" s="706">
        <v>2</v>
      </c>
      <c r="E4" s="706">
        <v>3</v>
      </c>
      <c r="F4" s="706">
        <v>4</v>
      </c>
      <c r="G4" s="706">
        <v>5</v>
      </c>
      <c r="H4" s="706">
        <v>6</v>
      </c>
      <c r="I4" s="706">
        <v>7</v>
      </c>
      <c r="J4" s="706">
        <v>8</v>
      </c>
      <c r="K4" s="706">
        <v>9</v>
      </c>
      <c r="L4" s="706">
        <v>10</v>
      </c>
      <c r="M4" s="706">
        <v>11</v>
      </c>
      <c r="N4" s="706">
        <v>12</v>
      </c>
      <c r="O4" s="712" t="s">
        <v>17</v>
      </c>
      <c r="Q4" s="708">
        <v>1</v>
      </c>
      <c r="R4" s="708">
        <v>2</v>
      </c>
      <c r="S4" s="708">
        <v>3</v>
      </c>
      <c r="T4" s="708">
        <v>4</v>
      </c>
      <c r="U4" s="708">
        <v>5</v>
      </c>
      <c r="V4" s="708">
        <v>6</v>
      </c>
      <c r="W4" s="708">
        <v>7</v>
      </c>
      <c r="X4" s="708">
        <v>8</v>
      </c>
      <c r="Y4" s="708">
        <v>9</v>
      </c>
      <c r="Z4" s="708">
        <v>10</v>
      </c>
      <c r="AA4" s="708">
        <v>11</v>
      </c>
      <c r="AB4" s="708">
        <v>12</v>
      </c>
      <c r="AC4" s="708" t="s">
        <v>17</v>
      </c>
      <c r="AE4" s="709">
        <v>1</v>
      </c>
      <c r="AF4" s="710">
        <v>2</v>
      </c>
      <c r="AG4" s="710">
        <v>3</v>
      </c>
      <c r="AH4" s="710">
        <v>4</v>
      </c>
      <c r="AI4" s="710">
        <v>5</v>
      </c>
      <c r="AJ4" s="710">
        <v>6</v>
      </c>
      <c r="AK4" s="710">
        <v>7</v>
      </c>
      <c r="AL4" s="710">
        <v>8</v>
      </c>
      <c r="AM4" s="710">
        <v>9</v>
      </c>
      <c r="AN4" s="710">
        <v>10</v>
      </c>
      <c r="AO4" s="710">
        <v>11</v>
      </c>
      <c r="AP4" s="710">
        <v>12</v>
      </c>
      <c r="AQ4" s="711" t="s">
        <v>17</v>
      </c>
      <c r="AS4" s="455">
        <v>1</v>
      </c>
      <c r="AT4" s="455">
        <v>2</v>
      </c>
      <c r="AU4" s="455">
        <v>3</v>
      </c>
      <c r="AV4" s="455">
        <v>4</v>
      </c>
      <c r="AW4" s="455">
        <v>5</v>
      </c>
      <c r="AX4" s="455">
        <v>6</v>
      </c>
      <c r="AY4" s="455">
        <v>7</v>
      </c>
      <c r="AZ4" s="455">
        <v>8</v>
      </c>
      <c r="BA4" s="455">
        <v>9</v>
      </c>
      <c r="BB4" s="455">
        <v>10</v>
      </c>
      <c r="BC4" s="455">
        <v>11</v>
      </c>
      <c r="BD4" s="455">
        <v>12</v>
      </c>
      <c r="BE4" s="455" t="s">
        <v>17</v>
      </c>
      <c r="BG4" s="455">
        <v>1</v>
      </c>
      <c r="BH4" s="455">
        <v>2</v>
      </c>
      <c r="BI4" s="455">
        <v>3</v>
      </c>
      <c r="BJ4" s="455">
        <v>4</v>
      </c>
      <c r="BK4" s="455">
        <v>5</v>
      </c>
      <c r="BL4" s="455">
        <v>6</v>
      </c>
      <c r="BM4" s="455">
        <v>7</v>
      </c>
      <c r="BN4" s="455">
        <v>8</v>
      </c>
      <c r="BO4" s="455">
        <v>9</v>
      </c>
      <c r="BP4" s="455">
        <v>10</v>
      </c>
      <c r="BQ4" s="455">
        <v>11</v>
      </c>
      <c r="BR4" s="455">
        <v>12</v>
      </c>
      <c r="BS4" s="455" t="s">
        <v>17</v>
      </c>
      <c r="BU4" s="713">
        <v>1</v>
      </c>
      <c r="BV4" s="713">
        <v>2</v>
      </c>
      <c r="BW4" s="713">
        <v>3</v>
      </c>
      <c r="BX4" s="713">
        <v>4</v>
      </c>
      <c r="BY4" s="713">
        <v>5</v>
      </c>
      <c r="BZ4" s="713">
        <v>6</v>
      </c>
      <c r="CA4" s="713">
        <v>7</v>
      </c>
      <c r="CB4" s="713">
        <v>8</v>
      </c>
      <c r="CC4" s="713">
        <v>9</v>
      </c>
      <c r="CD4" s="713">
        <v>10</v>
      </c>
      <c r="CE4" s="713">
        <v>11</v>
      </c>
      <c r="CF4" s="713">
        <v>12</v>
      </c>
      <c r="CG4" s="713" t="s">
        <v>17</v>
      </c>
      <c r="CI4" s="713">
        <v>1</v>
      </c>
      <c r="CJ4" s="713">
        <v>2</v>
      </c>
      <c r="CK4" s="713">
        <v>3</v>
      </c>
      <c r="CL4" s="713">
        <v>4</v>
      </c>
      <c r="CM4" s="713">
        <v>5</v>
      </c>
      <c r="CN4" s="713">
        <v>6</v>
      </c>
      <c r="CO4" s="713">
        <v>7</v>
      </c>
      <c r="CP4" s="713">
        <v>8</v>
      </c>
      <c r="CQ4" s="713">
        <v>9</v>
      </c>
      <c r="CR4" s="713">
        <v>10</v>
      </c>
      <c r="CS4" s="713">
        <v>11</v>
      </c>
      <c r="CT4" s="713">
        <v>12</v>
      </c>
      <c r="CU4" s="713" t="s">
        <v>17</v>
      </c>
      <c r="CW4" s="713">
        <v>1</v>
      </c>
      <c r="CX4" s="713">
        <v>2</v>
      </c>
      <c r="CY4" s="713">
        <v>3</v>
      </c>
      <c r="CZ4" s="713">
        <v>4</v>
      </c>
      <c r="DA4" s="713">
        <v>5</v>
      </c>
      <c r="DB4" s="713">
        <v>6</v>
      </c>
      <c r="DC4" s="713">
        <v>7</v>
      </c>
      <c r="DD4" s="713">
        <v>8</v>
      </c>
      <c r="DE4" s="713">
        <v>9</v>
      </c>
      <c r="DF4" s="713">
        <v>10</v>
      </c>
      <c r="DG4" s="713">
        <v>11</v>
      </c>
      <c r="DH4" s="713">
        <v>12</v>
      </c>
      <c r="DI4" s="713" t="s">
        <v>17</v>
      </c>
      <c r="DK4" s="455">
        <v>1</v>
      </c>
      <c r="DL4" s="455">
        <v>2</v>
      </c>
      <c r="DM4" s="455">
        <v>3</v>
      </c>
      <c r="DN4" s="455">
        <v>4</v>
      </c>
      <c r="DO4" s="455">
        <v>5</v>
      </c>
      <c r="DP4" s="455">
        <v>6</v>
      </c>
      <c r="DQ4" s="455">
        <v>7</v>
      </c>
      <c r="DR4" s="455">
        <v>8</v>
      </c>
      <c r="DS4" s="455">
        <v>9</v>
      </c>
      <c r="DT4" s="455">
        <v>10</v>
      </c>
      <c r="DU4" s="455">
        <v>11</v>
      </c>
      <c r="DV4" s="455">
        <v>12</v>
      </c>
      <c r="DW4" s="455" t="s">
        <v>17</v>
      </c>
      <c r="DY4" s="714">
        <v>1</v>
      </c>
      <c r="DZ4" s="714">
        <v>2</v>
      </c>
      <c r="EA4" s="714">
        <v>3</v>
      </c>
      <c r="EB4" s="714">
        <v>4</v>
      </c>
      <c r="EC4" s="714">
        <v>5</v>
      </c>
      <c r="ED4" s="714">
        <v>6</v>
      </c>
      <c r="EE4" s="714">
        <v>7</v>
      </c>
      <c r="EF4" s="714">
        <v>8</v>
      </c>
      <c r="EG4" s="714">
        <v>9</v>
      </c>
      <c r="EH4" s="714">
        <v>10</v>
      </c>
      <c r="EI4" s="714">
        <v>11</v>
      </c>
      <c r="EJ4" s="714">
        <v>12</v>
      </c>
      <c r="EK4" s="714" t="s">
        <v>17</v>
      </c>
    </row>
    <row r="5" spans="1:141">
      <c r="A5" s="32">
        <v>1</v>
      </c>
      <c r="B5" s="33" t="s">
        <v>40</v>
      </c>
      <c r="C5" s="299">
        <f>SUM(C6:C8)</f>
        <v>4318.222932676138</v>
      </c>
      <c r="D5" s="101">
        <f t="shared" ref="D5:O5" si="0">SUM(D6:D8)</f>
        <v>4253.3145678240335</v>
      </c>
      <c r="E5" s="101">
        <f t="shared" si="0"/>
        <v>4678.5574034757401</v>
      </c>
      <c r="F5" s="101">
        <f t="shared" si="0"/>
        <v>4394.2315186767219</v>
      </c>
      <c r="G5" s="101">
        <f t="shared" si="0"/>
        <v>4663.4364391825357</v>
      </c>
      <c r="H5" s="101">
        <f t="shared" si="0"/>
        <v>4691.9521822275938</v>
      </c>
      <c r="I5" s="101">
        <f t="shared" si="0"/>
        <v>4689.4225169732681</v>
      </c>
      <c r="J5" s="101">
        <f t="shared" si="0"/>
        <v>4562.8494989087403</v>
      </c>
      <c r="K5" s="101">
        <f t="shared" si="0"/>
        <v>4774.6231018888848</v>
      </c>
      <c r="L5" s="101">
        <f t="shared" si="0"/>
        <v>4468.6262974285746</v>
      </c>
      <c r="M5" s="101">
        <f t="shared" si="0"/>
        <v>4720.2431243544625</v>
      </c>
      <c r="N5" s="101">
        <f t="shared" si="0"/>
        <v>4784.5204185700313</v>
      </c>
      <c r="O5" s="300">
        <f t="shared" si="0"/>
        <v>55000.000002186731</v>
      </c>
      <c r="Q5" s="101">
        <f>SUM(Q6:Q8)</f>
        <v>-1961.9250000000002</v>
      </c>
      <c r="R5" s="101">
        <f t="shared" ref="R5:AC5" si="1">SUM(R6:R8)</f>
        <v>-1392.4499999999998</v>
      </c>
      <c r="S5" s="101">
        <f t="shared" si="1"/>
        <v>-2307.4250000000002</v>
      </c>
      <c r="T5" s="101">
        <f t="shared" si="1"/>
        <v>-2662.248</v>
      </c>
      <c r="U5" s="101">
        <f t="shared" si="1"/>
        <v>-2703.2624999999998</v>
      </c>
      <c r="V5" s="101">
        <f t="shared" si="1"/>
        <v>-2703.2624999999998</v>
      </c>
      <c r="W5" s="101">
        <f t="shared" si="1"/>
        <v>-2744.277</v>
      </c>
      <c r="X5" s="101">
        <f t="shared" si="1"/>
        <v>-2745.0439999999999</v>
      </c>
      <c r="Y5" s="101">
        <f t="shared" si="1"/>
        <v>-2704</v>
      </c>
      <c r="Z5" s="101">
        <f t="shared" si="1"/>
        <v>-2746.4079999999999</v>
      </c>
      <c r="AA5" s="101">
        <f t="shared" si="1"/>
        <v>-2705.3870000000002</v>
      </c>
      <c r="AB5" s="101">
        <f t="shared" si="1"/>
        <v>-2746.239</v>
      </c>
      <c r="AC5" s="101">
        <f t="shared" si="1"/>
        <v>-30121.928</v>
      </c>
      <c r="AE5" s="301">
        <f>SUM(AE6:AE8)</f>
        <v>6280.1479326761382</v>
      </c>
      <c r="AF5" s="101">
        <f t="shared" ref="AF5:AQ5" si="2">SUM(AF6:AF8)</f>
        <v>5645.7645678240333</v>
      </c>
      <c r="AG5" s="101">
        <f t="shared" si="2"/>
        <v>6985.9824034757403</v>
      </c>
      <c r="AH5" s="101">
        <f t="shared" si="2"/>
        <v>7056.4795186767224</v>
      </c>
      <c r="AI5" s="101">
        <f t="shared" si="2"/>
        <v>7366.6989391825355</v>
      </c>
      <c r="AJ5" s="101">
        <f t="shared" si="2"/>
        <v>7395.2146822275936</v>
      </c>
      <c r="AK5" s="101">
        <f t="shared" si="2"/>
        <v>7433.6995169732681</v>
      </c>
      <c r="AL5" s="101">
        <f t="shared" si="2"/>
        <v>7307.8934989087402</v>
      </c>
      <c r="AM5" s="101">
        <f t="shared" si="2"/>
        <v>7478.6231018888848</v>
      </c>
      <c r="AN5" s="101">
        <f t="shared" si="2"/>
        <v>7215.0342974285741</v>
      </c>
      <c r="AO5" s="101">
        <f t="shared" si="2"/>
        <v>7425.6301243544622</v>
      </c>
      <c r="AP5" s="101">
        <f t="shared" si="2"/>
        <v>7530.7594185700309</v>
      </c>
      <c r="AQ5" s="302">
        <f t="shared" si="2"/>
        <v>85121.928002186731</v>
      </c>
      <c r="AS5" s="101">
        <f>SUM(AS6:AS8)</f>
        <v>4318.222932676138</v>
      </c>
      <c r="AT5" s="101">
        <f t="shared" ref="AT5:BE5" si="3">SUM(AT6:AT8)</f>
        <v>4253.3145678240335</v>
      </c>
      <c r="AU5" s="101">
        <f t="shared" si="3"/>
        <v>4678.5574034757401</v>
      </c>
      <c r="AV5" s="101">
        <f t="shared" si="3"/>
        <v>4394.2315186767219</v>
      </c>
      <c r="AW5" s="101">
        <f t="shared" si="3"/>
        <v>4663.4364391825357</v>
      </c>
      <c r="AX5" s="101">
        <f t="shared" si="3"/>
        <v>4691.9521822275938</v>
      </c>
      <c r="AY5" s="101">
        <f t="shared" si="3"/>
        <v>4689.4225169732681</v>
      </c>
      <c r="AZ5" s="101">
        <f t="shared" si="3"/>
        <v>4562.8494989087403</v>
      </c>
      <c r="BA5" s="101">
        <f t="shared" si="3"/>
        <v>4774.6231018888848</v>
      </c>
      <c r="BB5" s="101">
        <f t="shared" si="3"/>
        <v>4468.6262974285746</v>
      </c>
      <c r="BC5" s="101">
        <f t="shared" si="3"/>
        <v>4720.2431243544625</v>
      </c>
      <c r="BD5" s="101">
        <f t="shared" si="3"/>
        <v>4784.5204185700313</v>
      </c>
      <c r="BE5" s="101">
        <f t="shared" si="3"/>
        <v>55000.000002186731</v>
      </c>
      <c r="BG5" s="101">
        <f>SUM(BG6:BG8)</f>
        <v>1961.9250000000002</v>
      </c>
      <c r="BH5" s="101">
        <f t="shared" ref="BH5:BS5" si="4">SUM(BH6:BH8)</f>
        <v>1392.4499999999998</v>
      </c>
      <c r="BI5" s="101">
        <f t="shared" si="4"/>
        <v>2307.4250000000002</v>
      </c>
      <c r="BJ5" s="101">
        <f t="shared" si="4"/>
        <v>2662.248</v>
      </c>
      <c r="BK5" s="101">
        <f t="shared" si="4"/>
        <v>2703.2624999999998</v>
      </c>
      <c r="BL5" s="101">
        <f t="shared" si="4"/>
        <v>2703.2624999999998</v>
      </c>
      <c r="BM5" s="101">
        <f t="shared" si="4"/>
        <v>2744.277</v>
      </c>
      <c r="BN5" s="101">
        <f t="shared" si="4"/>
        <v>2745.0439999999999</v>
      </c>
      <c r="BO5" s="101">
        <f t="shared" si="4"/>
        <v>2704</v>
      </c>
      <c r="BP5" s="101">
        <f t="shared" si="4"/>
        <v>2746.4079999999999</v>
      </c>
      <c r="BQ5" s="101">
        <f t="shared" si="4"/>
        <v>2705.3870000000002</v>
      </c>
      <c r="BR5" s="101">
        <f t="shared" si="4"/>
        <v>2746.239</v>
      </c>
      <c r="BS5" s="101">
        <f t="shared" si="4"/>
        <v>30121.928</v>
      </c>
      <c r="BU5" s="101">
        <f>SUM(BU6:BU8)</f>
        <v>667.5</v>
      </c>
      <c r="BV5" s="101">
        <f t="shared" ref="BV5:CG5" si="5">SUM(BV6:BV8)</f>
        <v>400.5</v>
      </c>
      <c r="BW5" s="101">
        <f t="shared" si="5"/>
        <v>884</v>
      </c>
      <c r="BX5" s="101">
        <f t="shared" si="5"/>
        <v>984.34799999999996</v>
      </c>
      <c r="BY5" s="101">
        <f t="shared" si="5"/>
        <v>1025.3625</v>
      </c>
      <c r="BZ5" s="101">
        <f t="shared" si="5"/>
        <v>1025.3625</v>
      </c>
      <c r="CA5" s="101">
        <f t="shared" si="5"/>
        <v>1066.377</v>
      </c>
      <c r="CB5" s="101">
        <f t="shared" si="5"/>
        <v>1067.144</v>
      </c>
      <c r="CC5" s="101">
        <f t="shared" si="5"/>
        <v>1026.0999999999999</v>
      </c>
      <c r="CD5" s="101">
        <f t="shared" si="5"/>
        <v>1066.546</v>
      </c>
      <c r="CE5" s="101">
        <f t="shared" si="5"/>
        <v>1025.5250000000001</v>
      </c>
      <c r="CF5" s="101">
        <f t="shared" si="5"/>
        <v>1066.377</v>
      </c>
      <c r="CG5" s="101">
        <f t="shared" si="5"/>
        <v>11305.142000000002</v>
      </c>
      <c r="CI5" s="101">
        <f>SUM(CI6:CI8)</f>
        <v>533.70000000000005</v>
      </c>
      <c r="CJ5" s="101">
        <f t="shared" ref="CJ5:CU5" si="6">SUM(CJ6:CJ8)</f>
        <v>400.27499999999998</v>
      </c>
      <c r="CK5" s="101">
        <f t="shared" si="6"/>
        <v>578.17499999999995</v>
      </c>
      <c r="CL5" s="101">
        <f t="shared" si="6"/>
        <v>622.65</v>
      </c>
      <c r="CM5" s="101">
        <f t="shared" si="6"/>
        <v>622.65</v>
      </c>
      <c r="CN5" s="101">
        <f t="shared" si="6"/>
        <v>622.65</v>
      </c>
      <c r="CO5" s="101">
        <f t="shared" si="6"/>
        <v>622.65</v>
      </c>
      <c r="CP5" s="101">
        <f t="shared" si="6"/>
        <v>622.65</v>
      </c>
      <c r="CQ5" s="101">
        <f t="shared" si="6"/>
        <v>622.65</v>
      </c>
      <c r="CR5" s="101">
        <f t="shared" si="6"/>
        <v>622.65</v>
      </c>
      <c r="CS5" s="101">
        <f t="shared" si="6"/>
        <v>622.65</v>
      </c>
      <c r="CT5" s="101">
        <f t="shared" si="6"/>
        <v>622.65</v>
      </c>
      <c r="CU5" s="101">
        <f t="shared" si="6"/>
        <v>7115.9999999999991</v>
      </c>
      <c r="CW5" s="101">
        <f>SUM(CW6:CW8)</f>
        <v>760.72500000000002</v>
      </c>
      <c r="CX5" s="101">
        <f t="shared" ref="CX5:DI5" si="7">SUM(CX6:CX8)</f>
        <v>591.67499999999995</v>
      </c>
      <c r="CY5" s="101">
        <f t="shared" si="7"/>
        <v>845.25</v>
      </c>
      <c r="CZ5" s="101">
        <f t="shared" si="7"/>
        <v>1055.25</v>
      </c>
      <c r="DA5" s="101">
        <f t="shared" si="7"/>
        <v>1055.25</v>
      </c>
      <c r="DB5" s="101">
        <f t="shared" si="7"/>
        <v>1055.25</v>
      </c>
      <c r="DC5" s="101">
        <f t="shared" si="7"/>
        <v>1055.25</v>
      </c>
      <c r="DD5" s="101">
        <f t="shared" si="7"/>
        <v>1055.25</v>
      </c>
      <c r="DE5" s="101">
        <f t="shared" si="7"/>
        <v>1055.25</v>
      </c>
      <c r="DF5" s="101">
        <f t="shared" si="7"/>
        <v>1057.212</v>
      </c>
      <c r="DG5" s="101">
        <f t="shared" si="7"/>
        <v>1057.212</v>
      </c>
      <c r="DH5" s="101">
        <f t="shared" si="7"/>
        <v>1057.212</v>
      </c>
      <c r="DI5" s="101">
        <f t="shared" si="7"/>
        <v>11700.785999999998</v>
      </c>
      <c r="DK5" s="101">
        <f>SUM(DK6:DK8)</f>
        <v>0</v>
      </c>
      <c r="DL5" s="101">
        <f t="shared" ref="DL5:DW5" si="8">SUM(DL6:DL8)</f>
        <v>0</v>
      </c>
      <c r="DM5" s="101">
        <f t="shared" si="8"/>
        <v>0</v>
      </c>
      <c r="DN5" s="101">
        <f t="shared" si="8"/>
        <v>0</v>
      </c>
      <c r="DO5" s="101">
        <f t="shared" si="8"/>
        <v>0</v>
      </c>
      <c r="DP5" s="101">
        <f t="shared" si="8"/>
        <v>0</v>
      </c>
      <c r="DQ5" s="101">
        <f t="shared" si="8"/>
        <v>0</v>
      </c>
      <c r="DR5" s="101">
        <f t="shared" si="8"/>
        <v>0</v>
      </c>
      <c r="DS5" s="101">
        <f t="shared" si="8"/>
        <v>0</v>
      </c>
      <c r="DT5" s="101">
        <f t="shared" si="8"/>
        <v>0</v>
      </c>
      <c r="DU5" s="101">
        <f t="shared" si="8"/>
        <v>0</v>
      </c>
      <c r="DV5" s="101">
        <f t="shared" si="8"/>
        <v>0</v>
      </c>
      <c r="DW5" s="101">
        <f t="shared" si="8"/>
        <v>0</v>
      </c>
      <c r="DY5" s="101">
        <f>SUM(DY6:DY8)</f>
        <v>0</v>
      </c>
      <c r="DZ5" s="101">
        <f t="shared" ref="DZ5:EK5" si="9">SUM(DZ6:DZ8)</f>
        <v>0</v>
      </c>
      <c r="EA5" s="101">
        <f t="shared" si="9"/>
        <v>0</v>
      </c>
      <c r="EB5" s="101">
        <f t="shared" si="9"/>
        <v>0</v>
      </c>
      <c r="EC5" s="101">
        <f t="shared" si="9"/>
        <v>0</v>
      </c>
      <c r="ED5" s="101">
        <f t="shared" si="9"/>
        <v>0</v>
      </c>
      <c r="EE5" s="101">
        <f t="shared" si="9"/>
        <v>0</v>
      </c>
      <c r="EF5" s="101">
        <f t="shared" si="9"/>
        <v>0</v>
      </c>
      <c r="EG5" s="101">
        <f t="shared" si="9"/>
        <v>0</v>
      </c>
      <c r="EH5" s="101">
        <f t="shared" si="9"/>
        <v>0</v>
      </c>
      <c r="EI5" s="101">
        <f t="shared" si="9"/>
        <v>0</v>
      </c>
      <c r="EJ5" s="101">
        <f t="shared" si="9"/>
        <v>0</v>
      </c>
      <c r="EK5" s="101">
        <f t="shared" si="9"/>
        <v>0</v>
      </c>
    </row>
    <row r="6" spans="1:141" s="97" customFormat="1" outlineLevel="1">
      <c r="A6" s="99" t="s">
        <v>73</v>
      </c>
      <c r="B6" s="100" t="s">
        <v>1</v>
      </c>
      <c r="C6" s="303">
        <f>Q6+AE6</f>
        <v>4318.222932676138</v>
      </c>
      <c r="D6" s="98">
        <f t="shared" ref="D6:N8" si="10">R6+AF6</f>
        <v>4253.3145678240335</v>
      </c>
      <c r="E6" s="98">
        <f t="shared" si="10"/>
        <v>4678.5574034757401</v>
      </c>
      <c r="F6" s="98">
        <f t="shared" si="10"/>
        <v>4394.2315186767219</v>
      </c>
      <c r="G6" s="98">
        <f t="shared" si="10"/>
        <v>4663.4364391825357</v>
      </c>
      <c r="H6" s="98">
        <f t="shared" si="10"/>
        <v>4691.9521822275938</v>
      </c>
      <c r="I6" s="98">
        <f t="shared" si="10"/>
        <v>4689.4225169732681</v>
      </c>
      <c r="J6" s="98">
        <f t="shared" si="10"/>
        <v>4562.8494989087403</v>
      </c>
      <c r="K6" s="98">
        <f t="shared" si="10"/>
        <v>4774.6231018888848</v>
      </c>
      <c r="L6" s="98">
        <f t="shared" si="10"/>
        <v>4468.6262974285746</v>
      </c>
      <c r="M6" s="98">
        <f t="shared" si="10"/>
        <v>4720.2431243544625</v>
      </c>
      <c r="N6" s="98">
        <f t="shared" si="10"/>
        <v>4784.5204185700313</v>
      </c>
      <c r="O6" s="304">
        <f>SUM(C6:N6)</f>
        <v>55000.000002186731</v>
      </c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>
        <f>SUM(Q6:AB6)</f>
        <v>0</v>
      </c>
      <c r="AE6" s="305">
        <f>AS6+BU6+CI6+CW6+DK6</f>
        <v>4318.222932676138</v>
      </c>
      <c r="AF6" s="98">
        <f t="shared" ref="AF6:AP8" si="11">AT6+BV6+CJ6+CX6+DL6</f>
        <v>4253.3145678240335</v>
      </c>
      <c r="AG6" s="98">
        <f t="shared" si="11"/>
        <v>4678.5574034757401</v>
      </c>
      <c r="AH6" s="98">
        <f t="shared" si="11"/>
        <v>4394.2315186767219</v>
      </c>
      <c r="AI6" s="98">
        <f t="shared" si="11"/>
        <v>4663.4364391825357</v>
      </c>
      <c r="AJ6" s="98">
        <f t="shared" si="11"/>
        <v>4691.9521822275938</v>
      </c>
      <c r="AK6" s="98">
        <f t="shared" si="11"/>
        <v>4689.4225169732681</v>
      </c>
      <c r="AL6" s="98">
        <f t="shared" si="11"/>
        <v>4562.8494989087403</v>
      </c>
      <c r="AM6" s="98">
        <f t="shared" si="11"/>
        <v>4774.6231018888848</v>
      </c>
      <c r="AN6" s="98">
        <f t="shared" si="11"/>
        <v>4468.6262974285746</v>
      </c>
      <c r="AO6" s="98">
        <f t="shared" si="11"/>
        <v>4720.2431243544625</v>
      </c>
      <c r="AP6" s="98">
        <f t="shared" si="11"/>
        <v>4784.5204185700313</v>
      </c>
      <c r="AQ6" s="306">
        <f>SUM(AE6:AP6)</f>
        <v>55000.000002186731</v>
      </c>
      <c r="AS6" s="98">
        <f>'PL-KH26-DTR'!BL4</f>
        <v>4318.222932676138</v>
      </c>
      <c r="AT6" s="98">
        <v>4253.3145678240335</v>
      </c>
      <c r="AU6" s="98">
        <v>4678.5574034757401</v>
      </c>
      <c r="AV6" s="98">
        <v>4394.2315186767219</v>
      </c>
      <c r="AW6" s="98">
        <v>4663.4364391825357</v>
      </c>
      <c r="AX6" s="98">
        <v>4691.9521822275938</v>
      </c>
      <c r="AY6" s="98">
        <v>4689.4225169732681</v>
      </c>
      <c r="AZ6" s="98">
        <v>4562.8494989087403</v>
      </c>
      <c r="BA6" s="98">
        <v>4774.6231018888848</v>
      </c>
      <c r="BB6" s="98">
        <v>4468.6262974285746</v>
      </c>
      <c r="BC6" s="98">
        <v>4720.2431243544625</v>
      </c>
      <c r="BD6" s="98">
        <v>4784.5204185700313</v>
      </c>
      <c r="BE6" s="98">
        <f>SUM(AS6:BD6)</f>
        <v>55000.000002186731</v>
      </c>
      <c r="BG6" s="98">
        <f>BU6+CI6+CW6</f>
        <v>0</v>
      </c>
      <c r="BH6" s="98">
        <f t="shared" ref="BH6:BR8" si="12">BV6+CJ6+CX6</f>
        <v>0</v>
      </c>
      <c r="BI6" s="98">
        <f t="shared" si="12"/>
        <v>0</v>
      </c>
      <c r="BJ6" s="98">
        <f t="shared" si="12"/>
        <v>0</v>
      </c>
      <c r="BK6" s="98">
        <f t="shared" si="12"/>
        <v>0</v>
      </c>
      <c r="BL6" s="98">
        <f t="shared" si="12"/>
        <v>0</v>
      </c>
      <c r="BM6" s="98">
        <f t="shared" si="12"/>
        <v>0</v>
      </c>
      <c r="BN6" s="98">
        <f t="shared" si="12"/>
        <v>0</v>
      </c>
      <c r="BO6" s="98">
        <f t="shared" si="12"/>
        <v>0</v>
      </c>
      <c r="BP6" s="98">
        <f t="shared" si="12"/>
        <v>0</v>
      </c>
      <c r="BQ6" s="98">
        <f t="shared" si="12"/>
        <v>0</v>
      </c>
      <c r="BR6" s="98">
        <f t="shared" si="12"/>
        <v>0</v>
      </c>
      <c r="BS6" s="98">
        <f>SUM(BG6:BR6)</f>
        <v>0</v>
      </c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>
        <f>SUM(BU6:CF6)</f>
        <v>0</v>
      </c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>
        <f>SUM(CI6:CT6)</f>
        <v>0</v>
      </c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>
        <f>SUM(CW6:DH6)</f>
        <v>0</v>
      </c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>
        <f>SUM(DK6:DV6)</f>
        <v>0</v>
      </c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>
        <f>SUM(DY6:EJ6)</f>
        <v>0</v>
      </c>
    </row>
    <row r="7" spans="1:141" s="97" customFormat="1" outlineLevel="1">
      <c r="A7" s="99" t="s">
        <v>74</v>
      </c>
      <c r="B7" s="100" t="s">
        <v>2</v>
      </c>
      <c r="C7" s="303">
        <f t="shared" ref="C7:C8" si="13">Q7+AE7</f>
        <v>0</v>
      </c>
      <c r="D7" s="98">
        <f t="shared" si="10"/>
        <v>0</v>
      </c>
      <c r="E7" s="98">
        <f t="shared" si="10"/>
        <v>0</v>
      </c>
      <c r="F7" s="98">
        <f t="shared" si="10"/>
        <v>0</v>
      </c>
      <c r="G7" s="98">
        <f t="shared" si="10"/>
        <v>0</v>
      </c>
      <c r="H7" s="98">
        <f t="shared" si="10"/>
        <v>0</v>
      </c>
      <c r="I7" s="98">
        <f t="shared" si="10"/>
        <v>0</v>
      </c>
      <c r="J7" s="98">
        <f t="shared" si="10"/>
        <v>0</v>
      </c>
      <c r="K7" s="98">
        <f t="shared" si="10"/>
        <v>0</v>
      </c>
      <c r="L7" s="98">
        <f t="shared" si="10"/>
        <v>0</v>
      </c>
      <c r="M7" s="98">
        <f t="shared" si="10"/>
        <v>0</v>
      </c>
      <c r="N7" s="98">
        <f t="shared" si="10"/>
        <v>0</v>
      </c>
      <c r="O7" s="304">
        <f t="shared" ref="O7:O8" si="14">SUM(C7:N7)</f>
        <v>0</v>
      </c>
      <c r="Q7" s="98">
        <f>-AE7</f>
        <v>-1961.9250000000002</v>
      </c>
      <c r="R7" s="98">
        <f t="shared" ref="R7:AB7" si="15">-AF7</f>
        <v>-1392.4499999999998</v>
      </c>
      <c r="S7" s="98">
        <f t="shared" si="15"/>
        <v>-2307.4250000000002</v>
      </c>
      <c r="T7" s="98">
        <f t="shared" si="15"/>
        <v>-2662.248</v>
      </c>
      <c r="U7" s="98">
        <f t="shared" si="15"/>
        <v>-2703.2624999999998</v>
      </c>
      <c r="V7" s="98">
        <f t="shared" si="15"/>
        <v>-2703.2624999999998</v>
      </c>
      <c r="W7" s="98">
        <f t="shared" si="15"/>
        <v>-2744.277</v>
      </c>
      <c r="X7" s="98">
        <f t="shared" si="15"/>
        <v>-2745.0439999999999</v>
      </c>
      <c r="Y7" s="98">
        <f t="shared" si="15"/>
        <v>-2704</v>
      </c>
      <c r="Z7" s="98">
        <f t="shared" si="15"/>
        <v>-2746.4079999999999</v>
      </c>
      <c r="AA7" s="98">
        <f t="shared" si="15"/>
        <v>-2705.3870000000002</v>
      </c>
      <c r="AB7" s="98">
        <f t="shared" si="15"/>
        <v>-2746.239</v>
      </c>
      <c r="AC7" s="98">
        <f t="shared" ref="AC7:AC8" si="16">SUM(Q7:AB7)</f>
        <v>-30121.928</v>
      </c>
      <c r="AE7" s="305">
        <f t="shared" ref="AE7:AE8" si="17">AS7+BU7+CI7+CW7+DK7</f>
        <v>1961.9250000000002</v>
      </c>
      <c r="AF7" s="98">
        <f t="shared" si="11"/>
        <v>1392.4499999999998</v>
      </c>
      <c r="AG7" s="98">
        <f t="shared" si="11"/>
        <v>2307.4250000000002</v>
      </c>
      <c r="AH7" s="98">
        <f t="shared" si="11"/>
        <v>2662.248</v>
      </c>
      <c r="AI7" s="98">
        <f t="shared" si="11"/>
        <v>2703.2624999999998</v>
      </c>
      <c r="AJ7" s="98">
        <f t="shared" si="11"/>
        <v>2703.2624999999998</v>
      </c>
      <c r="AK7" s="98">
        <f t="shared" si="11"/>
        <v>2744.277</v>
      </c>
      <c r="AL7" s="98">
        <f t="shared" si="11"/>
        <v>2745.0439999999999</v>
      </c>
      <c r="AM7" s="98">
        <f t="shared" si="11"/>
        <v>2704</v>
      </c>
      <c r="AN7" s="98">
        <f t="shared" si="11"/>
        <v>2746.4079999999999</v>
      </c>
      <c r="AO7" s="98">
        <f t="shared" si="11"/>
        <v>2705.3870000000002</v>
      </c>
      <c r="AP7" s="98">
        <f t="shared" si="11"/>
        <v>2746.239</v>
      </c>
      <c r="AQ7" s="306">
        <f t="shared" ref="AQ7:AQ8" si="18">SUM(AE7:AP7)</f>
        <v>30121.928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>
        <f t="shared" ref="BE7:BE8" si="19">SUM(AS7:BD7)</f>
        <v>0</v>
      </c>
      <c r="BG7" s="98">
        <f t="shared" ref="BG7:BG8" si="20">BU7+CI7+CW7</f>
        <v>1961.9250000000002</v>
      </c>
      <c r="BH7" s="98">
        <f t="shared" si="12"/>
        <v>1392.4499999999998</v>
      </c>
      <c r="BI7" s="98">
        <f t="shared" si="12"/>
        <v>2307.4250000000002</v>
      </c>
      <c r="BJ7" s="98">
        <f t="shared" si="12"/>
        <v>2662.248</v>
      </c>
      <c r="BK7" s="98">
        <f t="shared" si="12"/>
        <v>2703.2624999999998</v>
      </c>
      <c r="BL7" s="98">
        <f t="shared" si="12"/>
        <v>2703.2624999999998</v>
      </c>
      <c r="BM7" s="98">
        <f t="shared" si="12"/>
        <v>2744.277</v>
      </c>
      <c r="BN7" s="98">
        <f t="shared" si="12"/>
        <v>2745.0439999999999</v>
      </c>
      <c r="BO7" s="98">
        <f t="shared" si="12"/>
        <v>2704</v>
      </c>
      <c r="BP7" s="98">
        <f t="shared" si="12"/>
        <v>2746.4079999999999</v>
      </c>
      <c r="BQ7" s="98">
        <f t="shared" si="12"/>
        <v>2705.3870000000002</v>
      </c>
      <c r="BR7" s="98">
        <f t="shared" si="12"/>
        <v>2746.239</v>
      </c>
      <c r="BS7" s="98">
        <f t="shared" ref="BS7:BS8" si="21">SUM(BG7:BR7)</f>
        <v>30121.928</v>
      </c>
      <c r="BU7" s="98">
        <f>'PL-KH26-DongLam'!G6/10^3</f>
        <v>667.5</v>
      </c>
      <c r="BV7" s="98">
        <f>'PL-KH26-DongLam'!H6/10^3</f>
        <v>400.5</v>
      </c>
      <c r="BW7" s="98">
        <f>'PL-KH26-DongLam'!I6/10^3</f>
        <v>884</v>
      </c>
      <c r="BX7" s="98">
        <f>'PL-KH26-DongLam'!J6/10^3</f>
        <v>984.34799999999996</v>
      </c>
      <c r="BY7" s="98">
        <f>'PL-KH26-DongLam'!K6/10^3</f>
        <v>1025.3625</v>
      </c>
      <c r="BZ7" s="98">
        <f>'PL-KH26-DongLam'!L6/10^3</f>
        <v>1025.3625</v>
      </c>
      <c r="CA7" s="98">
        <f>'PL-KH26-DongLam'!M6/10^3</f>
        <v>1066.377</v>
      </c>
      <c r="CB7" s="98">
        <f>'PL-KH26-DongLam'!N6/10^3</f>
        <v>1067.144</v>
      </c>
      <c r="CC7" s="98">
        <f>'PL-KH26-DongLam'!O6/10^3</f>
        <v>1026.0999999999999</v>
      </c>
      <c r="CD7" s="98">
        <f>'PL-KH26-DongLam'!P6/10^3</f>
        <v>1066.546</v>
      </c>
      <c r="CE7" s="98">
        <f>'PL-KH26-DongLam'!Q6/10^3</f>
        <v>1025.5250000000001</v>
      </c>
      <c r="CF7" s="98">
        <f>'PL-KH26-DongLam'!R6/10^3</f>
        <v>1066.377</v>
      </c>
      <c r="CG7" s="98">
        <f t="shared" ref="CG7:CG8" si="22">SUM(BU7:CF7)</f>
        <v>11305.142000000002</v>
      </c>
      <c r="CI7" s="98">
        <f>'PL-KH26-KhanhNga'!G5/10^3</f>
        <v>533.70000000000005</v>
      </c>
      <c r="CJ7" s="98">
        <f>'PL-KH26-KhanhNga'!H5/10^3</f>
        <v>400.27499999999998</v>
      </c>
      <c r="CK7" s="98">
        <f>'PL-KH26-KhanhNga'!I5/10^3</f>
        <v>578.17499999999995</v>
      </c>
      <c r="CL7" s="98">
        <f>'PL-KH26-KhanhNga'!J5/10^3</f>
        <v>622.65</v>
      </c>
      <c r="CM7" s="98">
        <f>'PL-KH26-KhanhNga'!K5/10^3</f>
        <v>622.65</v>
      </c>
      <c r="CN7" s="98">
        <f>'PL-KH26-KhanhNga'!L5/10^3</f>
        <v>622.65</v>
      </c>
      <c r="CO7" s="98">
        <f>'PL-KH26-KhanhNga'!M5/10^3</f>
        <v>622.65</v>
      </c>
      <c r="CP7" s="98">
        <f>'PL-KH26-KhanhNga'!N5/10^3</f>
        <v>622.65</v>
      </c>
      <c r="CQ7" s="98">
        <f>'PL-KH26-KhanhNga'!O5/10^3</f>
        <v>622.65</v>
      </c>
      <c r="CR7" s="98">
        <f>'PL-KH26-KhanhNga'!P5/10^3</f>
        <v>622.65</v>
      </c>
      <c r="CS7" s="98">
        <f>'PL-KH26-KhanhNga'!Q5/10^3</f>
        <v>622.65</v>
      </c>
      <c r="CT7" s="98">
        <f>'PL-KH26-KhanhNga'!R5/10^3</f>
        <v>622.65</v>
      </c>
      <c r="CU7" s="98">
        <f t="shared" ref="CU7:CU8" si="23">SUM(CI7:CT7)</f>
        <v>7115.9999999999991</v>
      </c>
      <c r="CW7" s="98">
        <f>'PL-KH26-DaiLoc'!F5/10^3</f>
        <v>760.72500000000002</v>
      </c>
      <c r="CX7" s="98">
        <f>'PL-KH26-DaiLoc'!G5/10^3</f>
        <v>591.67499999999995</v>
      </c>
      <c r="CY7" s="98">
        <f>'PL-KH26-DaiLoc'!H5/10^3</f>
        <v>845.25</v>
      </c>
      <c r="CZ7" s="98">
        <f>'PL-KH26-DaiLoc'!I5/10^3</f>
        <v>1055.25</v>
      </c>
      <c r="DA7" s="98">
        <f>'PL-KH26-DaiLoc'!J5/10^3</f>
        <v>1055.25</v>
      </c>
      <c r="DB7" s="98">
        <f>'PL-KH26-DaiLoc'!K5/10^3</f>
        <v>1055.25</v>
      </c>
      <c r="DC7" s="98">
        <f>'PL-KH26-DaiLoc'!L5/10^3</f>
        <v>1055.25</v>
      </c>
      <c r="DD7" s="98">
        <f>'PL-KH26-DaiLoc'!M5/10^3</f>
        <v>1055.25</v>
      </c>
      <c r="DE7" s="98">
        <f>'PL-KH26-DaiLoc'!N5/10^3</f>
        <v>1055.25</v>
      </c>
      <c r="DF7" s="98">
        <f>'PL-KH26-DaiLoc'!O5/10^3</f>
        <v>1057.212</v>
      </c>
      <c r="DG7" s="98">
        <f>'PL-KH26-DaiLoc'!P5/10^3</f>
        <v>1057.212</v>
      </c>
      <c r="DH7" s="98">
        <f>'PL-KH26-DaiLoc'!Q5/10^3</f>
        <v>1057.212</v>
      </c>
      <c r="DI7" s="98">
        <f t="shared" ref="DI7:DI8" si="24">SUM(CW7:DH7)</f>
        <v>11700.785999999998</v>
      </c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>
        <f t="shared" ref="DW7:DW8" si="25">SUM(DK7:DV7)</f>
        <v>0</v>
      </c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>
        <f t="shared" ref="EK7:EK8" si="26">SUM(DY7:EJ7)</f>
        <v>0</v>
      </c>
    </row>
    <row r="8" spans="1:141" s="97" customFormat="1" outlineLevel="1">
      <c r="A8" s="99" t="s">
        <v>75</v>
      </c>
      <c r="B8" s="100" t="s">
        <v>3</v>
      </c>
      <c r="C8" s="303">
        <f t="shared" si="13"/>
        <v>0</v>
      </c>
      <c r="D8" s="98">
        <f t="shared" si="10"/>
        <v>0</v>
      </c>
      <c r="E8" s="98">
        <f t="shared" si="10"/>
        <v>0</v>
      </c>
      <c r="F8" s="98">
        <f t="shared" si="10"/>
        <v>0</v>
      </c>
      <c r="G8" s="98">
        <f t="shared" si="10"/>
        <v>0</v>
      </c>
      <c r="H8" s="98">
        <f t="shared" si="10"/>
        <v>0</v>
      </c>
      <c r="I8" s="98">
        <f t="shared" si="10"/>
        <v>0</v>
      </c>
      <c r="J8" s="98">
        <f t="shared" si="10"/>
        <v>0</v>
      </c>
      <c r="K8" s="98">
        <f t="shared" si="10"/>
        <v>0</v>
      </c>
      <c r="L8" s="98">
        <f t="shared" si="10"/>
        <v>0</v>
      </c>
      <c r="M8" s="98">
        <f t="shared" si="10"/>
        <v>0</v>
      </c>
      <c r="N8" s="98">
        <f t="shared" si="10"/>
        <v>0</v>
      </c>
      <c r="O8" s="304">
        <f t="shared" si="14"/>
        <v>0</v>
      </c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>
        <f t="shared" si="16"/>
        <v>0</v>
      </c>
      <c r="AE8" s="305">
        <f t="shared" si="17"/>
        <v>0</v>
      </c>
      <c r="AF8" s="98">
        <f t="shared" si="11"/>
        <v>0</v>
      </c>
      <c r="AG8" s="98">
        <f t="shared" si="11"/>
        <v>0</v>
      </c>
      <c r="AH8" s="98">
        <f t="shared" si="11"/>
        <v>0</v>
      </c>
      <c r="AI8" s="98">
        <f t="shared" si="11"/>
        <v>0</v>
      </c>
      <c r="AJ8" s="98">
        <f t="shared" si="11"/>
        <v>0</v>
      </c>
      <c r="AK8" s="98">
        <f t="shared" si="11"/>
        <v>0</v>
      </c>
      <c r="AL8" s="98">
        <f t="shared" si="11"/>
        <v>0</v>
      </c>
      <c r="AM8" s="98">
        <f t="shared" si="11"/>
        <v>0</v>
      </c>
      <c r="AN8" s="98">
        <f t="shared" si="11"/>
        <v>0</v>
      </c>
      <c r="AO8" s="98">
        <f t="shared" si="11"/>
        <v>0</v>
      </c>
      <c r="AP8" s="98">
        <f t="shared" si="11"/>
        <v>0</v>
      </c>
      <c r="AQ8" s="306">
        <f t="shared" si="18"/>
        <v>0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>
        <f t="shared" si="19"/>
        <v>0</v>
      </c>
      <c r="BG8" s="98">
        <f t="shared" si="20"/>
        <v>0</v>
      </c>
      <c r="BH8" s="98">
        <f t="shared" si="12"/>
        <v>0</v>
      </c>
      <c r="BI8" s="98">
        <f t="shared" si="12"/>
        <v>0</v>
      </c>
      <c r="BJ8" s="98">
        <f t="shared" si="12"/>
        <v>0</v>
      </c>
      <c r="BK8" s="98">
        <f t="shared" si="12"/>
        <v>0</v>
      </c>
      <c r="BL8" s="98">
        <f t="shared" si="12"/>
        <v>0</v>
      </c>
      <c r="BM8" s="98">
        <f t="shared" si="12"/>
        <v>0</v>
      </c>
      <c r="BN8" s="98">
        <f t="shared" si="12"/>
        <v>0</v>
      </c>
      <c r="BO8" s="98">
        <f t="shared" si="12"/>
        <v>0</v>
      </c>
      <c r="BP8" s="98">
        <f t="shared" si="12"/>
        <v>0</v>
      </c>
      <c r="BQ8" s="98">
        <f t="shared" si="12"/>
        <v>0</v>
      </c>
      <c r="BR8" s="98">
        <f t="shared" si="12"/>
        <v>0</v>
      </c>
      <c r="BS8" s="98">
        <f t="shared" si="21"/>
        <v>0</v>
      </c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>
        <f t="shared" si="22"/>
        <v>0</v>
      </c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>
        <f t="shared" si="23"/>
        <v>0</v>
      </c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>
        <f t="shared" si="24"/>
        <v>0</v>
      </c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>
        <f t="shared" si="25"/>
        <v>0</v>
      </c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>
        <f t="shared" si="26"/>
        <v>0</v>
      </c>
    </row>
    <row r="9" spans="1:141" s="49" customFormat="1" ht="15">
      <c r="A9" s="34">
        <v>2</v>
      </c>
      <c r="B9" s="35" t="s">
        <v>20</v>
      </c>
      <c r="C9" s="307">
        <f>SUM(C10:C12)</f>
        <v>129505341136.8568</v>
      </c>
      <c r="D9" s="93">
        <f t="shared" ref="D9:O9" si="27">SUM(D10:D12)</f>
        <v>127974441177.86678</v>
      </c>
      <c r="E9" s="93">
        <f t="shared" si="27"/>
        <v>141599491827.82724</v>
      </c>
      <c r="F9" s="93">
        <f t="shared" si="27"/>
        <v>131782266518.60179</v>
      </c>
      <c r="G9" s="93">
        <f t="shared" si="27"/>
        <v>140244307484.73706</v>
      </c>
      <c r="H9" s="93">
        <f t="shared" si="27"/>
        <v>141409300219.24365</v>
      </c>
      <c r="I9" s="93">
        <f t="shared" si="27"/>
        <v>145404057387.95996</v>
      </c>
      <c r="J9" s="93">
        <f t="shared" si="27"/>
        <v>141276361518.14462</v>
      </c>
      <c r="K9" s="93">
        <f t="shared" si="27"/>
        <v>148196499542.28259</v>
      </c>
      <c r="L9" s="93">
        <f t="shared" si="27"/>
        <v>137984481243.16364</v>
      </c>
      <c r="M9" s="93">
        <f t="shared" si="27"/>
        <v>145929060338.8269</v>
      </c>
      <c r="N9" s="93">
        <f t="shared" si="27"/>
        <v>147442013746.17145</v>
      </c>
      <c r="O9" s="308">
        <f t="shared" si="27"/>
        <v>1678747622141.6824</v>
      </c>
      <c r="Q9" s="93">
        <f>SUM(Q10:Q12)</f>
        <v>-28404956250</v>
      </c>
      <c r="R9" s="93">
        <f t="shared" ref="R9:AC9" si="28">SUM(R10:R12)</f>
        <v>-20210556250</v>
      </c>
      <c r="S9" s="93">
        <f t="shared" si="28"/>
        <v>-33329800000</v>
      </c>
      <c r="T9" s="93">
        <f t="shared" si="28"/>
        <v>-40468427500</v>
      </c>
      <c r="U9" s="93">
        <f t="shared" si="28"/>
        <v>-41125912500</v>
      </c>
      <c r="V9" s="93">
        <f t="shared" si="28"/>
        <v>-41125912500</v>
      </c>
      <c r="W9" s="93">
        <f t="shared" si="28"/>
        <v>-41783397500</v>
      </c>
      <c r="X9" s="93">
        <f t="shared" si="28"/>
        <v>-41806927500</v>
      </c>
      <c r="Y9" s="93">
        <f t="shared" si="28"/>
        <v>-41148537500</v>
      </c>
      <c r="Z9" s="93">
        <f t="shared" si="28"/>
        <v>-43154042500</v>
      </c>
      <c r="AA9" s="93">
        <f t="shared" si="28"/>
        <v>-42496151250</v>
      </c>
      <c r="AB9" s="93">
        <f t="shared" si="28"/>
        <v>-43143480000</v>
      </c>
      <c r="AC9" s="93">
        <f t="shared" si="28"/>
        <v>-458198101250</v>
      </c>
      <c r="AE9" s="309">
        <f>SUM(AE10:AE12)</f>
        <v>157910297386.85681</v>
      </c>
      <c r="AF9" s="93">
        <f t="shared" ref="AF9:AQ9" si="29">SUM(AF10:AF12)</f>
        <v>148184997427.86676</v>
      </c>
      <c r="AG9" s="93">
        <f t="shared" si="29"/>
        <v>174929291827.82724</v>
      </c>
      <c r="AH9" s="93">
        <f t="shared" si="29"/>
        <v>172250694018.60181</v>
      </c>
      <c r="AI9" s="93">
        <f t="shared" si="29"/>
        <v>181370219984.73706</v>
      </c>
      <c r="AJ9" s="93">
        <f t="shared" si="29"/>
        <v>182535212719.24365</v>
      </c>
      <c r="AK9" s="93">
        <f t="shared" si="29"/>
        <v>187187454887.95996</v>
      </c>
      <c r="AL9" s="93">
        <f t="shared" si="29"/>
        <v>183083289018.14462</v>
      </c>
      <c r="AM9" s="93">
        <f t="shared" si="29"/>
        <v>189345037042.28259</v>
      </c>
      <c r="AN9" s="93">
        <f t="shared" si="29"/>
        <v>181138523743.16364</v>
      </c>
      <c r="AO9" s="93">
        <f t="shared" si="29"/>
        <v>188425211588.8269</v>
      </c>
      <c r="AP9" s="93">
        <f t="shared" si="29"/>
        <v>190585493746.17145</v>
      </c>
      <c r="AQ9" s="310">
        <f t="shared" si="29"/>
        <v>2136945723391.6824</v>
      </c>
      <c r="AS9" s="93">
        <f>SUM(AS10:AS12)</f>
        <v>129505341136.8568</v>
      </c>
      <c r="AT9" s="93">
        <f t="shared" ref="AT9:BE9" si="30">SUM(AT10:AT12)</f>
        <v>127974441177.86678</v>
      </c>
      <c r="AU9" s="93">
        <f t="shared" si="30"/>
        <v>141599491827.82724</v>
      </c>
      <c r="AV9" s="93">
        <f t="shared" si="30"/>
        <v>131782266518.60179</v>
      </c>
      <c r="AW9" s="93">
        <f t="shared" si="30"/>
        <v>140244307484.73706</v>
      </c>
      <c r="AX9" s="93">
        <f t="shared" si="30"/>
        <v>141409300219.24365</v>
      </c>
      <c r="AY9" s="93">
        <f t="shared" si="30"/>
        <v>145404057387.95996</v>
      </c>
      <c r="AZ9" s="93">
        <f t="shared" si="30"/>
        <v>141276361518.14462</v>
      </c>
      <c r="BA9" s="93">
        <f t="shared" si="30"/>
        <v>148196499542.28259</v>
      </c>
      <c r="BB9" s="93">
        <f t="shared" si="30"/>
        <v>137984481243.16364</v>
      </c>
      <c r="BC9" s="93">
        <f t="shared" si="30"/>
        <v>145929060338.8269</v>
      </c>
      <c r="BD9" s="93">
        <f t="shared" si="30"/>
        <v>147442013746.17145</v>
      </c>
      <c r="BE9" s="93">
        <f t="shared" si="30"/>
        <v>1678747622141.6824</v>
      </c>
      <c r="BG9" s="93">
        <f>SUM(BG10:BG12)</f>
        <v>28404956250</v>
      </c>
      <c r="BH9" s="93">
        <f t="shared" ref="BH9:BS9" si="31">SUM(BH10:BH12)</f>
        <v>20210556250</v>
      </c>
      <c r="BI9" s="93">
        <f t="shared" si="31"/>
        <v>33329800000</v>
      </c>
      <c r="BJ9" s="93">
        <f t="shared" si="31"/>
        <v>40468427500</v>
      </c>
      <c r="BK9" s="93">
        <f t="shared" si="31"/>
        <v>41125912500</v>
      </c>
      <c r="BL9" s="93">
        <f t="shared" si="31"/>
        <v>41125912500</v>
      </c>
      <c r="BM9" s="93">
        <f t="shared" si="31"/>
        <v>41783397500</v>
      </c>
      <c r="BN9" s="93">
        <f t="shared" si="31"/>
        <v>41806927500</v>
      </c>
      <c r="BO9" s="93">
        <f t="shared" si="31"/>
        <v>41148537500</v>
      </c>
      <c r="BP9" s="93">
        <f t="shared" si="31"/>
        <v>43154042500</v>
      </c>
      <c r="BQ9" s="93">
        <f t="shared" si="31"/>
        <v>42496151250</v>
      </c>
      <c r="BR9" s="93">
        <f t="shared" si="31"/>
        <v>43143480000</v>
      </c>
      <c r="BS9" s="93">
        <f t="shared" si="31"/>
        <v>458198101250</v>
      </c>
      <c r="BU9" s="93">
        <f>SUM(BU10:BU12)</f>
        <v>9420187500</v>
      </c>
      <c r="BV9" s="93">
        <f t="shared" ref="BV9:CG9" si="32">SUM(BV10:BV12)</f>
        <v>5652112500</v>
      </c>
      <c r="BW9" s="93">
        <f t="shared" si="32"/>
        <v>12443100000</v>
      </c>
      <c r="BX9" s="93">
        <f t="shared" si="32"/>
        <v>15779640000</v>
      </c>
      <c r="BY9" s="93">
        <f t="shared" si="32"/>
        <v>16437125000</v>
      </c>
      <c r="BZ9" s="93">
        <f t="shared" si="32"/>
        <v>16437125000</v>
      </c>
      <c r="CA9" s="93">
        <f t="shared" si="32"/>
        <v>17094610000</v>
      </c>
      <c r="CB9" s="93">
        <f t="shared" si="32"/>
        <v>17118140000</v>
      </c>
      <c r="CC9" s="93">
        <f t="shared" si="32"/>
        <v>16459750000</v>
      </c>
      <c r="CD9" s="93">
        <f t="shared" si="32"/>
        <v>17105172500</v>
      </c>
      <c r="CE9" s="93">
        <f t="shared" si="32"/>
        <v>16447281250</v>
      </c>
      <c r="CF9" s="93">
        <f t="shared" si="32"/>
        <v>17094610000</v>
      </c>
      <c r="CG9" s="93">
        <f t="shared" si="32"/>
        <v>177488853750</v>
      </c>
      <c r="CI9" s="93">
        <f>SUM(CI10:CI12)</f>
        <v>7469550000</v>
      </c>
      <c r="CJ9" s="93">
        <f t="shared" ref="CJ9:CU9" si="33">SUM(CJ10:CJ12)</f>
        <v>5602162500</v>
      </c>
      <c r="CK9" s="93">
        <f t="shared" si="33"/>
        <v>8092012500</v>
      </c>
      <c r="CL9" s="93">
        <f t="shared" si="33"/>
        <v>8714475000</v>
      </c>
      <c r="CM9" s="93">
        <f t="shared" si="33"/>
        <v>8714475000</v>
      </c>
      <c r="CN9" s="93">
        <f t="shared" si="33"/>
        <v>8714475000</v>
      </c>
      <c r="CO9" s="93">
        <f t="shared" si="33"/>
        <v>8714475000</v>
      </c>
      <c r="CP9" s="93">
        <f t="shared" si="33"/>
        <v>8714475000</v>
      </c>
      <c r="CQ9" s="93">
        <f t="shared" si="33"/>
        <v>8714475000</v>
      </c>
      <c r="CR9" s="93">
        <f t="shared" si="33"/>
        <v>8714475000</v>
      </c>
      <c r="CS9" s="93">
        <f t="shared" si="33"/>
        <v>8714475000</v>
      </c>
      <c r="CT9" s="93">
        <f t="shared" si="33"/>
        <v>8714475000</v>
      </c>
      <c r="CU9" s="93">
        <f t="shared" si="33"/>
        <v>99594000000</v>
      </c>
      <c r="CW9" s="93">
        <f>SUM(CW10:CW12)</f>
        <v>11515218750</v>
      </c>
      <c r="CX9" s="93">
        <f t="shared" ref="CX9:DI9" si="34">SUM(CX10:CX12)</f>
        <v>8956281250</v>
      </c>
      <c r="CY9" s="93">
        <f t="shared" si="34"/>
        <v>12794687500</v>
      </c>
      <c r="CZ9" s="93">
        <f t="shared" si="34"/>
        <v>15974312500</v>
      </c>
      <c r="DA9" s="93">
        <f t="shared" si="34"/>
        <v>15974312500</v>
      </c>
      <c r="DB9" s="93">
        <f t="shared" si="34"/>
        <v>15974312500</v>
      </c>
      <c r="DC9" s="93">
        <f t="shared" si="34"/>
        <v>15974312500</v>
      </c>
      <c r="DD9" s="93">
        <f t="shared" si="34"/>
        <v>15974312500</v>
      </c>
      <c r="DE9" s="93">
        <f t="shared" si="34"/>
        <v>15974312500</v>
      </c>
      <c r="DF9" s="93">
        <f t="shared" si="34"/>
        <v>17334395000</v>
      </c>
      <c r="DG9" s="93">
        <f t="shared" si="34"/>
        <v>17334395000</v>
      </c>
      <c r="DH9" s="93">
        <f t="shared" si="34"/>
        <v>17334395000</v>
      </c>
      <c r="DI9" s="93">
        <f t="shared" si="34"/>
        <v>181115247500</v>
      </c>
      <c r="DK9" s="93">
        <f>SUM(DK10:DK12)</f>
        <v>0</v>
      </c>
      <c r="DL9" s="93">
        <f t="shared" ref="DL9:DW9" si="35">SUM(DL10:DL12)</f>
        <v>0</v>
      </c>
      <c r="DM9" s="93">
        <f t="shared" si="35"/>
        <v>0</v>
      </c>
      <c r="DN9" s="93">
        <f t="shared" si="35"/>
        <v>0</v>
      </c>
      <c r="DO9" s="93">
        <f t="shared" si="35"/>
        <v>0</v>
      </c>
      <c r="DP9" s="93">
        <f t="shared" si="35"/>
        <v>0</v>
      </c>
      <c r="DQ9" s="93">
        <f t="shared" si="35"/>
        <v>0</v>
      </c>
      <c r="DR9" s="93">
        <f t="shared" si="35"/>
        <v>0</v>
      </c>
      <c r="DS9" s="93">
        <f t="shared" si="35"/>
        <v>0</v>
      </c>
      <c r="DT9" s="93">
        <f t="shared" si="35"/>
        <v>0</v>
      </c>
      <c r="DU9" s="93">
        <f t="shared" si="35"/>
        <v>0</v>
      </c>
      <c r="DV9" s="93">
        <f t="shared" si="35"/>
        <v>0</v>
      </c>
      <c r="DW9" s="93">
        <f t="shared" si="35"/>
        <v>0</v>
      </c>
      <c r="DY9" s="93">
        <f>SUM(DY10:DY12)</f>
        <v>0</v>
      </c>
      <c r="DZ9" s="93">
        <f t="shared" ref="DZ9:EK9" si="36">SUM(DZ10:DZ12)</f>
        <v>0</v>
      </c>
      <c r="EA9" s="93">
        <f t="shared" si="36"/>
        <v>0</v>
      </c>
      <c r="EB9" s="93">
        <f t="shared" si="36"/>
        <v>0</v>
      </c>
      <c r="EC9" s="93">
        <f t="shared" si="36"/>
        <v>0</v>
      </c>
      <c r="ED9" s="93">
        <f t="shared" si="36"/>
        <v>0</v>
      </c>
      <c r="EE9" s="93">
        <f t="shared" si="36"/>
        <v>0</v>
      </c>
      <c r="EF9" s="93">
        <f t="shared" si="36"/>
        <v>0</v>
      </c>
      <c r="EG9" s="93">
        <f t="shared" si="36"/>
        <v>0</v>
      </c>
      <c r="EH9" s="93">
        <f t="shared" si="36"/>
        <v>0</v>
      </c>
      <c r="EI9" s="93">
        <f t="shared" si="36"/>
        <v>0</v>
      </c>
      <c r="EJ9" s="93">
        <f t="shared" si="36"/>
        <v>0</v>
      </c>
      <c r="EK9" s="93">
        <f t="shared" si="36"/>
        <v>0</v>
      </c>
    </row>
    <row r="10" spans="1:141" s="29" customFormat="1" outlineLevel="1">
      <c r="A10" s="36" t="s">
        <v>62</v>
      </c>
      <c r="B10" s="37" t="s">
        <v>1</v>
      </c>
      <c r="C10" s="311">
        <f t="shared" ref="C10:N12" si="37">Q10+AE10</f>
        <v>129505341136.8568</v>
      </c>
      <c r="D10" s="52">
        <f t="shared" si="37"/>
        <v>127974441177.86678</v>
      </c>
      <c r="E10" s="52">
        <f t="shared" si="37"/>
        <v>141599491827.82724</v>
      </c>
      <c r="F10" s="52">
        <f t="shared" si="37"/>
        <v>131782266518.60179</v>
      </c>
      <c r="G10" s="52">
        <f t="shared" si="37"/>
        <v>140244307484.73706</v>
      </c>
      <c r="H10" s="52">
        <f t="shared" si="37"/>
        <v>141409300219.24365</v>
      </c>
      <c r="I10" s="52">
        <f t="shared" si="37"/>
        <v>145404057387.95996</v>
      </c>
      <c r="J10" s="52">
        <f t="shared" si="37"/>
        <v>141276361518.14462</v>
      </c>
      <c r="K10" s="52">
        <f t="shared" si="37"/>
        <v>148196499542.28259</v>
      </c>
      <c r="L10" s="52">
        <f t="shared" si="37"/>
        <v>137984481243.16364</v>
      </c>
      <c r="M10" s="52">
        <f t="shared" si="37"/>
        <v>145929060338.8269</v>
      </c>
      <c r="N10" s="52">
        <f t="shared" si="37"/>
        <v>147442013746.17145</v>
      </c>
      <c r="O10" s="312">
        <f>SUM(C10:N10)</f>
        <v>1678747622141.6824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>
        <f>SUM(Q10:AB10)</f>
        <v>0</v>
      </c>
      <c r="AE10" s="313">
        <f t="shared" ref="AE10:AP12" si="38">AS10+BU10+CI10+CW10+DK10</f>
        <v>129505341136.8568</v>
      </c>
      <c r="AF10" s="52">
        <f t="shared" si="38"/>
        <v>127974441177.86678</v>
      </c>
      <c r="AG10" s="52">
        <f t="shared" si="38"/>
        <v>141599491827.82724</v>
      </c>
      <c r="AH10" s="52">
        <f t="shared" si="38"/>
        <v>131782266518.60179</v>
      </c>
      <c r="AI10" s="52">
        <f t="shared" si="38"/>
        <v>140244307484.73706</v>
      </c>
      <c r="AJ10" s="52">
        <f t="shared" si="38"/>
        <v>141409300219.24365</v>
      </c>
      <c r="AK10" s="52">
        <f t="shared" si="38"/>
        <v>145404057387.95996</v>
      </c>
      <c r="AL10" s="52">
        <f t="shared" si="38"/>
        <v>141276361518.14462</v>
      </c>
      <c r="AM10" s="52">
        <f t="shared" si="38"/>
        <v>148196499542.28259</v>
      </c>
      <c r="AN10" s="52">
        <f t="shared" si="38"/>
        <v>137984481243.16364</v>
      </c>
      <c r="AO10" s="52">
        <f t="shared" si="38"/>
        <v>145929060338.8269</v>
      </c>
      <c r="AP10" s="52">
        <f t="shared" si="38"/>
        <v>147442013746.17145</v>
      </c>
      <c r="AQ10" s="314">
        <f>SUM(AE10:AP10)</f>
        <v>1678747622141.6824</v>
      </c>
      <c r="AS10" s="52">
        <f>'PL-KH26-DTR'!BL5</f>
        <v>129505341136.8568</v>
      </c>
      <c r="AT10" s="52">
        <f>'PL-KH26-DTR'!BM5</f>
        <v>127974441177.86678</v>
      </c>
      <c r="AU10" s="52">
        <f>'PL-KH26-DTR'!BN5</f>
        <v>141599491827.82724</v>
      </c>
      <c r="AV10" s="52">
        <f>'PL-KH26-DTR'!BO5</f>
        <v>131782266518.60179</v>
      </c>
      <c r="AW10" s="52">
        <f>'PL-KH26-DTR'!BP5</f>
        <v>140244307484.73706</v>
      </c>
      <c r="AX10" s="52">
        <f>'PL-KH26-DTR'!BQ5</f>
        <v>141409300219.24365</v>
      </c>
      <c r="AY10" s="52">
        <f>'PL-KH26-DTR'!BR5</f>
        <v>145404057387.95996</v>
      </c>
      <c r="AZ10" s="52">
        <f>'PL-KH26-DTR'!BS5</f>
        <v>141276361518.14462</v>
      </c>
      <c r="BA10" s="52">
        <f>'PL-KH26-DTR'!BT5</f>
        <v>148196499542.28259</v>
      </c>
      <c r="BB10" s="52">
        <f>'PL-KH26-DTR'!BU5</f>
        <v>137984481243.16364</v>
      </c>
      <c r="BC10" s="52">
        <f>'PL-KH26-DTR'!BV5</f>
        <v>145929060338.8269</v>
      </c>
      <c r="BD10" s="52">
        <f>'PL-KH26-DTR'!BW5</f>
        <v>147442013746.17145</v>
      </c>
      <c r="BE10" s="52">
        <f>SUM(AS10:BD10)</f>
        <v>1678747622141.6824</v>
      </c>
      <c r="BG10" s="52">
        <f t="shared" ref="BG10:BR12" si="39">BU10+CI10+CW10</f>
        <v>0</v>
      </c>
      <c r="BH10" s="52">
        <f t="shared" si="39"/>
        <v>0</v>
      </c>
      <c r="BI10" s="52">
        <f t="shared" si="39"/>
        <v>0</v>
      </c>
      <c r="BJ10" s="52">
        <f t="shared" si="39"/>
        <v>0</v>
      </c>
      <c r="BK10" s="52">
        <f t="shared" si="39"/>
        <v>0</v>
      </c>
      <c r="BL10" s="52">
        <f t="shared" si="39"/>
        <v>0</v>
      </c>
      <c r="BM10" s="52">
        <f t="shared" si="39"/>
        <v>0</v>
      </c>
      <c r="BN10" s="52">
        <f t="shared" si="39"/>
        <v>0</v>
      </c>
      <c r="BO10" s="52">
        <f t="shared" si="39"/>
        <v>0</v>
      </c>
      <c r="BP10" s="52">
        <f t="shared" si="39"/>
        <v>0</v>
      </c>
      <c r="BQ10" s="52">
        <f t="shared" si="39"/>
        <v>0</v>
      </c>
      <c r="BR10" s="52">
        <f t="shared" si="39"/>
        <v>0</v>
      </c>
      <c r="BS10" s="52">
        <f>SUM(BG10:BR10)</f>
        <v>0</v>
      </c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>
        <f>SUM(BU10:CF10)</f>
        <v>0</v>
      </c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>
        <f>SUM(CI10:CT10)</f>
        <v>0</v>
      </c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>
        <f>SUM(CW10:DH10)</f>
        <v>0</v>
      </c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>
        <f>SUM(DK10:DV10)</f>
        <v>0</v>
      </c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>
        <f>SUM(DY10:EJ10)</f>
        <v>0</v>
      </c>
    </row>
    <row r="11" spans="1:141" s="29" customFormat="1" outlineLevel="1">
      <c r="A11" s="36" t="s">
        <v>65</v>
      </c>
      <c r="B11" s="37" t="s">
        <v>2</v>
      </c>
      <c r="C11" s="311">
        <f t="shared" si="37"/>
        <v>0</v>
      </c>
      <c r="D11" s="52">
        <f t="shared" si="37"/>
        <v>0</v>
      </c>
      <c r="E11" s="52">
        <f t="shared" si="37"/>
        <v>0</v>
      </c>
      <c r="F11" s="52">
        <f t="shared" si="37"/>
        <v>0</v>
      </c>
      <c r="G11" s="52">
        <f t="shared" si="37"/>
        <v>0</v>
      </c>
      <c r="H11" s="52">
        <f t="shared" si="37"/>
        <v>0</v>
      </c>
      <c r="I11" s="52">
        <f t="shared" si="37"/>
        <v>0</v>
      </c>
      <c r="J11" s="52">
        <f t="shared" si="37"/>
        <v>0</v>
      </c>
      <c r="K11" s="52">
        <f t="shared" si="37"/>
        <v>0</v>
      </c>
      <c r="L11" s="52">
        <f t="shared" si="37"/>
        <v>0</v>
      </c>
      <c r="M11" s="52">
        <f t="shared" si="37"/>
        <v>0</v>
      </c>
      <c r="N11" s="52">
        <f t="shared" si="37"/>
        <v>0</v>
      </c>
      <c r="O11" s="312">
        <f t="shared" ref="O11:O12" si="40">SUM(C11:N11)</f>
        <v>0</v>
      </c>
      <c r="Q11" s="52">
        <f>-AE11</f>
        <v>-28404956250</v>
      </c>
      <c r="R11" s="52">
        <f t="shared" ref="R11:AB11" si="41">-AF11</f>
        <v>-20210556250</v>
      </c>
      <c r="S11" s="52">
        <f t="shared" si="41"/>
        <v>-33329800000</v>
      </c>
      <c r="T11" s="52">
        <f t="shared" si="41"/>
        <v>-40468427500</v>
      </c>
      <c r="U11" s="52">
        <f t="shared" si="41"/>
        <v>-41125912500</v>
      </c>
      <c r="V11" s="52">
        <f t="shared" si="41"/>
        <v>-41125912500</v>
      </c>
      <c r="W11" s="52">
        <f t="shared" si="41"/>
        <v>-41783397500</v>
      </c>
      <c r="X11" s="52">
        <f t="shared" si="41"/>
        <v>-41806927500</v>
      </c>
      <c r="Y11" s="52">
        <f t="shared" si="41"/>
        <v>-41148537500</v>
      </c>
      <c r="Z11" s="52">
        <f t="shared" si="41"/>
        <v>-43154042500</v>
      </c>
      <c r="AA11" s="52">
        <f t="shared" si="41"/>
        <v>-42496151250</v>
      </c>
      <c r="AB11" s="52">
        <f t="shared" si="41"/>
        <v>-43143480000</v>
      </c>
      <c r="AC11" s="52">
        <f t="shared" ref="AC11:AC12" si="42">SUM(Q11:AB11)</f>
        <v>-458198101250</v>
      </c>
      <c r="AE11" s="313">
        <f t="shared" si="38"/>
        <v>28404956250</v>
      </c>
      <c r="AF11" s="52">
        <f t="shared" si="38"/>
        <v>20210556250</v>
      </c>
      <c r="AG11" s="52">
        <f t="shared" si="38"/>
        <v>33329800000</v>
      </c>
      <c r="AH11" s="52">
        <f t="shared" si="38"/>
        <v>40468427500</v>
      </c>
      <c r="AI11" s="52">
        <f t="shared" si="38"/>
        <v>41125912500</v>
      </c>
      <c r="AJ11" s="52">
        <f t="shared" si="38"/>
        <v>41125912500</v>
      </c>
      <c r="AK11" s="52">
        <f t="shared" si="38"/>
        <v>41783397500</v>
      </c>
      <c r="AL11" s="52">
        <f t="shared" si="38"/>
        <v>41806927500</v>
      </c>
      <c r="AM11" s="52">
        <f t="shared" si="38"/>
        <v>41148537500</v>
      </c>
      <c r="AN11" s="52">
        <f t="shared" si="38"/>
        <v>43154042500</v>
      </c>
      <c r="AO11" s="52">
        <f t="shared" si="38"/>
        <v>42496151250</v>
      </c>
      <c r="AP11" s="52">
        <f t="shared" si="38"/>
        <v>43143480000</v>
      </c>
      <c r="AQ11" s="314">
        <f t="shared" ref="AQ11:AQ12" si="43">SUM(AE11:AP11)</f>
        <v>458198101250</v>
      </c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>
        <f t="shared" ref="BE11:BE12" si="44">SUM(AS11:BD11)</f>
        <v>0</v>
      </c>
      <c r="BG11" s="52">
        <f t="shared" si="39"/>
        <v>28404956250</v>
      </c>
      <c r="BH11" s="52">
        <f t="shared" si="39"/>
        <v>20210556250</v>
      </c>
      <c r="BI11" s="52">
        <f t="shared" si="39"/>
        <v>33329800000</v>
      </c>
      <c r="BJ11" s="52">
        <f t="shared" si="39"/>
        <v>40468427500</v>
      </c>
      <c r="BK11" s="52">
        <f t="shared" si="39"/>
        <v>41125912500</v>
      </c>
      <c r="BL11" s="52">
        <f t="shared" si="39"/>
        <v>41125912500</v>
      </c>
      <c r="BM11" s="52">
        <f t="shared" si="39"/>
        <v>41783397500</v>
      </c>
      <c r="BN11" s="52">
        <f t="shared" si="39"/>
        <v>41806927500</v>
      </c>
      <c r="BO11" s="52">
        <f t="shared" si="39"/>
        <v>41148537500</v>
      </c>
      <c r="BP11" s="52">
        <f t="shared" si="39"/>
        <v>43154042500</v>
      </c>
      <c r="BQ11" s="52">
        <f t="shared" si="39"/>
        <v>42496151250</v>
      </c>
      <c r="BR11" s="52">
        <f t="shared" si="39"/>
        <v>43143480000</v>
      </c>
      <c r="BS11" s="52">
        <f t="shared" ref="BS11:BS12" si="45">SUM(BG11:BR11)</f>
        <v>458198101250</v>
      </c>
      <c r="BU11" s="52">
        <f>'PL-KH26-DongLam'!G10</f>
        <v>9420187500</v>
      </c>
      <c r="BV11" s="52">
        <f>'PL-KH26-DongLam'!H10</f>
        <v>5652112500</v>
      </c>
      <c r="BW11" s="52">
        <f>'PL-KH26-DongLam'!I10</f>
        <v>12443100000</v>
      </c>
      <c r="BX11" s="52">
        <f>'PL-KH26-DongLam'!J10</f>
        <v>15779640000</v>
      </c>
      <c r="BY11" s="52">
        <f>'PL-KH26-DongLam'!K10</f>
        <v>16437125000</v>
      </c>
      <c r="BZ11" s="52">
        <f>'PL-KH26-DongLam'!L10</f>
        <v>16437125000</v>
      </c>
      <c r="CA11" s="52">
        <f>'PL-KH26-DongLam'!M10</f>
        <v>17094610000</v>
      </c>
      <c r="CB11" s="52">
        <f>'PL-KH26-DongLam'!N10</f>
        <v>17118140000</v>
      </c>
      <c r="CC11" s="52">
        <f>'PL-KH26-DongLam'!O10</f>
        <v>16459750000</v>
      </c>
      <c r="CD11" s="52">
        <f>'PL-KH26-DongLam'!P10</f>
        <v>17105172500</v>
      </c>
      <c r="CE11" s="52">
        <f>'PL-KH26-DongLam'!Q10</f>
        <v>16447281250</v>
      </c>
      <c r="CF11" s="52">
        <f>'PL-KH26-DongLam'!R10</f>
        <v>17094610000</v>
      </c>
      <c r="CG11" s="52">
        <f t="shared" ref="CG11:CG12" si="46">SUM(BU11:CF11)</f>
        <v>177488853750</v>
      </c>
      <c r="CI11" s="52">
        <f>'PL-KH26-KhanhNga'!G9</f>
        <v>7469550000</v>
      </c>
      <c r="CJ11" s="52">
        <f>'PL-KH26-KhanhNga'!H9</f>
        <v>5602162500</v>
      </c>
      <c r="CK11" s="52">
        <f>'PL-KH26-KhanhNga'!I9</f>
        <v>8092012500</v>
      </c>
      <c r="CL11" s="52">
        <f>'PL-KH26-KhanhNga'!J9</f>
        <v>8714475000</v>
      </c>
      <c r="CM11" s="52">
        <f>'PL-KH26-KhanhNga'!K9</f>
        <v>8714475000</v>
      </c>
      <c r="CN11" s="52">
        <f>'PL-KH26-KhanhNga'!L9</f>
        <v>8714475000</v>
      </c>
      <c r="CO11" s="52">
        <f>'PL-KH26-KhanhNga'!M9</f>
        <v>8714475000</v>
      </c>
      <c r="CP11" s="52">
        <f>'PL-KH26-KhanhNga'!N9</f>
        <v>8714475000</v>
      </c>
      <c r="CQ11" s="52">
        <f>'PL-KH26-KhanhNga'!O9</f>
        <v>8714475000</v>
      </c>
      <c r="CR11" s="52">
        <f>'PL-KH26-KhanhNga'!P9</f>
        <v>8714475000</v>
      </c>
      <c r="CS11" s="52">
        <f>'PL-KH26-KhanhNga'!Q9</f>
        <v>8714475000</v>
      </c>
      <c r="CT11" s="52">
        <f>'PL-KH26-KhanhNga'!R9</f>
        <v>8714475000</v>
      </c>
      <c r="CU11" s="52">
        <f t="shared" ref="CU11:CU12" si="47">SUM(CI11:CT11)</f>
        <v>99594000000</v>
      </c>
      <c r="CW11" s="52">
        <f>'PL-KH26-DaiLoc'!F10</f>
        <v>11515218750</v>
      </c>
      <c r="CX11" s="52">
        <f>'PL-KH26-DaiLoc'!G10</f>
        <v>8956281250</v>
      </c>
      <c r="CY11" s="52">
        <f>'PL-KH26-DaiLoc'!H10</f>
        <v>12794687500</v>
      </c>
      <c r="CZ11" s="52">
        <f>'PL-KH26-DaiLoc'!I10</f>
        <v>15974312500</v>
      </c>
      <c r="DA11" s="52">
        <f>'PL-KH26-DaiLoc'!J10</f>
        <v>15974312500</v>
      </c>
      <c r="DB11" s="52">
        <f>'PL-KH26-DaiLoc'!K10</f>
        <v>15974312500</v>
      </c>
      <c r="DC11" s="52">
        <f>'PL-KH26-DaiLoc'!L10</f>
        <v>15974312500</v>
      </c>
      <c r="DD11" s="52">
        <f>'PL-KH26-DaiLoc'!M10</f>
        <v>15974312500</v>
      </c>
      <c r="DE11" s="52">
        <f>'PL-KH26-DaiLoc'!N10</f>
        <v>15974312500</v>
      </c>
      <c r="DF11" s="52">
        <f>'PL-KH26-DaiLoc'!O10</f>
        <v>17334395000</v>
      </c>
      <c r="DG11" s="52">
        <f>'PL-KH26-DaiLoc'!P10</f>
        <v>17334395000</v>
      </c>
      <c r="DH11" s="52">
        <f>'PL-KH26-DaiLoc'!Q10</f>
        <v>17334395000</v>
      </c>
      <c r="DI11" s="52">
        <f t="shared" ref="DI11:DI12" si="48">SUM(CW11:DH11)</f>
        <v>181115247500</v>
      </c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>
        <f t="shared" ref="DW11:DW12" si="49">SUM(DK11:DV11)</f>
        <v>0</v>
      </c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>
        <f t="shared" ref="EK11:EK12" si="50">SUM(DY11:EJ11)</f>
        <v>0</v>
      </c>
    </row>
    <row r="12" spans="1:141" s="29" customFormat="1" outlineLevel="1">
      <c r="A12" s="36" t="s">
        <v>71</v>
      </c>
      <c r="B12" s="37" t="s">
        <v>3</v>
      </c>
      <c r="C12" s="311">
        <f t="shared" si="37"/>
        <v>0</v>
      </c>
      <c r="D12" s="52">
        <f t="shared" si="37"/>
        <v>0</v>
      </c>
      <c r="E12" s="52">
        <f t="shared" si="37"/>
        <v>0</v>
      </c>
      <c r="F12" s="52">
        <f t="shared" si="37"/>
        <v>0</v>
      </c>
      <c r="G12" s="52">
        <f t="shared" si="37"/>
        <v>0</v>
      </c>
      <c r="H12" s="52">
        <f t="shared" si="37"/>
        <v>0</v>
      </c>
      <c r="I12" s="52">
        <f t="shared" si="37"/>
        <v>0</v>
      </c>
      <c r="J12" s="52">
        <f t="shared" si="37"/>
        <v>0</v>
      </c>
      <c r="K12" s="52">
        <f t="shared" si="37"/>
        <v>0</v>
      </c>
      <c r="L12" s="52">
        <f t="shared" si="37"/>
        <v>0</v>
      </c>
      <c r="M12" s="52">
        <f t="shared" si="37"/>
        <v>0</v>
      </c>
      <c r="N12" s="52">
        <f t="shared" si="37"/>
        <v>0</v>
      </c>
      <c r="O12" s="312">
        <f t="shared" si="40"/>
        <v>0</v>
      </c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>
        <f t="shared" si="42"/>
        <v>0</v>
      </c>
      <c r="AE12" s="313">
        <f t="shared" si="38"/>
        <v>0</v>
      </c>
      <c r="AF12" s="52">
        <f t="shared" si="38"/>
        <v>0</v>
      </c>
      <c r="AG12" s="52">
        <f t="shared" si="38"/>
        <v>0</v>
      </c>
      <c r="AH12" s="52">
        <f t="shared" si="38"/>
        <v>0</v>
      </c>
      <c r="AI12" s="52">
        <f t="shared" si="38"/>
        <v>0</v>
      </c>
      <c r="AJ12" s="52">
        <f t="shared" si="38"/>
        <v>0</v>
      </c>
      <c r="AK12" s="52">
        <f t="shared" si="38"/>
        <v>0</v>
      </c>
      <c r="AL12" s="52">
        <f t="shared" si="38"/>
        <v>0</v>
      </c>
      <c r="AM12" s="52">
        <f t="shared" si="38"/>
        <v>0</v>
      </c>
      <c r="AN12" s="52">
        <f t="shared" si="38"/>
        <v>0</v>
      </c>
      <c r="AO12" s="52">
        <f t="shared" si="38"/>
        <v>0</v>
      </c>
      <c r="AP12" s="52">
        <f t="shared" si="38"/>
        <v>0</v>
      </c>
      <c r="AQ12" s="314">
        <f t="shared" si="43"/>
        <v>0</v>
      </c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>
        <f t="shared" si="44"/>
        <v>0</v>
      </c>
      <c r="BG12" s="52">
        <f t="shared" si="39"/>
        <v>0</v>
      </c>
      <c r="BH12" s="52">
        <f t="shared" si="39"/>
        <v>0</v>
      </c>
      <c r="BI12" s="52">
        <f t="shared" si="39"/>
        <v>0</v>
      </c>
      <c r="BJ12" s="52">
        <f t="shared" si="39"/>
        <v>0</v>
      </c>
      <c r="BK12" s="52">
        <f t="shared" si="39"/>
        <v>0</v>
      </c>
      <c r="BL12" s="52">
        <f t="shared" si="39"/>
        <v>0</v>
      </c>
      <c r="BM12" s="52">
        <f t="shared" si="39"/>
        <v>0</v>
      </c>
      <c r="BN12" s="52">
        <f t="shared" si="39"/>
        <v>0</v>
      </c>
      <c r="BO12" s="52">
        <f t="shared" si="39"/>
        <v>0</v>
      </c>
      <c r="BP12" s="52">
        <f t="shared" si="39"/>
        <v>0</v>
      </c>
      <c r="BQ12" s="52">
        <f t="shared" si="39"/>
        <v>0</v>
      </c>
      <c r="BR12" s="52">
        <f t="shared" si="39"/>
        <v>0</v>
      </c>
      <c r="BS12" s="52">
        <f t="shared" si="45"/>
        <v>0</v>
      </c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>
        <f t="shared" si="46"/>
        <v>0</v>
      </c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>
        <f t="shared" si="47"/>
        <v>0</v>
      </c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>
        <f t="shared" si="48"/>
        <v>0</v>
      </c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>
        <f t="shared" si="49"/>
        <v>0</v>
      </c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>
        <f t="shared" si="50"/>
        <v>0</v>
      </c>
    </row>
    <row r="13" spans="1:141" s="51" customFormat="1">
      <c r="A13" s="50">
        <v>3</v>
      </c>
      <c r="B13" s="91" t="s">
        <v>21</v>
      </c>
      <c r="C13" s="315">
        <f>SUM(C14:C16)</f>
        <v>0</v>
      </c>
      <c r="D13" s="92">
        <f t="shared" ref="D13:O13" si="51">SUM(D14:D16)</f>
        <v>0</v>
      </c>
      <c r="E13" s="92">
        <f t="shared" si="51"/>
        <v>0</v>
      </c>
      <c r="F13" s="92">
        <f t="shared" si="51"/>
        <v>0</v>
      </c>
      <c r="G13" s="92">
        <f t="shared" si="51"/>
        <v>0</v>
      </c>
      <c r="H13" s="92">
        <f t="shared" si="51"/>
        <v>0</v>
      </c>
      <c r="I13" s="92">
        <f t="shared" si="51"/>
        <v>0</v>
      </c>
      <c r="J13" s="92">
        <f t="shared" si="51"/>
        <v>0</v>
      </c>
      <c r="K13" s="92">
        <f t="shared" si="51"/>
        <v>0</v>
      </c>
      <c r="L13" s="92">
        <f t="shared" si="51"/>
        <v>0</v>
      </c>
      <c r="M13" s="92">
        <f t="shared" si="51"/>
        <v>0</v>
      </c>
      <c r="N13" s="92">
        <f t="shared" si="51"/>
        <v>0</v>
      </c>
      <c r="O13" s="316">
        <f t="shared" si="51"/>
        <v>0</v>
      </c>
      <c r="Q13" s="92">
        <f>SUM(Q14:Q16)</f>
        <v>0</v>
      </c>
      <c r="R13" s="92">
        <f t="shared" ref="R13:AC13" si="52">SUM(R14:R16)</f>
        <v>0</v>
      </c>
      <c r="S13" s="92">
        <f t="shared" si="52"/>
        <v>0</v>
      </c>
      <c r="T13" s="92">
        <f t="shared" si="52"/>
        <v>0</v>
      </c>
      <c r="U13" s="92">
        <f t="shared" si="52"/>
        <v>0</v>
      </c>
      <c r="V13" s="92">
        <f t="shared" si="52"/>
        <v>0</v>
      </c>
      <c r="W13" s="92">
        <f t="shared" si="52"/>
        <v>0</v>
      </c>
      <c r="X13" s="92">
        <f t="shared" si="52"/>
        <v>0</v>
      </c>
      <c r="Y13" s="92">
        <f t="shared" si="52"/>
        <v>0</v>
      </c>
      <c r="Z13" s="92">
        <f t="shared" si="52"/>
        <v>0</v>
      </c>
      <c r="AA13" s="92">
        <f t="shared" si="52"/>
        <v>0</v>
      </c>
      <c r="AB13" s="92">
        <f t="shared" si="52"/>
        <v>0</v>
      </c>
      <c r="AC13" s="92">
        <f t="shared" si="52"/>
        <v>0</v>
      </c>
      <c r="AE13" s="317">
        <f>SUM(AE14:AE16)</f>
        <v>0</v>
      </c>
      <c r="AF13" s="92">
        <f t="shared" ref="AF13:AQ13" si="53">SUM(AF14:AF16)</f>
        <v>0</v>
      </c>
      <c r="AG13" s="92">
        <f t="shared" si="53"/>
        <v>0</v>
      </c>
      <c r="AH13" s="92">
        <f t="shared" si="53"/>
        <v>0</v>
      </c>
      <c r="AI13" s="92">
        <f t="shared" si="53"/>
        <v>0</v>
      </c>
      <c r="AJ13" s="92">
        <f t="shared" si="53"/>
        <v>0</v>
      </c>
      <c r="AK13" s="92">
        <f t="shared" si="53"/>
        <v>0</v>
      </c>
      <c r="AL13" s="92">
        <f t="shared" si="53"/>
        <v>0</v>
      </c>
      <c r="AM13" s="92">
        <f t="shared" si="53"/>
        <v>0</v>
      </c>
      <c r="AN13" s="92">
        <f t="shared" si="53"/>
        <v>0</v>
      </c>
      <c r="AO13" s="92">
        <f t="shared" si="53"/>
        <v>0</v>
      </c>
      <c r="AP13" s="92">
        <f t="shared" si="53"/>
        <v>0</v>
      </c>
      <c r="AQ13" s="318">
        <f t="shared" si="53"/>
        <v>0</v>
      </c>
      <c r="AS13" s="92">
        <f>SUM(AS14:AS16)</f>
        <v>0</v>
      </c>
      <c r="AT13" s="92">
        <f t="shared" ref="AT13:BE13" si="54">SUM(AT14:AT16)</f>
        <v>0</v>
      </c>
      <c r="AU13" s="92">
        <f t="shared" si="54"/>
        <v>0</v>
      </c>
      <c r="AV13" s="92">
        <f t="shared" si="54"/>
        <v>0</v>
      </c>
      <c r="AW13" s="92">
        <f t="shared" si="54"/>
        <v>0</v>
      </c>
      <c r="AX13" s="92">
        <f t="shared" si="54"/>
        <v>0</v>
      </c>
      <c r="AY13" s="92">
        <f t="shared" si="54"/>
        <v>0</v>
      </c>
      <c r="AZ13" s="92">
        <f t="shared" si="54"/>
        <v>0</v>
      </c>
      <c r="BA13" s="92">
        <f t="shared" si="54"/>
        <v>0</v>
      </c>
      <c r="BB13" s="92">
        <f t="shared" si="54"/>
        <v>0</v>
      </c>
      <c r="BC13" s="92">
        <f t="shared" si="54"/>
        <v>0</v>
      </c>
      <c r="BD13" s="92">
        <f t="shared" si="54"/>
        <v>0</v>
      </c>
      <c r="BE13" s="92">
        <f t="shared" si="54"/>
        <v>0</v>
      </c>
      <c r="BG13" s="92">
        <f>SUM(BG14:BG16)</f>
        <v>0</v>
      </c>
      <c r="BH13" s="92">
        <f t="shared" ref="BH13:BS13" si="55">SUM(BH14:BH16)</f>
        <v>0</v>
      </c>
      <c r="BI13" s="92">
        <f t="shared" si="55"/>
        <v>0</v>
      </c>
      <c r="BJ13" s="92">
        <f t="shared" si="55"/>
        <v>0</v>
      </c>
      <c r="BK13" s="92">
        <f t="shared" si="55"/>
        <v>0</v>
      </c>
      <c r="BL13" s="92">
        <f t="shared" si="55"/>
        <v>0</v>
      </c>
      <c r="BM13" s="92">
        <f t="shared" si="55"/>
        <v>0</v>
      </c>
      <c r="BN13" s="92">
        <f t="shared" si="55"/>
        <v>0</v>
      </c>
      <c r="BO13" s="92">
        <f t="shared" si="55"/>
        <v>0</v>
      </c>
      <c r="BP13" s="92">
        <f t="shared" si="55"/>
        <v>0</v>
      </c>
      <c r="BQ13" s="92">
        <f t="shared" si="55"/>
        <v>0</v>
      </c>
      <c r="BR13" s="92">
        <f t="shared" si="55"/>
        <v>0</v>
      </c>
      <c r="BS13" s="92">
        <f t="shared" si="55"/>
        <v>0</v>
      </c>
      <c r="BU13" s="92">
        <f>SUM(BU14:BU16)</f>
        <v>0</v>
      </c>
      <c r="BV13" s="92">
        <f t="shared" ref="BV13:CG13" si="56">SUM(BV14:BV16)</f>
        <v>0</v>
      </c>
      <c r="BW13" s="92">
        <f t="shared" si="56"/>
        <v>0</v>
      </c>
      <c r="BX13" s="92">
        <f t="shared" si="56"/>
        <v>0</v>
      </c>
      <c r="BY13" s="92">
        <f t="shared" si="56"/>
        <v>0</v>
      </c>
      <c r="BZ13" s="92">
        <f t="shared" si="56"/>
        <v>0</v>
      </c>
      <c r="CA13" s="92">
        <f t="shared" si="56"/>
        <v>0</v>
      </c>
      <c r="CB13" s="92">
        <f t="shared" si="56"/>
        <v>0</v>
      </c>
      <c r="CC13" s="92">
        <f t="shared" si="56"/>
        <v>0</v>
      </c>
      <c r="CD13" s="92">
        <f t="shared" si="56"/>
        <v>0</v>
      </c>
      <c r="CE13" s="92">
        <f t="shared" si="56"/>
        <v>0</v>
      </c>
      <c r="CF13" s="92">
        <f t="shared" si="56"/>
        <v>0</v>
      </c>
      <c r="CG13" s="92">
        <f t="shared" si="56"/>
        <v>0</v>
      </c>
      <c r="CI13" s="92">
        <f>SUM(CI14:CI16)</f>
        <v>0</v>
      </c>
      <c r="CJ13" s="92">
        <f t="shared" ref="CJ13:CU13" si="57">SUM(CJ14:CJ16)</f>
        <v>0</v>
      </c>
      <c r="CK13" s="92">
        <f t="shared" si="57"/>
        <v>0</v>
      </c>
      <c r="CL13" s="92">
        <f t="shared" si="57"/>
        <v>0</v>
      </c>
      <c r="CM13" s="92">
        <f t="shared" si="57"/>
        <v>0</v>
      </c>
      <c r="CN13" s="92">
        <f t="shared" si="57"/>
        <v>0</v>
      </c>
      <c r="CO13" s="92">
        <f t="shared" si="57"/>
        <v>0</v>
      </c>
      <c r="CP13" s="92">
        <f t="shared" si="57"/>
        <v>0</v>
      </c>
      <c r="CQ13" s="92">
        <f t="shared" si="57"/>
        <v>0</v>
      </c>
      <c r="CR13" s="92">
        <f t="shared" si="57"/>
        <v>0</v>
      </c>
      <c r="CS13" s="92">
        <f t="shared" si="57"/>
        <v>0</v>
      </c>
      <c r="CT13" s="92">
        <f t="shared" si="57"/>
        <v>0</v>
      </c>
      <c r="CU13" s="92">
        <f t="shared" si="57"/>
        <v>0</v>
      </c>
      <c r="CW13" s="92">
        <f>SUM(CW14:CW16)</f>
        <v>0</v>
      </c>
      <c r="CX13" s="92">
        <f t="shared" ref="CX13:DI13" si="58">SUM(CX14:CX16)</f>
        <v>0</v>
      </c>
      <c r="CY13" s="92">
        <f t="shared" si="58"/>
        <v>0</v>
      </c>
      <c r="CZ13" s="92">
        <f t="shared" si="58"/>
        <v>0</v>
      </c>
      <c r="DA13" s="92">
        <f t="shared" si="58"/>
        <v>0</v>
      </c>
      <c r="DB13" s="92">
        <f t="shared" si="58"/>
        <v>0</v>
      </c>
      <c r="DC13" s="92">
        <f t="shared" si="58"/>
        <v>0</v>
      </c>
      <c r="DD13" s="92">
        <f t="shared" si="58"/>
        <v>0</v>
      </c>
      <c r="DE13" s="92">
        <f t="shared" si="58"/>
        <v>0</v>
      </c>
      <c r="DF13" s="92">
        <f t="shared" si="58"/>
        <v>0</v>
      </c>
      <c r="DG13" s="92">
        <f t="shared" si="58"/>
        <v>0</v>
      </c>
      <c r="DH13" s="92">
        <f t="shared" si="58"/>
        <v>0</v>
      </c>
      <c r="DI13" s="92">
        <f t="shared" si="58"/>
        <v>0</v>
      </c>
      <c r="DK13" s="92">
        <f>SUM(DK14:DK16)</f>
        <v>0</v>
      </c>
      <c r="DL13" s="92">
        <f t="shared" ref="DL13:DW13" si="59">SUM(DL14:DL16)</f>
        <v>0</v>
      </c>
      <c r="DM13" s="92">
        <f t="shared" si="59"/>
        <v>0</v>
      </c>
      <c r="DN13" s="92">
        <f t="shared" si="59"/>
        <v>0</v>
      </c>
      <c r="DO13" s="92">
        <f t="shared" si="59"/>
        <v>0</v>
      </c>
      <c r="DP13" s="92">
        <f t="shared" si="59"/>
        <v>0</v>
      </c>
      <c r="DQ13" s="92">
        <f t="shared" si="59"/>
        <v>0</v>
      </c>
      <c r="DR13" s="92">
        <f t="shared" si="59"/>
        <v>0</v>
      </c>
      <c r="DS13" s="92">
        <f t="shared" si="59"/>
        <v>0</v>
      </c>
      <c r="DT13" s="92">
        <f t="shared" si="59"/>
        <v>0</v>
      </c>
      <c r="DU13" s="92">
        <f t="shared" si="59"/>
        <v>0</v>
      </c>
      <c r="DV13" s="92">
        <f t="shared" si="59"/>
        <v>0</v>
      </c>
      <c r="DW13" s="92">
        <f t="shared" si="59"/>
        <v>0</v>
      </c>
      <c r="DY13" s="92">
        <f>SUM(DY14:DY16)</f>
        <v>0</v>
      </c>
      <c r="DZ13" s="92">
        <f t="shared" ref="DZ13:EK13" si="60">SUM(DZ14:DZ16)</f>
        <v>0</v>
      </c>
      <c r="EA13" s="92">
        <f t="shared" si="60"/>
        <v>0</v>
      </c>
      <c r="EB13" s="92">
        <f t="shared" si="60"/>
        <v>0</v>
      </c>
      <c r="EC13" s="92">
        <f t="shared" si="60"/>
        <v>0</v>
      </c>
      <c r="ED13" s="92">
        <f t="shared" si="60"/>
        <v>0</v>
      </c>
      <c r="EE13" s="92">
        <f t="shared" si="60"/>
        <v>0</v>
      </c>
      <c r="EF13" s="92">
        <f t="shared" si="60"/>
        <v>0</v>
      </c>
      <c r="EG13" s="92">
        <f t="shared" si="60"/>
        <v>0</v>
      </c>
      <c r="EH13" s="92">
        <f t="shared" si="60"/>
        <v>0</v>
      </c>
      <c r="EI13" s="92">
        <f t="shared" si="60"/>
        <v>0</v>
      </c>
      <c r="EJ13" s="92">
        <f t="shared" si="60"/>
        <v>0</v>
      </c>
      <c r="EK13" s="92">
        <f t="shared" si="60"/>
        <v>0</v>
      </c>
    </row>
    <row r="14" spans="1:141" outlineLevel="1">
      <c r="A14" s="38" t="s">
        <v>63</v>
      </c>
      <c r="B14" s="39" t="s">
        <v>1</v>
      </c>
      <c r="C14" s="319">
        <f t="shared" ref="C14:N16" si="61">Q14+AE14</f>
        <v>0</v>
      </c>
      <c r="D14" s="54">
        <f t="shared" si="61"/>
        <v>0</v>
      </c>
      <c r="E14" s="54">
        <f t="shared" si="61"/>
        <v>0</v>
      </c>
      <c r="F14" s="54">
        <f t="shared" si="61"/>
        <v>0</v>
      </c>
      <c r="G14" s="54">
        <f t="shared" si="61"/>
        <v>0</v>
      </c>
      <c r="H14" s="54">
        <f t="shared" si="61"/>
        <v>0</v>
      </c>
      <c r="I14" s="54">
        <f t="shared" si="61"/>
        <v>0</v>
      </c>
      <c r="J14" s="54">
        <f t="shared" si="61"/>
        <v>0</v>
      </c>
      <c r="K14" s="54">
        <f t="shared" si="61"/>
        <v>0</v>
      </c>
      <c r="L14" s="54">
        <f t="shared" si="61"/>
        <v>0</v>
      </c>
      <c r="M14" s="54">
        <f t="shared" si="61"/>
        <v>0</v>
      </c>
      <c r="N14" s="54">
        <f t="shared" si="61"/>
        <v>0</v>
      </c>
      <c r="O14" s="320">
        <f>SUM(C14:N14)</f>
        <v>0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>
        <f>SUM(Q14:AB14)</f>
        <v>0</v>
      </c>
      <c r="AE14" s="321">
        <f t="shared" ref="AE14:AP16" si="62">AS14+BU14+CI14+CW14+DK14</f>
        <v>0</v>
      </c>
      <c r="AF14" s="54">
        <f t="shared" si="62"/>
        <v>0</v>
      </c>
      <c r="AG14" s="54">
        <f t="shared" si="62"/>
        <v>0</v>
      </c>
      <c r="AH14" s="54">
        <f t="shared" si="62"/>
        <v>0</v>
      </c>
      <c r="AI14" s="54">
        <f t="shared" si="62"/>
        <v>0</v>
      </c>
      <c r="AJ14" s="54">
        <f t="shared" si="62"/>
        <v>0</v>
      </c>
      <c r="AK14" s="54">
        <f t="shared" si="62"/>
        <v>0</v>
      </c>
      <c r="AL14" s="54">
        <f t="shared" si="62"/>
        <v>0</v>
      </c>
      <c r="AM14" s="54">
        <f t="shared" si="62"/>
        <v>0</v>
      </c>
      <c r="AN14" s="54">
        <f t="shared" si="62"/>
        <v>0</v>
      </c>
      <c r="AO14" s="54">
        <f t="shared" si="62"/>
        <v>0</v>
      </c>
      <c r="AP14" s="54">
        <f t="shared" si="62"/>
        <v>0</v>
      </c>
      <c r="AQ14" s="322">
        <f>SUM(AE14:AP14)</f>
        <v>0</v>
      </c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>
        <f>SUM(AS14:BD14)</f>
        <v>0</v>
      </c>
      <c r="BG14" s="54">
        <f t="shared" ref="BG14:BR16" si="63">BU14+CI14+CW14</f>
        <v>0</v>
      </c>
      <c r="BH14" s="54">
        <f t="shared" si="63"/>
        <v>0</v>
      </c>
      <c r="BI14" s="54">
        <f t="shared" si="63"/>
        <v>0</v>
      </c>
      <c r="BJ14" s="54">
        <f t="shared" si="63"/>
        <v>0</v>
      </c>
      <c r="BK14" s="54">
        <f t="shared" si="63"/>
        <v>0</v>
      </c>
      <c r="BL14" s="54">
        <f t="shared" si="63"/>
        <v>0</v>
      </c>
      <c r="BM14" s="54">
        <f t="shared" si="63"/>
        <v>0</v>
      </c>
      <c r="BN14" s="54">
        <f t="shared" si="63"/>
        <v>0</v>
      </c>
      <c r="BO14" s="54">
        <f t="shared" si="63"/>
        <v>0</v>
      </c>
      <c r="BP14" s="54">
        <f t="shared" si="63"/>
        <v>0</v>
      </c>
      <c r="BQ14" s="54">
        <f t="shared" si="63"/>
        <v>0</v>
      </c>
      <c r="BR14" s="54">
        <f t="shared" si="63"/>
        <v>0</v>
      </c>
      <c r="BS14" s="54">
        <f>SUM(BG14:BR14)</f>
        <v>0</v>
      </c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>
        <f>SUM(BU14:CF14)</f>
        <v>0</v>
      </c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>
        <f>SUM(CI14:CT14)</f>
        <v>0</v>
      </c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>
        <f>SUM(CW14:DH14)</f>
        <v>0</v>
      </c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>
        <f>SUM(DK14:DV14)</f>
        <v>0</v>
      </c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>
        <f>SUM(DY14:EJ14)</f>
        <v>0</v>
      </c>
    </row>
    <row r="15" spans="1:141" outlineLevel="1">
      <c r="A15" s="38" t="s">
        <v>66</v>
      </c>
      <c r="B15" s="39" t="s">
        <v>2</v>
      </c>
      <c r="C15" s="319">
        <f t="shared" si="61"/>
        <v>0</v>
      </c>
      <c r="D15" s="54">
        <f t="shared" si="61"/>
        <v>0</v>
      </c>
      <c r="E15" s="54">
        <f t="shared" si="61"/>
        <v>0</v>
      </c>
      <c r="F15" s="54">
        <f t="shared" si="61"/>
        <v>0</v>
      </c>
      <c r="G15" s="54">
        <f t="shared" si="61"/>
        <v>0</v>
      </c>
      <c r="H15" s="54">
        <f t="shared" si="61"/>
        <v>0</v>
      </c>
      <c r="I15" s="54">
        <f t="shared" si="61"/>
        <v>0</v>
      </c>
      <c r="J15" s="54">
        <f t="shared" si="61"/>
        <v>0</v>
      </c>
      <c r="K15" s="54">
        <f t="shared" si="61"/>
        <v>0</v>
      </c>
      <c r="L15" s="54">
        <f t="shared" si="61"/>
        <v>0</v>
      </c>
      <c r="M15" s="54">
        <f t="shared" si="61"/>
        <v>0</v>
      </c>
      <c r="N15" s="54">
        <f t="shared" si="61"/>
        <v>0</v>
      </c>
      <c r="O15" s="320">
        <f t="shared" ref="O15:O16" si="64">SUM(C15:N15)</f>
        <v>0</v>
      </c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>
        <f t="shared" ref="AC15:AC16" si="65">SUM(Q15:AB15)</f>
        <v>0</v>
      </c>
      <c r="AE15" s="321">
        <f t="shared" si="62"/>
        <v>0</v>
      </c>
      <c r="AF15" s="54">
        <f t="shared" si="62"/>
        <v>0</v>
      </c>
      <c r="AG15" s="54">
        <f t="shared" si="62"/>
        <v>0</v>
      </c>
      <c r="AH15" s="54">
        <f t="shared" si="62"/>
        <v>0</v>
      </c>
      <c r="AI15" s="54">
        <f t="shared" si="62"/>
        <v>0</v>
      </c>
      <c r="AJ15" s="54">
        <f t="shared" si="62"/>
        <v>0</v>
      </c>
      <c r="AK15" s="54">
        <f t="shared" si="62"/>
        <v>0</v>
      </c>
      <c r="AL15" s="54">
        <f t="shared" si="62"/>
        <v>0</v>
      </c>
      <c r="AM15" s="54">
        <f t="shared" si="62"/>
        <v>0</v>
      </c>
      <c r="AN15" s="54">
        <f t="shared" si="62"/>
        <v>0</v>
      </c>
      <c r="AO15" s="54">
        <f t="shared" si="62"/>
        <v>0</v>
      </c>
      <c r="AP15" s="54">
        <f t="shared" si="62"/>
        <v>0</v>
      </c>
      <c r="AQ15" s="322">
        <f t="shared" ref="AQ15:AQ16" si="66">SUM(AE15:AP15)</f>
        <v>0</v>
      </c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>
        <f t="shared" ref="BE15:BE16" si="67">SUM(AS15:BD15)</f>
        <v>0</v>
      </c>
      <c r="BG15" s="54">
        <f t="shared" si="63"/>
        <v>0</v>
      </c>
      <c r="BH15" s="54">
        <f t="shared" si="63"/>
        <v>0</v>
      </c>
      <c r="BI15" s="54">
        <f t="shared" si="63"/>
        <v>0</v>
      </c>
      <c r="BJ15" s="54">
        <f t="shared" si="63"/>
        <v>0</v>
      </c>
      <c r="BK15" s="54">
        <f t="shared" si="63"/>
        <v>0</v>
      </c>
      <c r="BL15" s="54">
        <f t="shared" si="63"/>
        <v>0</v>
      </c>
      <c r="BM15" s="54">
        <f t="shared" si="63"/>
        <v>0</v>
      </c>
      <c r="BN15" s="54">
        <f t="shared" si="63"/>
        <v>0</v>
      </c>
      <c r="BO15" s="54">
        <f t="shared" si="63"/>
        <v>0</v>
      </c>
      <c r="BP15" s="54">
        <f t="shared" si="63"/>
        <v>0</v>
      </c>
      <c r="BQ15" s="54">
        <f t="shared" si="63"/>
        <v>0</v>
      </c>
      <c r="BR15" s="54">
        <f t="shared" si="63"/>
        <v>0</v>
      </c>
      <c r="BS15" s="54">
        <f t="shared" ref="BS15:BS16" si="68">SUM(BG15:BR15)</f>
        <v>0</v>
      </c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>
        <f t="shared" ref="CG15:CG16" si="69">SUM(BU15:CF15)</f>
        <v>0</v>
      </c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>
        <f t="shared" ref="CU15:CU16" si="70">SUM(CI15:CT15)</f>
        <v>0</v>
      </c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>
        <f t="shared" ref="DI15:DI16" si="71">SUM(CW15:DH15)</f>
        <v>0</v>
      </c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>
        <f t="shared" ref="DW15:DW16" si="72">SUM(DK15:DV15)</f>
        <v>0</v>
      </c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>
        <f t="shared" ref="EK15:EK16" si="73">SUM(DY15:EJ15)</f>
        <v>0</v>
      </c>
    </row>
    <row r="16" spans="1:141" outlineLevel="1">
      <c r="A16" s="55" t="s">
        <v>72</v>
      </c>
      <c r="B16" s="56" t="s">
        <v>3</v>
      </c>
      <c r="C16" s="323">
        <f t="shared" si="61"/>
        <v>0</v>
      </c>
      <c r="D16" s="57">
        <f t="shared" si="61"/>
        <v>0</v>
      </c>
      <c r="E16" s="57">
        <f t="shared" si="61"/>
        <v>0</v>
      </c>
      <c r="F16" s="57">
        <f t="shared" si="61"/>
        <v>0</v>
      </c>
      <c r="G16" s="57">
        <f t="shared" si="61"/>
        <v>0</v>
      </c>
      <c r="H16" s="57">
        <f t="shared" si="61"/>
        <v>0</v>
      </c>
      <c r="I16" s="57">
        <f t="shared" si="61"/>
        <v>0</v>
      </c>
      <c r="J16" s="57">
        <f t="shared" si="61"/>
        <v>0</v>
      </c>
      <c r="K16" s="57">
        <f t="shared" si="61"/>
        <v>0</v>
      </c>
      <c r="L16" s="57">
        <f t="shared" si="61"/>
        <v>0</v>
      </c>
      <c r="M16" s="57">
        <f t="shared" si="61"/>
        <v>0</v>
      </c>
      <c r="N16" s="57">
        <f t="shared" si="61"/>
        <v>0</v>
      </c>
      <c r="O16" s="324">
        <f t="shared" si="64"/>
        <v>0</v>
      </c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>
        <f t="shared" si="65"/>
        <v>0</v>
      </c>
      <c r="AE16" s="325">
        <f t="shared" si="62"/>
        <v>0</v>
      </c>
      <c r="AF16" s="57">
        <f t="shared" si="62"/>
        <v>0</v>
      </c>
      <c r="AG16" s="57">
        <f t="shared" si="62"/>
        <v>0</v>
      </c>
      <c r="AH16" s="57">
        <f t="shared" si="62"/>
        <v>0</v>
      </c>
      <c r="AI16" s="57">
        <f t="shared" si="62"/>
        <v>0</v>
      </c>
      <c r="AJ16" s="57">
        <f t="shared" si="62"/>
        <v>0</v>
      </c>
      <c r="AK16" s="57">
        <f t="shared" si="62"/>
        <v>0</v>
      </c>
      <c r="AL16" s="57">
        <f t="shared" si="62"/>
        <v>0</v>
      </c>
      <c r="AM16" s="57">
        <f t="shared" si="62"/>
        <v>0</v>
      </c>
      <c r="AN16" s="57">
        <f t="shared" si="62"/>
        <v>0</v>
      </c>
      <c r="AO16" s="57">
        <f t="shared" si="62"/>
        <v>0</v>
      </c>
      <c r="AP16" s="57">
        <f t="shared" si="62"/>
        <v>0</v>
      </c>
      <c r="AQ16" s="326">
        <f t="shared" si="66"/>
        <v>0</v>
      </c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>
        <f t="shared" si="67"/>
        <v>0</v>
      </c>
      <c r="BG16" s="57">
        <f t="shared" si="63"/>
        <v>0</v>
      </c>
      <c r="BH16" s="57">
        <f t="shared" si="63"/>
        <v>0</v>
      </c>
      <c r="BI16" s="57">
        <f t="shared" si="63"/>
        <v>0</v>
      </c>
      <c r="BJ16" s="57">
        <f t="shared" si="63"/>
        <v>0</v>
      </c>
      <c r="BK16" s="57">
        <f t="shared" si="63"/>
        <v>0</v>
      </c>
      <c r="BL16" s="57">
        <f t="shared" si="63"/>
        <v>0</v>
      </c>
      <c r="BM16" s="57">
        <f t="shared" si="63"/>
        <v>0</v>
      </c>
      <c r="BN16" s="57">
        <f t="shared" si="63"/>
        <v>0</v>
      </c>
      <c r="BO16" s="57">
        <f t="shared" si="63"/>
        <v>0</v>
      </c>
      <c r="BP16" s="57">
        <f t="shared" si="63"/>
        <v>0</v>
      </c>
      <c r="BQ16" s="57">
        <f t="shared" si="63"/>
        <v>0</v>
      </c>
      <c r="BR16" s="57">
        <f t="shared" si="63"/>
        <v>0</v>
      </c>
      <c r="BS16" s="57">
        <f t="shared" si="68"/>
        <v>0</v>
      </c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>
        <f t="shared" si="69"/>
        <v>0</v>
      </c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>
        <f t="shared" si="70"/>
        <v>0</v>
      </c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>
        <f t="shared" si="71"/>
        <v>0</v>
      </c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>
        <f t="shared" si="72"/>
        <v>0</v>
      </c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>
        <f t="shared" si="73"/>
        <v>0</v>
      </c>
    </row>
    <row r="17" spans="1:141">
      <c r="A17" s="61">
        <v>4</v>
      </c>
      <c r="B17" s="62" t="s">
        <v>22</v>
      </c>
      <c r="C17" s="327">
        <f>SUM(C18:C20)</f>
        <v>129505341136.8568</v>
      </c>
      <c r="D17" s="63">
        <f t="shared" ref="D17:O17" si="74">SUM(D18:D20)</f>
        <v>127974441177.86678</v>
      </c>
      <c r="E17" s="63">
        <f t="shared" si="74"/>
        <v>141599491827.82724</v>
      </c>
      <c r="F17" s="63">
        <f t="shared" si="74"/>
        <v>131782266518.60179</v>
      </c>
      <c r="G17" s="63">
        <f t="shared" si="74"/>
        <v>140244307484.73706</v>
      </c>
      <c r="H17" s="63">
        <f t="shared" si="74"/>
        <v>141409300219.24365</v>
      </c>
      <c r="I17" s="63">
        <f t="shared" si="74"/>
        <v>145404057387.95996</v>
      </c>
      <c r="J17" s="63">
        <f t="shared" si="74"/>
        <v>141276361518.14462</v>
      </c>
      <c r="K17" s="63">
        <f t="shared" si="74"/>
        <v>148196499542.28259</v>
      </c>
      <c r="L17" s="63">
        <f t="shared" si="74"/>
        <v>137984481243.16364</v>
      </c>
      <c r="M17" s="63">
        <f t="shared" si="74"/>
        <v>145929060338.8269</v>
      </c>
      <c r="N17" s="63">
        <f t="shared" si="74"/>
        <v>147442013746.17145</v>
      </c>
      <c r="O17" s="328">
        <f t="shared" si="74"/>
        <v>1678747622141.6824</v>
      </c>
      <c r="Q17" s="63">
        <f>SUM(Q18:Q20)</f>
        <v>-28404956250</v>
      </c>
      <c r="R17" s="63">
        <f t="shared" ref="R17:AC17" si="75">SUM(R18:R20)</f>
        <v>-20210556250</v>
      </c>
      <c r="S17" s="63">
        <f t="shared" si="75"/>
        <v>-33329800000</v>
      </c>
      <c r="T17" s="63">
        <f t="shared" si="75"/>
        <v>-40468427500</v>
      </c>
      <c r="U17" s="63">
        <f t="shared" si="75"/>
        <v>-41125912500</v>
      </c>
      <c r="V17" s="63">
        <f t="shared" si="75"/>
        <v>-41125912500</v>
      </c>
      <c r="W17" s="63">
        <f t="shared" si="75"/>
        <v>-41783397500</v>
      </c>
      <c r="X17" s="63">
        <f t="shared" si="75"/>
        <v>-41806927500</v>
      </c>
      <c r="Y17" s="63">
        <f t="shared" si="75"/>
        <v>-41148537500</v>
      </c>
      <c r="Z17" s="63">
        <f t="shared" si="75"/>
        <v>-43154042500</v>
      </c>
      <c r="AA17" s="63">
        <f t="shared" si="75"/>
        <v>-42496151250</v>
      </c>
      <c r="AB17" s="63">
        <f t="shared" si="75"/>
        <v>-43143480000</v>
      </c>
      <c r="AC17" s="63">
        <f t="shared" si="75"/>
        <v>-458198101250</v>
      </c>
      <c r="AE17" s="329">
        <f>SUM(AE18:AE20)</f>
        <v>157910297386.85681</v>
      </c>
      <c r="AF17" s="63">
        <f t="shared" ref="AF17:AQ17" si="76">SUM(AF18:AF20)</f>
        <v>148184997427.86676</v>
      </c>
      <c r="AG17" s="63">
        <f t="shared" si="76"/>
        <v>174929291827.82724</v>
      </c>
      <c r="AH17" s="63">
        <f t="shared" si="76"/>
        <v>172250694018.60181</v>
      </c>
      <c r="AI17" s="63">
        <f t="shared" si="76"/>
        <v>181370219984.73706</v>
      </c>
      <c r="AJ17" s="63">
        <f t="shared" si="76"/>
        <v>182535212719.24365</v>
      </c>
      <c r="AK17" s="63">
        <f t="shared" si="76"/>
        <v>187187454887.95996</v>
      </c>
      <c r="AL17" s="63">
        <f t="shared" si="76"/>
        <v>183083289018.14462</v>
      </c>
      <c r="AM17" s="63">
        <f t="shared" si="76"/>
        <v>189345037042.28259</v>
      </c>
      <c r="AN17" s="63">
        <f t="shared" si="76"/>
        <v>181138523743.16364</v>
      </c>
      <c r="AO17" s="63">
        <f t="shared" si="76"/>
        <v>188425211588.8269</v>
      </c>
      <c r="AP17" s="63">
        <f t="shared" si="76"/>
        <v>190585493746.17145</v>
      </c>
      <c r="AQ17" s="330">
        <f t="shared" si="76"/>
        <v>2136945723391.6824</v>
      </c>
      <c r="AS17" s="63">
        <f>SUM(AS18:AS20)</f>
        <v>129505341136.8568</v>
      </c>
      <c r="AT17" s="63">
        <f t="shared" ref="AT17:BE17" si="77">SUM(AT18:AT20)</f>
        <v>127974441177.86678</v>
      </c>
      <c r="AU17" s="63">
        <f t="shared" si="77"/>
        <v>141599491827.82724</v>
      </c>
      <c r="AV17" s="63">
        <f t="shared" si="77"/>
        <v>131782266518.60179</v>
      </c>
      <c r="AW17" s="63">
        <f t="shared" si="77"/>
        <v>140244307484.73706</v>
      </c>
      <c r="AX17" s="63">
        <f t="shared" si="77"/>
        <v>141409300219.24365</v>
      </c>
      <c r="AY17" s="63">
        <f t="shared" si="77"/>
        <v>145404057387.95996</v>
      </c>
      <c r="AZ17" s="63">
        <f t="shared" si="77"/>
        <v>141276361518.14462</v>
      </c>
      <c r="BA17" s="63">
        <f t="shared" si="77"/>
        <v>148196499542.28259</v>
      </c>
      <c r="BB17" s="63">
        <f t="shared" si="77"/>
        <v>137984481243.16364</v>
      </c>
      <c r="BC17" s="63">
        <f t="shared" si="77"/>
        <v>145929060338.8269</v>
      </c>
      <c r="BD17" s="63">
        <f t="shared" si="77"/>
        <v>147442013746.17145</v>
      </c>
      <c r="BE17" s="63">
        <f t="shared" si="77"/>
        <v>1678747622141.6824</v>
      </c>
      <c r="BG17" s="63">
        <f>SUM(BG18:BG20)</f>
        <v>28404956250</v>
      </c>
      <c r="BH17" s="63">
        <f t="shared" ref="BH17:BS17" si="78">SUM(BH18:BH20)</f>
        <v>20210556250</v>
      </c>
      <c r="BI17" s="63">
        <f t="shared" si="78"/>
        <v>33329800000</v>
      </c>
      <c r="BJ17" s="63">
        <f t="shared" si="78"/>
        <v>40468427500</v>
      </c>
      <c r="BK17" s="63">
        <f t="shared" si="78"/>
        <v>41125912500</v>
      </c>
      <c r="BL17" s="63">
        <f t="shared" si="78"/>
        <v>41125912500</v>
      </c>
      <c r="BM17" s="63">
        <f t="shared" si="78"/>
        <v>41783397500</v>
      </c>
      <c r="BN17" s="63">
        <f t="shared" si="78"/>
        <v>41806927500</v>
      </c>
      <c r="BO17" s="63">
        <f t="shared" si="78"/>
        <v>41148537500</v>
      </c>
      <c r="BP17" s="63">
        <f t="shared" si="78"/>
        <v>43154042500</v>
      </c>
      <c r="BQ17" s="63">
        <f t="shared" si="78"/>
        <v>42496151250</v>
      </c>
      <c r="BR17" s="63">
        <f t="shared" si="78"/>
        <v>43143480000</v>
      </c>
      <c r="BS17" s="63">
        <f t="shared" si="78"/>
        <v>458198101250</v>
      </c>
      <c r="BU17" s="63">
        <f>SUM(BU18:BU20)</f>
        <v>9420187500</v>
      </c>
      <c r="BV17" s="63">
        <f t="shared" ref="BV17:CG17" si="79">SUM(BV18:BV20)</f>
        <v>5652112500</v>
      </c>
      <c r="BW17" s="63">
        <f t="shared" si="79"/>
        <v>12443100000</v>
      </c>
      <c r="BX17" s="63">
        <f t="shared" si="79"/>
        <v>15779640000</v>
      </c>
      <c r="BY17" s="63">
        <f t="shared" si="79"/>
        <v>16437125000</v>
      </c>
      <c r="BZ17" s="63">
        <f t="shared" si="79"/>
        <v>16437125000</v>
      </c>
      <c r="CA17" s="63">
        <f t="shared" si="79"/>
        <v>17094610000</v>
      </c>
      <c r="CB17" s="63">
        <f t="shared" si="79"/>
        <v>17118140000</v>
      </c>
      <c r="CC17" s="63">
        <f t="shared" si="79"/>
        <v>16459750000</v>
      </c>
      <c r="CD17" s="63">
        <f t="shared" si="79"/>
        <v>17105172500</v>
      </c>
      <c r="CE17" s="63">
        <f t="shared" si="79"/>
        <v>16447281250</v>
      </c>
      <c r="CF17" s="63">
        <f t="shared" si="79"/>
        <v>17094610000</v>
      </c>
      <c r="CG17" s="63">
        <f t="shared" si="79"/>
        <v>177488853750</v>
      </c>
      <c r="CI17" s="63">
        <f>SUM(CI18:CI20)</f>
        <v>7469550000</v>
      </c>
      <c r="CJ17" s="63">
        <f t="shared" ref="CJ17:CU17" si="80">SUM(CJ18:CJ20)</f>
        <v>5602162500</v>
      </c>
      <c r="CK17" s="63">
        <f t="shared" si="80"/>
        <v>8092012500</v>
      </c>
      <c r="CL17" s="63">
        <f t="shared" si="80"/>
        <v>8714475000</v>
      </c>
      <c r="CM17" s="63">
        <f t="shared" si="80"/>
        <v>8714475000</v>
      </c>
      <c r="CN17" s="63">
        <f t="shared" si="80"/>
        <v>8714475000</v>
      </c>
      <c r="CO17" s="63">
        <f t="shared" si="80"/>
        <v>8714475000</v>
      </c>
      <c r="CP17" s="63">
        <f t="shared" si="80"/>
        <v>8714475000</v>
      </c>
      <c r="CQ17" s="63">
        <f t="shared" si="80"/>
        <v>8714475000</v>
      </c>
      <c r="CR17" s="63">
        <f t="shared" si="80"/>
        <v>8714475000</v>
      </c>
      <c r="CS17" s="63">
        <f t="shared" si="80"/>
        <v>8714475000</v>
      </c>
      <c r="CT17" s="63">
        <f t="shared" si="80"/>
        <v>8714475000</v>
      </c>
      <c r="CU17" s="63">
        <f t="shared" si="80"/>
        <v>99594000000</v>
      </c>
      <c r="CW17" s="63">
        <f>SUM(CW18:CW20)</f>
        <v>11515218750</v>
      </c>
      <c r="CX17" s="63">
        <f t="shared" ref="CX17:DI17" si="81">SUM(CX18:CX20)</f>
        <v>8956281250</v>
      </c>
      <c r="CY17" s="63">
        <f t="shared" si="81"/>
        <v>12794687500</v>
      </c>
      <c r="CZ17" s="63">
        <f t="shared" si="81"/>
        <v>15974312500</v>
      </c>
      <c r="DA17" s="63">
        <f t="shared" si="81"/>
        <v>15974312500</v>
      </c>
      <c r="DB17" s="63">
        <f t="shared" si="81"/>
        <v>15974312500</v>
      </c>
      <c r="DC17" s="63">
        <f t="shared" si="81"/>
        <v>15974312500</v>
      </c>
      <c r="DD17" s="63">
        <f t="shared" si="81"/>
        <v>15974312500</v>
      </c>
      <c r="DE17" s="63">
        <f t="shared" si="81"/>
        <v>15974312500</v>
      </c>
      <c r="DF17" s="63">
        <f t="shared" si="81"/>
        <v>17334395000</v>
      </c>
      <c r="DG17" s="63">
        <f t="shared" si="81"/>
        <v>17334395000</v>
      </c>
      <c r="DH17" s="63">
        <f t="shared" si="81"/>
        <v>17334395000</v>
      </c>
      <c r="DI17" s="63">
        <f t="shared" si="81"/>
        <v>181115247500</v>
      </c>
      <c r="DK17" s="63">
        <f>SUM(DK18:DK20)</f>
        <v>0</v>
      </c>
      <c r="DL17" s="63">
        <f t="shared" ref="DL17:DW17" si="82">SUM(DL18:DL20)</f>
        <v>0</v>
      </c>
      <c r="DM17" s="63">
        <f t="shared" si="82"/>
        <v>0</v>
      </c>
      <c r="DN17" s="63">
        <f t="shared" si="82"/>
        <v>0</v>
      </c>
      <c r="DO17" s="63">
        <f t="shared" si="82"/>
        <v>0</v>
      </c>
      <c r="DP17" s="63">
        <f t="shared" si="82"/>
        <v>0</v>
      </c>
      <c r="DQ17" s="63">
        <f t="shared" si="82"/>
        <v>0</v>
      </c>
      <c r="DR17" s="63">
        <f t="shared" si="82"/>
        <v>0</v>
      </c>
      <c r="DS17" s="63">
        <f t="shared" si="82"/>
        <v>0</v>
      </c>
      <c r="DT17" s="63">
        <f t="shared" si="82"/>
        <v>0</v>
      </c>
      <c r="DU17" s="63">
        <f t="shared" si="82"/>
        <v>0</v>
      </c>
      <c r="DV17" s="63">
        <f t="shared" si="82"/>
        <v>0</v>
      </c>
      <c r="DW17" s="63">
        <f t="shared" si="82"/>
        <v>0</v>
      </c>
      <c r="DY17" s="63">
        <f>SUM(DY18:DY20)</f>
        <v>0</v>
      </c>
      <c r="DZ17" s="63">
        <f t="shared" ref="DZ17:EK17" si="83">SUM(DZ18:DZ20)</f>
        <v>0</v>
      </c>
      <c r="EA17" s="63">
        <f t="shared" si="83"/>
        <v>0</v>
      </c>
      <c r="EB17" s="63">
        <f t="shared" si="83"/>
        <v>0</v>
      </c>
      <c r="EC17" s="63">
        <f t="shared" si="83"/>
        <v>0</v>
      </c>
      <c r="ED17" s="63">
        <f t="shared" si="83"/>
        <v>0</v>
      </c>
      <c r="EE17" s="63">
        <f t="shared" si="83"/>
        <v>0</v>
      </c>
      <c r="EF17" s="63">
        <f t="shared" si="83"/>
        <v>0</v>
      </c>
      <c r="EG17" s="63">
        <f t="shared" si="83"/>
        <v>0</v>
      </c>
      <c r="EH17" s="63">
        <f t="shared" si="83"/>
        <v>0</v>
      </c>
      <c r="EI17" s="63">
        <f t="shared" si="83"/>
        <v>0</v>
      </c>
      <c r="EJ17" s="63">
        <f t="shared" si="83"/>
        <v>0</v>
      </c>
      <c r="EK17" s="63">
        <f t="shared" si="83"/>
        <v>0</v>
      </c>
    </row>
    <row r="18" spans="1:141" s="29" customFormat="1" outlineLevel="1">
      <c r="A18" s="58" t="s">
        <v>58</v>
      </c>
      <c r="B18" s="59" t="s">
        <v>1</v>
      </c>
      <c r="C18" s="331">
        <f>C10-C14</f>
        <v>129505341136.8568</v>
      </c>
      <c r="D18" s="60">
        <f t="shared" ref="D18:O18" si="84">D10-D14</f>
        <v>127974441177.86678</v>
      </c>
      <c r="E18" s="60">
        <f t="shared" si="84"/>
        <v>141599491827.82724</v>
      </c>
      <c r="F18" s="60">
        <f t="shared" si="84"/>
        <v>131782266518.60179</v>
      </c>
      <c r="G18" s="60">
        <f t="shared" si="84"/>
        <v>140244307484.73706</v>
      </c>
      <c r="H18" s="60">
        <f t="shared" si="84"/>
        <v>141409300219.24365</v>
      </c>
      <c r="I18" s="60">
        <f t="shared" si="84"/>
        <v>145404057387.95996</v>
      </c>
      <c r="J18" s="60">
        <f t="shared" si="84"/>
        <v>141276361518.14462</v>
      </c>
      <c r="K18" s="60">
        <f t="shared" si="84"/>
        <v>148196499542.28259</v>
      </c>
      <c r="L18" s="60">
        <f t="shared" si="84"/>
        <v>137984481243.16364</v>
      </c>
      <c r="M18" s="60">
        <f t="shared" si="84"/>
        <v>145929060338.8269</v>
      </c>
      <c r="N18" s="60">
        <f t="shared" si="84"/>
        <v>147442013746.17145</v>
      </c>
      <c r="O18" s="332">
        <f t="shared" si="84"/>
        <v>1678747622141.6824</v>
      </c>
      <c r="Q18" s="60">
        <f>Q10-Q14</f>
        <v>0</v>
      </c>
      <c r="R18" s="60">
        <f t="shared" ref="R18:AC18" si="85">R10-R14</f>
        <v>0</v>
      </c>
      <c r="S18" s="60">
        <f t="shared" si="85"/>
        <v>0</v>
      </c>
      <c r="T18" s="60">
        <f t="shared" si="85"/>
        <v>0</v>
      </c>
      <c r="U18" s="60">
        <f t="shared" si="85"/>
        <v>0</v>
      </c>
      <c r="V18" s="60">
        <f t="shared" si="85"/>
        <v>0</v>
      </c>
      <c r="W18" s="60">
        <f t="shared" si="85"/>
        <v>0</v>
      </c>
      <c r="X18" s="60">
        <f t="shared" si="85"/>
        <v>0</v>
      </c>
      <c r="Y18" s="60">
        <f t="shared" si="85"/>
        <v>0</v>
      </c>
      <c r="Z18" s="60">
        <f t="shared" si="85"/>
        <v>0</v>
      </c>
      <c r="AA18" s="60">
        <f t="shared" si="85"/>
        <v>0</v>
      </c>
      <c r="AB18" s="60">
        <f t="shared" si="85"/>
        <v>0</v>
      </c>
      <c r="AC18" s="60">
        <f t="shared" si="85"/>
        <v>0</v>
      </c>
      <c r="AE18" s="333">
        <f>AE10-AE14</f>
        <v>129505341136.8568</v>
      </c>
      <c r="AF18" s="60">
        <f t="shared" ref="AF18:AQ18" si="86">AF10-AF14</f>
        <v>127974441177.86678</v>
      </c>
      <c r="AG18" s="60">
        <f t="shared" si="86"/>
        <v>141599491827.82724</v>
      </c>
      <c r="AH18" s="60">
        <f t="shared" si="86"/>
        <v>131782266518.60179</v>
      </c>
      <c r="AI18" s="60">
        <f t="shared" si="86"/>
        <v>140244307484.73706</v>
      </c>
      <c r="AJ18" s="60">
        <f t="shared" si="86"/>
        <v>141409300219.24365</v>
      </c>
      <c r="AK18" s="60">
        <f t="shared" si="86"/>
        <v>145404057387.95996</v>
      </c>
      <c r="AL18" s="60">
        <f t="shared" si="86"/>
        <v>141276361518.14462</v>
      </c>
      <c r="AM18" s="60">
        <f t="shared" si="86"/>
        <v>148196499542.28259</v>
      </c>
      <c r="AN18" s="60">
        <f t="shared" si="86"/>
        <v>137984481243.16364</v>
      </c>
      <c r="AO18" s="60">
        <f t="shared" si="86"/>
        <v>145929060338.8269</v>
      </c>
      <c r="AP18" s="60">
        <f t="shared" si="86"/>
        <v>147442013746.17145</v>
      </c>
      <c r="AQ18" s="334">
        <f t="shared" si="86"/>
        <v>1678747622141.6824</v>
      </c>
      <c r="AS18" s="60">
        <f>AS10-AS14</f>
        <v>129505341136.8568</v>
      </c>
      <c r="AT18" s="60">
        <f t="shared" ref="AT18:BE18" si="87">AT10-AT14</f>
        <v>127974441177.86678</v>
      </c>
      <c r="AU18" s="60">
        <f t="shared" si="87"/>
        <v>141599491827.82724</v>
      </c>
      <c r="AV18" s="60">
        <f t="shared" si="87"/>
        <v>131782266518.60179</v>
      </c>
      <c r="AW18" s="60">
        <f t="shared" si="87"/>
        <v>140244307484.73706</v>
      </c>
      <c r="AX18" s="60">
        <f t="shared" si="87"/>
        <v>141409300219.24365</v>
      </c>
      <c r="AY18" s="60">
        <f t="shared" si="87"/>
        <v>145404057387.95996</v>
      </c>
      <c r="AZ18" s="60">
        <f t="shared" si="87"/>
        <v>141276361518.14462</v>
      </c>
      <c r="BA18" s="60">
        <f t="shared" si="87"/>
        <v>148196499542.28259</v>
      </c>
      <c r="BB18" s="60">
        <f t="shared" si="87"/>
        <v>137984481243.16364</v>
      </c>
      <c r="BC18" s="60">
        <f t="shared" si="87"/>
        <v>145929060338.8269</v>
      </c>
      <c r="BD18" s="60">
        <f t="shared" si="87"/>
        <v>147442013746.17145</v>
      </c>
      <c r="BE18" s="60">
        <f t="shared" si="87"/>
        <v>1678747622141.6824</v>
      </c>
      <c r="BG18" s="60">
        <f>BG10-BG14</f>
        <v>0</v>
      </c>
      <c r="BH18" s="60">
        <f t="shared" ref="BH18:BS18" si="88">BH10-BH14</f>
        <v>0</v>
      </c>
      <c r="BI18" s="60">
        <f t="shared" si="88"/>
        <v>0</v>
      </c>
      <c r="BJ18" s="60">
        <f t="shared" si="88"/>
        <v>0</v>
      </c>
      <c r="BK18" s="60">
        <f t="shared" si="88"/>
        <v>0</v>
      </c>
      <c r="BL18" s="60">
        <f t="shared" si="88"/>
        <v>0</v>
      </c>
      <c r="BM18" s="60">
        <f t="shared" si="88"/>
        <v>0</v>
      </c>
      <c r="BN18" s="60">
        <f t="shared" si="88"/>
        <v>0</v>
      </c>
      <c r="BO18" s="60">
        <f t="shared" si="88"/>
        <v>0</v>
      </c>
      <c r="BP18" s="60">
        <f t="shared" si="88"/>
        <v>0</v>
      </c>
      <c r="BQ18" s="60">
        <f t="shared" si="88"/>
        <v>0</v>
      </c>
      <c r="BR18" s="60">
        <f t="shared" si="88"/>
        <v>0</v>
      </c>
      <c r="BS18" s="60">
        <f t="shared" si="88"/>
        <v>0</v>
      </c>
      <c r="BU18" s="60">
        <f>BU10-BU14</f>
        <v>0</v>
      </c>
      <c r="BV18" s="60">
        <f t="shared" ref="BV18:CG18" si="89">BV10-BV14</f>
        <v>0</v>
      </c>
      <c r="BW18" s="60">
        <f t="shared" si="89"/>
        <v>0</v>
      </c>
      <c r="BX18" s="60">
        <f t="shared" si="89"/>
        <v>0</v>
      </c>
      <c r="BY18" s="60">
        <f t="shared" si="89"/>
        <v>0</v>
      </c>
      <c r="BZ18" s="60">
        <f t="shared" si="89"/>
        <v>0</v>
      </c>
      <c r="CA18" s="60">
        <f t="shared" si="89"/>
        <v>0</v>
      </c>
      <c r="CB18" s="60">
        <f t="shared" si="89"/>
        <v>0</v>
      </c>
      <c r="CC18" s="60">
        <f t="shared" si="89"/>
        <v>0</v>
      </c>
      <c r="CD18" s="60">
        <f t="shared" si="89"/>
        <v>0</v>
      </c>
      <c r="CE18" s="60">
        <f t="shared" si="89"/>
        <v>0</v>
      </c>
      <c r="CF18" s="60">
        <f t="shared" si="89"/>
        <v>0</v>
      </c>
      <c r="CG18" s="60">
        <f t="shared" si="89"/>
        <v>0</v>
      </c>
      <c r="CI18" s="60">
        <f>CI10-CI14</f>
        <v>0</v>
      </c>
      <c r="CJ18" s="60">
        <f t="shared" ref="CJ18:CU18" si="90">CJ10-CJ14</f>
        <v>0</v>
      </c>
      <c r="CK18" s="60">
        <f t="shared" si="90"/>
        <v>0</v>
      </c>
      <c r="CL18" s="60">
        <f t="shared" si="90"/>
        <v>0</v>
      </c>
      <c r="CM18" s="60">
        <f t="shared" si="90"/>
        <v>0</v>
      </c>
      <c r="CN18" s="60">
        <f t="shared" si="90"/>
        <v>0</v>
      </c>
      <c r="CO18" s="60">
        <f t="shared" si="90"/>
        <v>0</v>
      </c>
      <c r="CP18" s="60">
        <f t="shared" si="90"/>
        <v>0</v>
      </c>
      <c r="CQ18" s="60">
        <f t="shared" si="90"/>
        <v>0</v>
      </c>
      <c r="CR18" s="60">
        <f t="shared" si="90"/>
        <v>0</v>
      </c>
      <c r="CS18" s="60">
        <f t="shared" si="90"/>
        <v>0</v>
      </c>
      <c r="CT18" s="60">
        <f t="shared" si="90"/>
        <v>0</v>
      </c>
      <c r="CU18" s="60">
        <f t="shared" si="90"/>
        <v>0</v>
      </c>
      <c r="CW18" s="60">
        <f>CW10-CW14</f>
        <v>0</v>
      </c>
      <c r="CX18" s="60">
        <f t="shared" ref="CX18:DI18" si="91">CX10-CX14</f>
        <v>0</v>
      </c>
      <c r="CY18" s="60">
        <f t="shared" si="91"/>
        <v>0</v>
      </c>
      <c r="CZ18" s="60">
        <f t="shared" si="91"/>
        <v>0</v>
      </c>
      <c r="DA18" s="60">
        <f t="shared" si="91"/>
        <v>0</v>
      </c>
      <c r="DB18" s="60">
        <f t="shared" si="91"/>
        <v>0</v>
      </c>
      <c r="DC18" s="60">
        <f t="shared" si="91"/>
        <v>0</v>
      </c>
      <c r="DD18" s="60">
        <f t="shared" si="91"/>
        <v>0</v>
      </c>
      <c r="DE18" s="60">
        <f t="shared" si="91"/>
        <v>0</v>
      </c>
      <c r="DF18" s="60">
        <f t="shared" si="91"/>
        <v>0</v>
      </c>
      <c r="DG18" s="60">
        <f t="shared" si="91"/>
        <v>0</v>
      </c>
      <c r="DH18" s="60">
        <f t="shared" si="91"/>
        <v>0</v>
      </c>
      <c r="DI18" s="60">
        <f t="shared" si="91"/>
        <v>0</v>
      </c>
      <c r="DK18" s="60">
        <f>DK10-DK14</f>
        <v>0</v>
      </c>
      <c r="DL18" s="60">
        <f t="shared" ref="DL18:DW18" si="92">DL10-DL14</f>
        <v>0</v>
      </c>
      <c r="DM18" s="60">
        <f t="shared" si="92"/>
        <v>0</v>
      </c>
      <c r="DN18" s="60">
        <f t="shared" si="92"/>
        <v>0</v>
      </c>
      <c r="DO18" s="60">
        <f t="shared" si="92"/>
        <v>0</v>
      </c>
      <c r="DP18" s="60">
        <f t="shared" si="92"/>
        <v>0</v>
      </c>
      <c r="DQ18" s="60">
        <f t="shared" si="92"/>
        <v>0</v>
      </c>
      <c r="DR18" s="60">
        <f t="shared" si="92"/>
        <v>0</v>
      </c>
      <c r="DS18" s="60">
        <f t="shared" si="92"/>
        <v>0</v>
      </c>
      <c r="DT18" s="60">
        <f t="shared" si="92"/>
        <v>0</v>
      </c>
      <c r="DU18" s="60">
        <f t="shared" si="92"/>
        <v>0</v>
      </c>
      <c r="DV18" s="60">
        <f t="shared" si="92"/>
        <v>0</v>
      </c>
      <c r="DW18" s="60">
        <f t="shared" si="92"/>
        <v>0</v>
      </c>
      <c r="DY18" s="60">
        <f>DY10-DY14</f>
        <v>0</v>
      </c>
      <c r="DZ18" s="60">
        <f t="shared" ref="DZ18:EK18" si="93">DZ10-DZ14</f>
        <v>0</v>
      </c>
      <c r="EA18" s="60">
        <f t="shared" si="93"/>
        <v>0</v>
      </c>
      <c r="EB18" s="60">
        <f t="shared" si="93"/>
        <v>0</v>
      </c>
      <c r="EC18" s="60">
        <f t="shared" si="93"/>
        <v>0</v>
      </c>
      <c r="ED18" s="60">
        <f t="shared" si="93"/>
        <v>0</v>
      </c>
      <c r="EE18" s="60">
        <f t="shared" si="93"/>
        <v>0</v>
      </c>
      <c r="EF18" s="60">
        <f t="shared" si="93"/>
        <v>0</v>
      </c>
      <c r="EG18" s="60">
        <f t="shared" si="93"/>
        <v>0</v>
      </c>
      <c r="EH18" s="60">
        <f t="shared" si="93"/>
        <v>0</v>
      </c>
      <c r="EI18" s="60">
        <f t="shared" si="93"/>
        <v>0</v>
      </c>
      <c r="EJ18" s="60">
        <f t="shared" si="93"/>
        <v>0</v>
      </c>
      <c r="EK18" s="60">
        <f t="shared" si="93"/>
        <v>0</v>
      </c>
    </row>
    <row r="19" spans="1:141" s="29" customFormat="1" outlineLevel="1">
      <c r="A19" s="40" t="s">
        <v>59</v>
      </c>
      <c r="B19" s="41" t="s">
        <v>2</v>
      </c>
      <c r="C19" s="335">
        <f t="shared" ref="C19:O20" si="94">C11-C15</f>
        <v>0</v>
      </c>
      <c r="D19" s="42">
        <f t="shared" si="94"/>
        <v>0</v>
      </c>
      <c r="E19" s="42">
        <f t="shared" si="94"/>
        <v>0</v>
      </c>
      <c r="F19" s="42">
        <f t="shared" si="94"/>
        <v>0</v>
      </c>
      <c r="G19" s="42">
        <f t="shared" si="94"/>
        <v>0</v>
      </c>
      <c r="H19" s="42">
        <f t="shared" si="94"/>
        <v>0</v>
      </c>
      <c r="I19" s="42">
        <f t="shared" si="94"/>
        <v>0</v>
      </c>
      <c r="J19" s="42">
        <f t="shared" si="94"/>
        <v>0</v>
      </c>
      <c r="K19" s="42">
        <f t="shared" si="94"/>
        <v>0</v>
      </c>
      <c r="L19" s="42">
        <f t="shared" si="94"/>
        <v>0</v>
      </c>
      <c r="M19" s="42">
        <f t="shared" si="94"/>
        <v>0</v>
      </c>
      <c r="N19" s="42">
        <f t="shared" si="94"/>
        <v>0</v>
      </c>
      <c r="O19" s="336">
        <f t="shared" si="94"/>
        <v>0</v>
      </c>
      <c r="Q19" s="42">
        <f t="shared" ref="Q19:AC20" si="95">Q11-Q15</f>
        <v>-28404956250</v>
      </c>
      <c r="R19" s="42">
        <f t="shared" si="95"/>
        <v>-20210556250</v>
      </c>
      <c r="S19" s="42">
        <f t="shared" si="95"/>
        <v>-33329800000</v>
      </c>
      <c r="T19" s="42">
        <f t="shared" si="95"/>
        <v>-40468427500</v>
      </c>
      <c r="U19" s="42">
        <f t="shared" si="95"/>
        <v>-41125912500</v>
      </c>
      <c r="V19" s="42">
        <f t="shared" si="95"/>
        <v>-41125912500</v>
      </c>
      <c r="W19" s="42">
        <f t="shared" si="95"/>
        <v>-41783397500</v>
      </c>
      <c r="X19" s="42">
        <f t="shared" si="95"/>
        <v>-41806927500</v>
      </c>
      <c r="Y19" s="42">
        <f t="shared" si="95"/>
        <v>-41148537500</v>
      </c>
      <c r="Z19" s="42">
        <f t="shared" si="95"/>
        <v>-43154042500</v>
      </c>
      <c r="AA19" s="42">
        <f t="shared" si="95"/>
        <v>-42496151250</v>
      </c>
      <c r="AB19" s="42">
        <f t="shared" si="95"/>
        <v>-43143480000</v>
      </c>
      <c r="AC19" s="42">
        <f t="shared" si="95"/>
        <v>-458198101250</v>
      </c>
      <c r="AE19" s="337">
        <f t="shared" ref="AE19:AQ20" si="96">AE11-AE15</f>
        <v>28404956250</v>
      </c>
      <c r="AF19" s="42">
        <f t="shared" si="96"/>
        <v>20210556250</v>
      </c>
      <c r="AG19" s="42">
        <f t="shared" si="96"/>
        <v>33329800000</v>
      </c>
      <c r="AH19" s="42">
        <f t="shared" si="96"/>
        <v>40468427500</v>
      </c>
      <c r="AI19" s="42">
        <f t="shared" si="96"/>
        <v>41125912500</v>
      </c>
      <c r="AJ19" s="42">
        <f t="shared" si="96"/>
        <v>41125912500</v>
      </c>
      <c r="AK19" s="42">
        <f t="shared" si="96"/>
        <v>41783397500</v>
      </c>
      <c r="AL19" s="42">
        <f t="shared" si="96"/>
        <v>41806927500</v>
      </c>
      <c r="AM19" s="42">
        <f t="shared" si="96"/>
        <v>41148537500</v>
      </c>
      <c r="AN19" s="42">
        <f t="shared" si="96"/>
        <v>43154042500</v>
      </c>
      <c r="AO19" s="42">
        <f t="shared" si="96"/>
        <v>42496151250</v>
      </c>
      <c r="AP19" s="42">
        <f t="shared" si="96"/>
        <v>43143480000</v>
      </c>
      <c r="AQ19" s="338">
        <f t="shared" si="96"/>
        <v>458198101250</v>
      </c>
      <c r="AS19" s="42">
        <f t="shared" ref="AS19:BE20" si="97">AS11-AS15</f>
        <v>0</v>
      </c>
      <c r="AT19" s="42">
        <f t="shared" si="97"/>
        <v>0</v>
      </c>
      <c r="AU19" s="42">
        <f t="shared" si="97"/>
        <v>0</v>
      </c>
      <c r="AV19" s="42">
        <f t="shared" si="97"/>
        <v>0</v>
      </c>
      <c r="AW19" s="42">
        <f t="shared" si="97"/>
        <v>0</v>
      </c>
      <c r="AX19" s="42">
        <f t="shared" si="97"/>
        <v>0</v>
      </c>
      <c r="AY19" s="42">
        <f t="shared" si="97"/>
        <v>0</v>
      </c>
      <c r="AZ19" s="42">
        <f t="shared" si="97"/>
        <v>0</v>
      </c>
      <c r="BA19" s="42">
        <f t="shared" si="97"/>
        <v>0</v>
      </c>
      <c r="BB19" s="42">
        <f t="shared" si="97"/>
        <v>0</v>
      </c>
      <c r="BC19" s="42">
        <f t="shared" si="97"/>
        <v>0</v>
      </c>
      <c r="BD19" s="42">
        <f t="shared" si="97"/>
        <v>0</v>
      </c>
      <c r="BE19" s="42">
        <f t="shared" si="97"/>
        <v>0</v>
      </c>
      <c r="BG19" s="42">
        <f t="shared" ref="BG19:BS20" si="98">BG11-BG15</f>
        <v>28404956250</v>
      </c>
      <c r="BH19" s="42">
        <f t="shared" si="98"/>
        <v>20210556250</v>
      </c>
      <c r="BI19" s="42">
        <f t="shared" si="98"/>
        <v>33329800000</v>
      </c>
      <c r="BJ19" s="42">
        <f t="shared" si="98"/>
        <v>40468427500</v>
      </c>
      <c r="BK19" s="42">
        <f t="shared" si="98"/>
        <v>41125912500</v>
      </c>
      <c r="BL19" s="42">
        <f t="shared" si="98"/>
        <v>41125912500</v>
      </c>
      <c r="BM19" s="42">
        <f t="shared" si="98"/>
        <v>41783397500</v>
      </c>
      <c r="BN19" s="42">
        <f t="shared" si="98"/>
        <v>41806927500</v>
      </c>
      <c r="BO19" s="42">
        <f t="shared" si="98"/>
        <v>41148537500</v>
      </c>
      <c r="BP19" s="42">
        <f t="shared" si="98"/>
        <v>43154042500</v>
      </c>
      <c r="BQ19" s="42">
        <f t="shared" si="98"/>
        <v>42496151250</v>
      </c>
      <c r="BR19" s="42">
        <f t="shared" si="98"/>
        <v>43143480000</v>
      </c>
      <c r="BS19" s="42">
        <f t="shared" si="98"/>
        <v>458198101250</v>
      </c>
      <c r="BU19" s="42">
        <f t="shared" ref="BU19:CG20" si="99">BU11-BU15</f>
        <v>9420187500</v>
      </c>
      <c r="BV19" s="42">
        <f t="shared" si="99"/>
        <v>5652112500</v>
      </c>
      <c r="BW19" s="42">
        <f t="shared" si="99"/>
        <v>12443100000</v>
      </c>
      <c r="BX19" s="42">
        <f t="shared" si="99"/>
        <v>15779640000</v>
      </c>
      <c r="BY19" s="42">
        <f t="shared" si="99"/>
        <v>16437125000</v>
      </c>
      <c r="BZ19" s="42">
        <f t="shared" si="99"/>
        <v>16437125000</v>
      </c>
      <c r="CA19" s="42">
        <f t="shared" si="99"/>
        <v>17094610000</v>
      </c>
      <c r="CB19" s="42">
        <f t="shared" si="99"/>
        <v>17118140000</v>
      </c>
      <c r="CC19" s="42">
        <f t="shared" si="99"/>
        <v>16459750000</v>
      </c>
      <c r="CD19" s="42">
        <f t="shared" si="99"/>
        <v>17105172500</v>
      </c>
      <c r="CE19" s="42">
        <f t="shared" si="99"/>
        <v>16447281250</v>
      </c>
      <c r="CF19" s="42">
        <f t="shared" si="99"/>
        <v>17094610000</v>
      </c>
      <c r="CG19" s="42">
        <f t="shared" si="99"/>
        <v>177488853750</v>
      </c>
      <c r="CI19" s="42">
        <f t="shared" ref="CI19:CU20" si="100">CI11-CI15</f>
        <v>7469550000</v>
      </c>
      <c r="CJ19" s="42">
        <f t="shared" si="100"/>
        <v>5602162500</v>
      </c>
      <c r="CK19" s="42">
        <f t="shared" si="100"/>
        <v>8092012500</v>
      </c>
      <c r="CL19" s="42">
        <f t="shared" si="100"/>
        <v>8714475000</v>
      </c>
      <c r="CM19" s="42">
        <f t="shared" si="100"/>
        <v>8714475000</v>
      </c>
      <c r="CN19" s="42">
        <f t="shared" si="100"/>
        <v>8714475000</v>
      </c>
      <c r="CO19" s="42">
        <f t="shared" si="100"/>
        <v>8714475000</v>
      </c>
      <c r="CP19" s="42">
        <f t="shared" si="100"/>
        <v>8714475000</v>
      </c>
      <c r="CQ19" s="42">
        <f t="shared" si="100"/>
        <v>8714475000</v>
      </c>
      <c r="CR19" s="42">
        <f t="shared" si="100"/>
        <v>8714475000</v>
      </c>
      <c r="CS19" s="42">
        <f t="shared" si="100"/>
        <v>8714475000</v>
      </c>
      <c r="CT19" s="42">
        <f t="shared" si="100"/>
        <v>8714475000</v>
      </c>
      <c r="CU19" s="42">
        <f t="shared" si="100"/>
        <v>99594000000</v>
      </c>
      <c r="CW19" s="42">
        <f t="shared" ref="CW19:DI20" si="101">CW11-CW15</f>
        <v>11515218750</v>
      </c>
      <c r="CX19" s="42">
        <f t="shared" si="101"/>
        <v>8956281250</v>
      </c>
      <c r="CY19" s="42">
        <f t="shared" si="101"/>
        <v>12794687500</v>
      </c>
      <c r="CZ19" s="42">
        <f t="shared" si="101"/>
        <v>15974312500</v>
      </c>
      <c r="DA19" s="42">
        <f t="shared" si="101"/>
        <v>15974312500</v>
      </c>
      <c r="DB19" s="42">
        <f t="shared" si="101"/>
        <v>15974312500</v>
      </c>
      <c r="DC19" s="42">
        <f t="shared" si="101"/>
        <v>15974312500</v>
      </c>
      <c r="DD19" s="42">
        <f t="shared" si="101"/>
        <v>15974312500</v>
      </c>
      <c r="DE19" s="42">
        <f t="shared" si="101"/>
        <v>15974312500</v>
      </c>
      <c r="DF19" s="42">
        <f t="shared" si="101"/>
        <v>17334395000</v>
      </c>
      <c r="DG19" s="42">
        <f t="shared" si="101"/>
        <v>17334395000</v>
      </c>
      <c r="DH19" s="42">
        <f t="shared" si="101"/>
        <v>17334395000</v>
      </c>
      <c r="DI19" s="42">
        <f t="shared" si="101"/>
        <v>181115247500</v>
      </c>
      <c r="DK19" s="42">
        <f t="shared" ref="DK19:DW20" si="102">DK11-DK15</f>
        <v>0</v>
      </c>
      <c r="DL19" s="42">
        <f t="shared" si="102"/>
        <v>0</v>
      </c>
      <c r="DM19" s="42">
        <f t="shared" si="102"/>
        <v>0</v>
      </c>
      <c r="DN19" s="42">
        <f t="shared" si="102"/>
        <v>0</v>
      </c>
      <c r="DO19" s="42">
        <f t="shared" si="102"/>
        <v>0</v>
      </c>
      <c r="DP19" s="42">
        <f t="shared" si="102"/>
        <v>0</v>
      </c>
      <c r="DQ19" s="42">
        <f t="shared" si="102"/>
        <v>0</v>
      </c>
      <c r="DR19" s="42">
        <f t="shared" si="102"/>
        <v>0</v>
      </c>
      <c r="DS19" s="42">
        <f t="shared" si="102"/>
        <v>0</v>
      </c>
      <c r="DT19" s="42">
        <f t="shared" si="102"/>
        <v>0</v>
      </c>
      <c r="DU19" s="42">
        <f t="shared" si="102"/>
        <v>0</v>
      </c>
      <c r="DV19" s="42">
        <f t="shared" si="102"/>
        <v>0</v>
      </c>
      <c r="DW19" s="42">
        <f t="shared" si="102"/>
        <v>0</v>
      </c>
      <c r="DY19" s="42">
        <f t="shared" ref="DY19:EK20" si="103">DY11-DY15</f>
        <v>0</v>
      </c>
      <c r="DZ19" s="42">
        <f t="shared" si="103"/>
        <v>0</v>
      </c>
      <c r="EA19" s="42">
        <f t="shared" si="103"/>
        <v>0</v>
      </c>
      <c r="EB19" s="42">
        <f t="shared" si="103"/>
        <v>0</v>
      </c>
      <c r="EC19" s="42">
        <f t="shared" si="103"/>
        <v>0</v>
      </c>
      <c r="ED19" s="42">
        <f t="shared" si="103"/>
        <v>0</v>
      </c>
      <c r="EE19" s="42">
        <f t="shared" si="103"/>
        <v>0</v>
      </c>
      <c r="EF19" s="42">
        <f t="shared" si="103"/>
        <v>0</v>
      </c>
      <c r="EG19" s="42">
        <f t="shared" si="103"/>
        <v>0</v>
      </c>
      <c r="EH19" s="42">
        <f t="shared" si="103"/>
        <v>0</v>
      </c>
      <c r="EI19" s="42">
        <f t="shared" si="103"/>
        <v>0</v>
      </c>
      <c r="EJ19" s="42">
        <f t="shared" si="103"/>
        <v>0</v>
      </c>
      <c r="EK19" s="42">
        <f t="shared" si="103"/>
        <v>0</v>
      </c>
    </row>
    <row r="20" spans="1:141" s="29" customFormat="1" outlineLevel="1">
      <c r="A20" s="40" t="s">
        <v>60</v>
      </c>
      <c r="B20" s="41" t="s">
        <v>3</v>
      </c>
      <c r="C20" s="335">
        <f t="shared" si="94"/>
        <v>0</v>
      </c>
      <c r="D20" s="42">
        <f t="shared" si="94"/>
        <v>0</v>
      </c>
      <c r="E20" s="42">
        <f t="shared" si="94"/>
        <v>0</v>
      </c>
      <c r="F20" s="42">
        <f t="shared" si="94"/>
        <v>0</v>
      </c>
      <c r="G20" s="42">
        <f t="shared" si="94"/>
        <v>0</v>
      </c>
      <c r="H20" s="42">
        <f t="shared" si="94"/>
        <v>0</v>
      </c>
      <c r="I20" s="42">
        <f t="shared" si="94"/>
        <v>0</v>
      </c>
      <c r="J20" s="42">
        <f t="shared" si="94"/>
        <v>0</v>
      </c>
      <c r="K20" s="42">
        <f t="shared" si="94"/>
        <v>0</v>
      </c>
      <c r="L20" s="42">
        <f t="shared" si="94"/>
        <v>0</v>
      </c>
      <c r="M20" s="42">
        <f t="shared" si="94"/>
        <v>0</v>
      </c>
      <c r="N20" s="42">
        <f t="shared" si="94"/>
        <v>0</v>
      </c>
      <c r="O20" s="336">
        <f t="shared" si="94"/>
        <v>0</v>
      </c>
      <c r="Q20" s="42">
        <f t="shared" si="95"/>
        <v>0</v>
      </c>
      <c r="R20" s="42">
        <f t="shared" si="95"/>
        <v>0</v>
      </c>
      <c r="S20" s="42">
        <f t="shared" si="95"/>
        <v>0</v>
      </c>
      <c r="T20" s="42">
        <f t="shared" si="95"/>
        <v>0</v>
      </c>
      <c r="U20" s="42">
        <f t="shared" si="95"/>
        <v>0</v>
      </c>
      <c r="V20" s="42">
        <f t="shared" si="95"/>
        <v>0</v>
      </c>
      <c r="W20" s="42">
        <f t="shared" si="95"/>
        <v>0</v>
      </c>
      <c r="X20" s="42">
        <f t="shared" si="95"/>
        <v>0</v>
      </c>
      <c r="Y20" s="42">
        <f t="shared" si="95"/>
        <v>0</v>
      </c>
      <c r="Z20" s="42">
        <f t="shared" si="95"/>
        <v>0</v>
      </c>
      <c r="AA20" s="42">
        <f t="shared" si="95"/>
        <v>0</v>
      </c>
      <c r="AB20" s="42">
        <f t="shared" si="95"/>
        <v>0</v>
      </c>
      <c r="AC20" s="42">
        <f t="shared" si="95"/>
        <v>0</v>
      </c>
      <c r="AE20" s="337">
        <f t="shared" si="96"/>
        <v>0</v>
      </c>
      <c r="AF20" s="42">
        <f t="shared" si="96"/>
        <v>0</v>
      </c>
      <c r="AG20" s="42">
        <f t="shared" si="96"/>
        <v>0</v>
      </c>
      <c r="AH20" s="42">
        <f t="shared" si="96"/>
        <v>0</v>
      </c>
      <c r="AI20" s="42">
        <f t="shared" si="96"/>
        <v>0</v>
      </c>
      <c r="AJ20" s="42">
        <f t="shared" si="96"/>
        <v>0</v>
      </c>
      <c r="AK20" s="42">
        <f t="shared" si="96"/>
        <v>0</v>
      </c>
      <c r="AL20" s="42">
        <f t="shared" si="96"/>
        <v>0</v>
      </c>
      <c r="AM20" s="42">
        <f t="shared" si="96"/>
        <v>0</v>
      </c>
      <c r="AN20" s="42">
        <f t="shared" si="96"/>
        <v>0</v>
      </c>
      <c r="AO20" s="42">
        <f t="shared" si="96"/>
        <v>0</v>
      </c>
      <c r="AP20" s="42">
        <f t="shared" si="96"/>
        <v>0</v>
      </c>
      <c r="AQ20" s="338">
        <f t="shared" si="96"/>
        <v>0</v>
      </c>
      <c r="AS20" s="42">
        <f t="shared" si="97"/>
        <v>0</v>
      </c>
      <c r="AT20" s="42">
        <f t="shared" si="97"/>
        <v>0</v>
      </c>
      <c r="AU20" s="42">
        <f t="shared" si="97"/>
        <v>0</v>
      </c>
      <c r="AV20" s="42">
        <f t="shared" si="97"/>
        <v>0</v>
      </c>
      <c r="AW20" s="42">
        <f t="shared" si="97"/>
        <v>0</v>
      </c>
      <c r="AX20" s="42">
        <f t="shared" si="97"/>
        <v>0</v>
      </c>
      <c r="AY20" s="42">
        <f t="shared" si="97"/>
        <v>0</v>
      </c>
      <c r="AZ20" s="42">
        <f t="shared" si="97"/>
        <v>0</v>
      </c>
      <c r="BA20" s="42">
        <f t="shared" si="97"/>
        <v>0</v>
      </c>
      <c r="BB20" s="42">
        <f t="shared" si="97"/>
        <v>0</v>
      </c>
      <c r="BC20" s="42">
        <f t="shared" si="97"/>
        <v>0</v>
      </c>
      <c r="BD20" s="42">
        <f t="shared" si="97"/>
        <v>0</v>
      </c>
      <c r="BE20" s="42">
        <f t="shared" si="97"/>
        <v>0</v>
      </c>
      <c r="BG20" s="42">
        <f t="shared" si="98"/>
        <v>0</v>
      </c>
      <c r="BH20" s="42">
        <f t="shared" si="98"/>
        <v>0</v>
      </c>
      <c r="BI20" s="42">
        <f t="shared" si="98"/>
        <v>0</v>
      </c>
      <c r="BJ20" s="42">
        <f t="shared" si="98"/>
        <v>0</v>
      </c>
      <c r="BK20" s="42">
        <f t="shared" si="98"/>
        <v>0</v>
      </c>
      <c r="BL20" s="42">
        <f t="shared" si="98"/>
        <v>0</v>
      </c>
      <c r="BM20" s="42">
        <f t="shared" si="98"/>
        <v>0</v>
      </c>
      <c r="BN20" s="42">
        <f t="shared" si="98"/>
        <v>0</v>
      </c>
      <c r="BO20" s="42">
        <f t="shared" si="98"/>
        <v>0</v>
      </c>
      <c r="BP20" s="42">
        <f t="shared" si="98"/>
        <v>0</v>
      </c>
      <c r="BQ20" s="42">
        <f t="shared" si="98"/>
        <v>0</v>
      </c>
      <c r="BR20" s="42">
        <f t="shared" si="98"/>
        <v>0</v>
      </c>
      <c r="BS20" s="42">
        <f t="shared" si="98"/>
        <v>0</v>
      </c>
      <c r="BU20" s="42">
        <f t="shared" si="99"/>
        <v>0</v>
      </c>
      <c r="BV20" s="42">
        <f t="shared" si="99"/>
        <v>0</v>
      </c>
      <c r="BW20" s="42">
        <f t="shared" si="99"/>
        <v>0</v>
      </c>
      <c r="BX20" s="42">
        <f t="shared" si="99"/>
        <v>0</v>
      </c>
      <c r="BY20" s="42">
        <f t="shared" si="99"/>
        <v>0</v>
      </c>
      <c r="BZ20" s="42">
        <f t="shared" si="99"/>
        <v>0</v>
      </c>
      <c r="CA20" s="42">
        <f t="shared" si="99"/>
        <v>0</v>
      </c>
      <c r="CB20" s="42">
        <f t="shared" si="99"/>
        <v>0</v>
      </c>
      <c r="CC20" s="42">
        <f t="shared" si="99"/>
        <v>0</v>
      </c>
      <c r="CD20" s="42">
        <f t="shared" si="99"/>
        <v>0</v>
      </c>
      <c r="CE20" s="42">
        <f t="shared" si="99"/>
        <v>0</v>
      </c>
      <c r="CF20" s="42">
        <f t="shared" si="99"/>
        <v>0</v>
      </c>
      <c r="CG20" s="42">
        <f t="shared" si="99"/>
        <v>0</v>
      </c>
      <c r="CI20" s="42">
        <f t="shared" si="100"/>
        <v>0</v>
      </c>
      <c r="CJ20" s="42">
        <f t="shared" si="100"/>
        <v>0</v>
      </c>
      <c r="CK20" s="42">
        <f t="shared" si="100"/>
        <v>0</v>
      </c>
      <c r="CL20" s="42">
        <f t="shared" si="100"/>
        <v>0</v>
      </c>
      <c r="CM20" s="42">
        <f t="shared" si="100"/>
        <v>0</v>
      </c>
      <c r="CN20" s="42">
        <f t="shared" si="100"/>
        <v>0</v>
      </c>
      <c r="CO20" s="42">
        <f t="shared" si="100"/>
        <v>0</v>
      </c>
      <c r="CP20" s="42">
        <f t="shared" si="100"/>
        <v>0</v>
      </c>
      <c r="CQ20" s="42">
        <f t="shared" si="100"/>
        <v>0</v>
      </c>
      <c r="CR20" s="42">
        <f t="shared" si="100"/>
        <v>0</v>
      </c>
      <c r="CS20" s="42">
        <f t="shared" si="100"/>
        <v>0</v>
      </c>
      <c r="CT20" s="42">
        <f t="shared" si="100"/>
        <v>0</v>
      </c>
      <c r="CU20" s="42">
        <f t="shared" si="100"/>
        <v>0</v>
      </c>
      <c r="CW20" s="42">
        <f t="shared" si="101"/>
        <v>0</v>
      </c>
      <c r="CX20" s="42">
        <f t="shared" si="101"/>
        <v>0</v>
      </c>
      <c r="CY20" s="42">
        <f t="shared" si="101"/>
        <v>0</v>
      </c>
      <c r="CZ20" s="42">
        <f t="shared" si="101"/>
        <v>0</v>
      </c>
      <c r="DA20" s="42">
        <f t="shared" si="101"/>
        <v>0</v>
      </c>
      <c r="DB20" s="42">
        <f t="shared" si="101"/>
        <v>0</v>
      </c>
      <c r="DC20" s="42">
        <f t="shared" si="101"/>
        <v>0</v>
      </c>
      <c r="DD20" s="42">
        <f t="shared" si="101"/>
        <v>0</v>
      </c>
      <c r="DE20" s="42">
        <f t="shared" si="101"/>
        <v>0</v>
      </c>
      <c r="DF20" s="42">
        <f t="shared" si="101"/>
        <v>0</v>
      </c>
      <c r="DG20" s="42">
        <f t="shared" si="101"/>
        <v>0</v>
      </c>
      <c r="DH20" s="42">
        <f t="shared" si="101"/>
        <v>0</v>
      </c>
      <c r="DI20" s="42">
        <f t="shared" si="101"/>
        <v>0</v>
      </c>
      <c r="DK20" s="42">
        <f t="shared" si="102"/>
        <v>0</v>
      </c>
      <c r="DL20" s="42">
        <f t="shared" si="102"/>
        <v>0</v>
      </c>
      <c r="DM20" s="42">
        <f t="shared" si="102"/>
        <v>0</v>
      </c>
      <c r="DN20" s="42">
        <f t="shared" si="102"/>
        <v>0</v>
      </c>
      <c r="DO20" s="42">
        <f t="shared" si="102"/>
        <v>0</v>
      </c>
      <c r="DP20" s="42">
        <f t="shared" si="102"/>
        <v>0</v>
      </c>
      <c r="DQ20" s="42">
        <f t="shared" si="102"/>
        <v>0</v>
      </c>
      <c r="DR20" s="42">
        <f t="shared" si="102"/>
        <v>0</v>
      </c>
      <c r="DS20" s="42">
        <f t="shared" si="102"/>
        <v>0</v>
      </c>
      <c r="DT20" s="42">
        <f t="shared" si="102"/>
        <v>0</v>
      </c>
      <c r="DU20" s="42">
        <f t="shared" si="102"/>
        <v>0</v>
      </c>
      <c r="DV20" s="42">
        <f t="shared" si="102"/>
        <v>0</v>
      </c>
      <c r="DW20" s="42">
        <f t="shared" si="102"/>
        <v>0</v>
      </c>
      <c r="DY20" s="42">
        <f t="shared" si="103"/>
        <v>0</v>
      </c>
      <c r="DZ20" s="42">
        <f t="shared" si="103"/>
        <v>0</v>
      </c>
      <c r="EA20" s="42">
        <f t="shared" si="103"/>
        <v>0</v>
      </c>
      <c r="EB20" s="42">
        <f t="shared" si="103"/>
        <v>0</v>
      </c>
      <c r="EC20" s="42">
        <f t="shared" si="103"/>
        <v>0</v>
      </c>
      <c r="ED20" s="42">
        <f t="shared" si="103"/>
        <v>0</v>
      </c>
      <c r="EE20" s="42">
        <f t="shared" si="103"/>
        <v>0</v>
      </c>
      <c r="EF20" s="42">
        <f t="shared" si="103"/>
        <v>0</v>
      </c>
      <c r="EG20" s="42">
        <f t="shared" si="103"/>
        <v>0</v>
      </c>
      <c r="EH20" s="42">
        <f t="shared" si="103"/>
        <v>0</v>
      </c>
      <c r="EI20" s="42">
        <f t="shared" si="103"/>
        <v>0</v>
      </c>
      <c r="EJ20" s="42">
        <f t="shared" si="103"/>
        <v>0</v>
      </c>
      <c r="EK20" s="42">
        <f t="shared" si="103"/>
        <v>0</v>
      </c>
    </row>
    <row r="21" spans="1:141" s="51" customFormat="1">
      <c r="A21" s="50">
        <v>5</v>
      </c>
      <c r="B21" s="91" t="s">
        <v>23</v>
      </c>
      <c r="C21" s="315">
        <f ca="1">SUM(C22:C24)-C25+C26</f>
        <v>111212601628.50815</v>
      </c>
      <c r="D21" s="92">
        <f t="shared" ref="D21:O21" ca="1" si="104">SUM(D22:D24)-D25+D26</f>
        <v>114873436029.88548</v>
      </c>
      <c r="E21" s="92">
        <f t="shared" ca="1" si="104"/>
        <v>119776625428.51089</v>
      </c>
      <c r="F21" s="92">
        <f t="shared" ca="1" si="104"/>
        <v>112734712585.69229</v>
      </c>
      <c r="G21" s="92">
        <f t="shared" ca="1" si="104"/>
        <v>117873445499.87956</v>
      </c>
      <c r="H21" s="92">
        <f t="shared" ca="1" si="104"/>
        <v>120582645115.09016</v>
      </c>
      <c r="I21" s="92">
        <f t="shared" ca="1" si="104"/>
        <v>117808728768.74878</v>
      </c>
      <c r="J21" s="92">
        <f t="shared" ca="1" si="104"/>
        <v>113823626530.15967</v>
      </c>
      <c r="K21" s="92">
        <f t="shared" ca="1" si="104"/>
        <v>120288847831.57895</v>
      </c>
      <c r="L21" s="92">
        <f t="shared" ca="1" si="104"/>
        <v>111590385881.41919</v>
      </c>
      <c r="M21" s="92">
        <f t="shared" ca="1" si="104"/>
        <v>118503066388.11282</v>
      </c>
      <c r="N21" s="92">
        <f t="shared" ca="1" si="104"/>
        <v>120122559977.8511</v>
      </c>
      <c r="O21" s="316">
        <f t="shared" ca="1" si="104"/>
        <v>1399190681665.437</v>
      </c>
      <c r="Q21" s="92">
        <f ca="1">SUM(Q22:Q24)-Q25+Q26</f>
        <v>-27323302697.108208</v>
      </c>
      <c r="R21" s="92">
        <f t="shared" ref="R21:AC21" ca="1" si="105">SUM(R22:R24)-R25+R26</f>
        <v>-20004195619.35812</v>
      </c>
      <c r="S21" s="92">
        <f t="shared" ca="1" si="105"/>
        <v>-32018611305.761116</v>
      </c>
      <c r="T21" s="92">
        <f t="shared" ca="1" si="105"/>
        <v>-38778923063.809082</v>
      </c>
      <c r="U21" s="92">
        <f t="shared" ca="1" si="105"/>
        <v>-40525449954.324837</v>
      </c>
      <c r="V21" s="92">
        <f t="shared" ca="1" si="105"/>
        <v>-39739119300.099083</v>
      </c>
      <c r="W21" s="92">
        <f t="shared" ca="1" si="105"/>
        <v>-41465120583.850342</v>
      </c>
      <c r="X21" s="92">
        <f t="shared" ca="1" si="105"/>
        <v>-41838143646.459785</v>
      </c>
      <c r="Y21" s="92">
        <f t="shared" ca="1" si="105"/>
        <v>-41281956350.234344</v>
      </c>
      <c r="Z21" s="92">
        <f t="shared" ca="1" si="105"/>
        <v>-42816980274.674599</v>
      </c>
      <c r="AA21" s="92">
        <f t="shared" ca="1" si="105"/>
        <v>-42342590645.937157</v>
      </c>
      <c r="AB21" s="92">
        <f t="shared" ca="1" si="105"/>
        <v>-42916102791.923332</v>
      </c>
      <c r="AC21" s="92">
        <f t="shared" ca="1" si="105"/>
        <v>-451050496233.53998</v>
      </c>
      <c r="AE21" s="317">
        <f>SUM(AE22:AE24)-AE25+AE26</f>
        <v>138535904325.61636</v>
      </c>
      <c r="AF21" s="92">
        <f t="shared" ref="AF21" si="106">SUM(AF22:AF24)-AF25+AF26</f>
        <v>134877631649.24359</v>
      </c>
      <c r="AG21" s="92">
        <f t="shared" ref="AG21" si="107">SUM(AG22:AG24)-AG25+AG26</f>
        <v>151795236734.272</v>
      </c>
      <c r="AH21" s="92">
        <f t="shared" ref="AH21:AQ21" si="108">SUM(AH22:AH24)-AH25+AH26</f>
        <v>151513635649.50137</v>
      </c>
      <c r="AI21" s="92">
        <f t="shared" si="108"/>
        <v>158398895454.20441</v>
      </c>
      <c r="AJ21" s="92">
        <f t="shared" si="108"/>
        <v>160321764415.18927</v>
      </c>
      <c r="AK21" s="92">
        <f t="shared" si="108"/>
        <v>159273849352.59912</v>
      </c>
      <c r="AL21" s="92">
        <f t="shared" si="108"/>
        <v>155661770176.61945</v>
      </c>
      <c r="AM21" s="92">
        <f t="shared" si="108"/>
        <v>161570804181.81329</v>
      </c>
      <c r="AN21" s="92">
        <f t="shared" si="108"/>
        <v>154407366156.09378</v>
      </c>
      <c r="AO21" s="92">
        <f t="shared" si="108"/>
        <v>160845657034.04999</v>
      </c>
      <c r="AP21" s="92">
        <f t="shared" si="108"/>
        <v>163038662769.77444</v>
      </c>
      <c r="AQ21" s="318">
        <f t="shared" si="108"/>
        <v>1850241177898.9771</v>
      </c>
      <c r="AS21" s="92">
        <f>SUM(AS22:AS24)-AS25+AS26</f>
        <v>111573152812.80542</v>
      </c>
      <c r="AT21" s="92">
        <f t="shared" ref="AT21" si="109">SUM(AT22:AT24)-AT25+AT26</f>
        <v>114942222906.7661</v>
      </c>
      <c r="AU21" s="92">
        <f t="shared" ref="AU21" si="110">SUM(AU22:AU24)-AU25+AU26</f>
        <v>120213688326.59052</v>
      </c>
      <c r="AV21" s="92">
        <f t="shared" ref="AV21:BE21" si="111">SUM(AV22:AV24)-AV25+AV26</f>
        <v>113297880731.08926</v>
      </c>
      <c r="AW21" s="92">
        <f t="shared" si="111"/>
        <v>119515804418.96034</v>
      </c>
      <c r="AX21" s="92">
        <f t="shared" si="111"/>
        <v>121320057022.57965</v>
      </c>
      <c r="AY21" s="92">
        <f t="shared" si="111"/>
        <v>119663072666.45052</v>
      </c>
      <c r="AZ21" s="92">
        <f t="shared" si="111"/>
        <v>116065893729.5943</v>
      </c>
      <c r="BA21" s="92">
        <f t="shared" si="111"/>
        <v>122487196346.25676</v>
      </c>
      <c r="BB21" s="92">
        <f t="shared" si="111"/>
        <v>113826945063.91806</v>
      </c>
      <c r="BC21" s="92">
        <f t="shared" si="111"/>
        <v>120726874069.98517</v>
      </c>
      <c r="BD21" s="92">
        <f t="shared" si="111"/>
        <v>122409403433.51817</v>
      </c>
      <c r="BE21" s="92">
        <f t="shared" si="111"/>
        <v>1416042191528.5142</v>
      </c>
      <c r="BG21" s="92">
        <f>SUM(BG22:BG24)-BG25+BG26</f>
        <v>26962751512.810944</v>
      </c>
      <c r="BH21" s="92">
        <f t="shared" ref="BH21:BS21" si="112">SUM(BH22:BH24)-BH25+BH26</f>
        <v>19935408742.477493</v>
      </c>
      <c r="BI21" s="92">
        <f t="shared" si="112"/>
        <v>31581548407.68148</v>
      </c>
      <c r="BJ21" s="92">
        <f t="shared" si="112"/>
        <v>38215754918.412109</v>
      </c>
      <c r="BK21" s="92">
        <f t="shared" si="112"/>
        <v>38883091035.244064</v>
      </c>
      <c r="BL21" s="92">
        <f t="shared" si="112"/>
        <v>39001707392.609604</v>
      </c>
      <c r="BM21" s="92">
        <f t="shared" si="112"/>
        <v>39610776686.148605</v>
      </c>
      <c r="BN21" s="92">
        <f t="shared" si="112"/>
        <v>39595876447.025162</v>
      </c>
      <c r="BO21" s="92">
        <f t="shared" si="112"/>
        <v>39083607835.556519</v>
      </c>
      <c r="BP21" s="92">
        <f t="shared" si="112"/>
        <v>40580421092.175728</v>
      </c>
      <c r="BQ21" s="92">
        <f t="shared" si="112"/>
        <v>40118782964.064819</v>
      </c>
      <c r="BR21" s="92">
        <f t="shared" si="112"/>
        <v>40629259336.256271</v>
      </c>
      <c r="BS21" s="92">
        <f t="shared" si="112"/>
        <v>434198986370.46283</v>
      </c>
      <c r="BU21" s="92">
        <f>SUM(BU22:BU24)-BU25+BU26</f>
        <v>8478157471.7655973</v>
      </c>
      <c r="BV21" s="92">
        <f t="shared" ref="BV21" si="113">SUM(BV22:BV24)-BV25+BV26</f>
        <v>5235740866.6198034</v>
      </c>
      <c r="BW21" s="92">
        <f t="shared" ref="BW21" si="114">SUM(BW22:BW24)-BW25+BW26</f>
        <v>11530976859.605236</v>
      </c>
      <c r="BX21" s="92">
        <f t="shared" ref="BX21:CG21" si="115">SUM(BX22:BX24)-BX25+BX26</f>
        <v>14968395993.026005</v>
      </c>
      <c r="BY21" s="92">
        <f t="shared" si="115"/>
        <v>15656322864.174459</v>
      </c>
      <c r="BZ21" s="92">
        <f t="shared" si="115"/>
        <v>15691296430.507793</v>
      </c>
      <c r="CA21" s="92">
        <f t="shared" si="115"/>
        <v>16260498469.03055</v>
      </c>
      <c r="CB21" s="92">
        <f t="shared" si="115"/>
        <v>16220814562.990442</v>
      </c>
      <c r="CC21" s="92">
        <f t="shared" si="115"/>
        <v>15730897670.588888</v>
      </c>
      <c r="CD21" s="92">
        <f t="shared" si="115"/>
        <v>16242258013.567102</v>
      </c>
      <c r="CE21" s="92">
        <f t="shared" si="115"/>
        <v>15724372504.23311</v>
      </c>
      <c r="CF21" s="92">
        <f t="shared" si="115"/>
        <v>16250234673.697218</v>
      </c>
      <c r="CG21" s="92">
        <f t="shared" si="115"/>
        <v>167989966379.80621</v>
      </c>
      <c r="CI21" s="92">
        <f>SUM(CI22:CI24)-CI25+CI26</f>
        <v>7000537685.8035145</v>
      </c>
      <c r="CJ21" s="92">
        <f t="shared" ref="CJ21" si="116">SUM(CJ22:CJ24)-CJ25+CJ26</f>
        <v>5496251537.248991</v>
      </c>
      <c r="CK21" s="92">
        <f t="shared" ref="CK21" si="117">SUM(CK22:CK24)-CK25+CK26</f>
        <v>7472657178.92169</v>
      </c>
      <c r="CL21" s="92">
        <f t="shared" ref="CL21:CU21" si="118">SUM(CL22:CL24)-CL25+CL26</f>
        <v>8021124720.639864</v>
      </c>
      <c r="CM21" s="92">
        <f t="shared" si="118"/>
        <v>7979613653.8398638</v>
      </c>
      <c r="CN21" s="92">
        <f t="shared" si="118"/>
        <v>8023942964.1065302</v>
      </c>
      <c r="CO21" s="92">
        <f t="shared" si="118"/>
        <v>8036990287.973197</v>
      </c>
      <c r="CP21" s="92">
        <f t="shared" si="118"/>
        <v>8054522932.556531</v>
      </c>
      <c r="CQ21" s="92">
        <f t="shared" si="118"/>
        <v>8042917711.6731977</v>
      </c>
      <c r="CR21" s="92">
        <f t="shared" si="118"/>
        <v>7984165295.0065308</v>
      </c>
      <c r="CS21" s="92">
        <f t="shared" si="118"/>
        <v>8001244068.306531</v>
      </c>
      <c r="CT21" s="92">
        <f t="shared" si="118"/>
        <v>7999740771.1065302</v>
      </c>
      <c r="CU21" s="92">
        <f t="shared" si="118"/>
        <v>92113708807.182983</v>
      </c>
      <c r="CW21" s="92">
        <f>SUM(CW22:CW24)-CW25+CW26</f>
        <v>11484056355.241835</v>
      </c>
      <c r="CX21" s="92">
        <f t="shared" ref="CX21" si="119">SUM(CX22:CX24)-CX25+CX26</f>
        <v>9203416338.6086998</v>
      </c>
      <c r="CY21" s="92">
        <f t="shared" ref="CY21" si="120">SUM(CY22:CY24)-CY25+CY26</f>
        <v>12577914369.154554</v>
      </c>
      <c r="CZ21" s="92">
        <f t="shared" ref="CZ21:DI21" si="121">SUM(CZ22:CZ24)-CZ25+CZ26</f>
        <v>15226234204.746243</v>
      </c>
      <c r="DA21" s="92">
        <f t="shared" si="121"/>
        <v>15247154517.229738</v>
      </c>
      <c r="DB21" s="92">
        <f t="shared" si="121"/>
        <v>15286467997.995285</v>
      </c>
      <c r="DC21" s="92">
        <f t="shared" si="121"/>
        <v>15313287929.144857</v>
      </c>
      <c r="DD21" s="92">
        <f t="shared" si="121"/>
        <v>15320538951.478191</v>
      </c>
      <c r="DE21" s="92">
        <f t="shared" si="121"/>
        <v>15309792453.29443</v>
      </c>
      <c r="DF21" s="92">
        <f t="shared" si="121"/>
        <v>16353997783.602098</v>
      </c>
      <c r="DG21" s="92">
        <f t="shared" si="121"/>
        <v>16393166391.525175</v>
      </c>
      <c r="DH21" s="92">
        <f t="shared" si="121"/>
        <v>16379283891.452524</v>
      </c>
      <c r="DI21" s="92">
        <f t="shared" si="121"/>
        <v>174095311183.47363</v>
      </c>
      <c r="DK21" s="92">
        <f>SUM(DK22:DK24)-DK25+DK26</f>
        <v>0</v>
      </c>
      <c r="DL21" s="92">
        <f t="shared" ref="DL21" si="122">SUM(DL22:DL24)-DL25+DL26</f>
        <v>0</v>
      </c>
      <c r="DM21" s="92">
        <f t="shared" ref="DM21" si="123">SUM(DM22:DM24)-DM25+DM26</f>
        <v>0</v>
      </c>
      <c r="DN21" s="92">
        <f t="shared" ref="DN21:DW21" si="124">SUM(DN22:DN24)-DN25+DN26</f>
        <v>0</v>
      </c>
      <c r="DO21" s="92">
        <f t="shared" si="124"/>
        <v>0</v>
      </c>
      <c r="DP21" s="92">
        <f t="shared" si="124"/>
        <v>0</v>
      </c>
      <c r="DQ21" s="92">
        <f t="shared" si="124"/>
        <v>0</v>
      </c>
      <c r="DR21" s="92">
        <f t="shared" si="124"/>
        <v>0</v>
      </c>
      <c r="DS21" s="92">
        <f t="shared" si="124"/>
        <v>0</v>
      </c>
      <c r="DT21" s="92">
        <f t="shared" si="124"/>
        <v>0</v>
      </c>
      <c r="DU21" s="92">
        <f t="shared" si="124"/>
        <v>0</v>
      </c>
      <c r="DV21" s="92">
        <f t="shared" si="124"/>
        <v>0</v>
      </c>
      <c r="DW21" s="92">
        <f t="shared" si="124"/>
        <v>0</v>
      </c>
      <c r="DY21" s="92">
        <f>SUM(DY22:DY24)-DY25+DY26</f>
        <v>0</v>
      </c>
      <c r="DZ21" s="92">
        <f t="shared" ref="DZ21:EK21" si="125">SUM(DZ22:DZ24)-DZ25+DZ26</f>
        <v>0</v>
      </c>
      <c r="EA21" s="92">
        <f t="shared" si="125"/>
        <v>0</v>
      </c>
      <c r="EB21" s="92">
        <f t="shared" si="125"/>
        <v>0</v>
      </c>
      <c r="EC21" s="92">
        <f t="shared" si="125"/>
        <v>0</v>
      </c>
      <c r="ED21" s="92">
        <f t="shared" si="125"/>
        <v>0</v>
      </c>
      <c r="EE21" s="92">
        <f t="shared" si="125"/>
        <v>0</v>
      </c>
      <c r="EF21" s="92">
        <f t="shared" si="125"/>
        <v>0</v>
      </c>
      <c r="EG21" s="92">
        <f t="shared" si="125"/>
        <v>0</v>
      </c>
      <c r="EH21" s="92">
        <f t="shared" si="125"/>
        <v>0</v>
      </c>
      <c r="EI21" s="92">
        <f t="shared" si="125"/>
        <v>0</v>
      </c>
      <c r="EJ21" s="92">
        <f t="shared" si="125"/>
        <v>0</v>
      </c>
      <c r="EK21" s="92">
        <f t="shared" si="125"/>
        <v>0</v>
      </c>
    </row>
    <row r="22" spans="1:141" outlineLevel="2">
      <c r="A22" s="38" t="s">
        <v>64</v>
      </c>
      <c r="B22" s="39" t="s">
        <v>1</v>
      </c>
      <c r="C22" s="339">
        <f t="shared" ref="C22:N26" si="126">Q22+AE22</f>
        <v>111573152812.80542</v>
      </c>
      <c r="D22" s="73">
        <f t="shared" si="126"/>
        <v>114942222906.7661</v>
      </c>
      <c r="E22" s="73">
        <f t="shared" si="126"/>
        <v>120213688326.59052</v>
      </c>
      <c r="F22" s="73">
        <f t="shared" si="126"/>
        <v>113297880731.08926</v>
      </c>
      <c r="G22" s="73">
        <f t="shared" si="126"/>
        <v>119515804418.96034</v>
      </c>
      <c r="H22" s="73">
        <f t="shared" si="126"/>
        <v>121320057022.57965</v>
      </c>
      <c r="I22" s="73">
        <f t="shared" si="126"/>
        <v>119663072666.45052</v>
      </c>
      <c r="J22" s="73">
        <f t="shared" si="126"/>
        <v>116065893729.5943</v>
      </c>
      <c r="K22" s="73">
        <f t="shared" si="126"/>
        <v>122487196346.25676</v>
      </c>
      <c r="L22" s="73">
        <f t="shared" si="126"/>
        <v>113826945063.91806</v>
      </c>
      <c r="M22" s="73">
        <f t="shared" si="126"/>
        <v>120726874069.98517</v>
      </c>
      <c r="N22" s="73">
        <f t="shared" si="126"/>
        <v>122409403433.51817</v>
      </c>
      <c r="O22" s="340">
        <f>SUM(C22:N22)</f>
        <v>1416042191528.5142</v>
      </c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>
        <f>SUM(Q22:AB22)</f>
        <v>0</v>
      </c>
      <c r="AE22" s="341">
        <f t="shared" ref="AE22:AP24" si="127">AS22+BU22+CI22+CW22+DK22</f>
        <v>111573152812.80542</v>
      </c>
      <c r="AF22" s="73">
        <f t="shared" si="127"/>
        <v>114942222906.7661</v>
      </c>
      <c r="AG22" s="73">
        <f t="shared" si="127"/>
        <v>120213688326.59052</v>
      </c>
      <c r="AH22" s="73">
        <f t="shared" si="127"/>
        <v>113297880731.08926</v>
      </c>
      <c r="AI22" s="73">
        <f t="shared" si="127"/>
        <v>119515804418.96034</v>
      </c>
      <c r="AJ22" s="73">
        <f t="shared" si="127"/>
        <v>121320057022.57965</v>
      </c>
      <c r="AK22" s="73">
        <f t="shared" si="127"/>
        <v>119663072666.45052</v>
      </c>
      <c r="AL22" s="73">
        <f t="shared" si="127"/>
        <v>116065893729.5943</v>
      </c>
      <c r="AM22" s="73">
        <f t="shared" si="127"/>
        <v>122487196346.25676</v>
      </c>
      <c r="AN22" s="73">
        <f t="shared" si="127"/>
        <v>113826945063.91806</v>
      </c>
      <c r="AO22" s="73">
        <f t="shared" si="127"/>
        <v>120726874069.98517</v>
      </c>
      <c r="AP22" s="73">
        <f t="shared" si="127"/>
        <v>122409403433.51817</v>
      </c>
      <c r="AQ22" s="342">
        <f>SUM(AE22:AP22)</f>
        <v>1416042191528.5142</v>
      </c>
      <c r="AS22" s="73">
        <f>'PL-KH26-DTR'!BL8</f>
        <v>111573152812.80542</v>
      </c>
      <c r="AT22" s="73">
        <f>'PL-KH26-DTR'!BM8</f>
        <v>114942222906.7661</v>
      </c>
      <c r="AU22" s="73">
        <f>'PL-KH26-DTR'!BN8</f>
        <v>120213688326.59052</v>
      </c>
      <c r="AV22" s="73">
        <f>'PL-KH26-DTR'!BO8</f>
        <v>113297880731.08926</v>
      </c>
      <c r="AW22" s="73">
        <f>'PL-KH26-DTR'!BP8</f>
        <v>119515804418.96034</v>
      </c>
      <c r="AX22" s="73">
        <f>'PL-KH26-DTR'!BQ8</f>
        <v>121320057022.57965</v>
      </c>
      <c r="AY22" s="73">
        <f>'PL-KH26-DTR'!BR8</f>
        <v>119663072666.45052</v>
      </c>
      <c r="AZ22" s="73">
        <f>'PL-KH26-DTR'!BS8</f>
        <v>116065893729.5943</v>
      </c>
      <c r="BA22" s="73">
        <f>'PL-KH26-DTR'!BT8</f>
        <v>122487196346.25676</v>
      </c>
      <c r="BB22" s="73">
        <f>'PL-KH26-DTR'!BU8</f>
        <v>113826945063.91806</v>
      </c>
      <c r="BC22" s="73">
        <f>'PL-KH26-DTR'!BV8</f>
        <v>120726874069.98517</v>
      </c>
      <c r="BD22" s="73">
        <f>'PL-KH26-DTR'!BW8</f>
        <v>122409403433.51817</v>
      </c>
      <c r="BE22" s="73">
        <f>SUM(AS22:BD22)</f>
        <v>1416042191528.5142</v>
      </c>
      <c r="BG22" s="73">
        <f t="shared" ref="BG22:BR24" si="128">BU22+CI22+CW22</f>
        <v>0</v>
      </c>
      <c r="BH22" s="73">
        <f t="shared" si="128"/>
        <v>0</v>
      </c>
      <c r="BI22" s="73">
        <f t="shared" si="128"/>
        <v>0</v>
      </c>
      <c r="BJ22" s="73">
        <f t="shared" si="128"/>
        <v>0</v>
      </c>
      <c r="BK22" s="73">
        <f t="shared" si="128"/>
        <v>0</v>
      </c>
      <c r="BL22" s="73">
        <f t="shared" si="128"/>
        <v>0</v>
      </c>
      <c r="BM22" s="73">
        <f t="shared" si="128"/>
        <v>0</v>
      </c>
      <c r="BN22" s="73">
        <f t="shared" si="128"/>
        <v>0</v>
      </c>
      <c r="BO22" s="73">
        <f t="shared" si="128"/>
        <v>0</v>
      </c>
      <c r="BP22" s="73">
        <f t="shared" si="128"/>
        <v>0</v>
      </c>
      <c r="BQ22" s="73">
        <f t="shared" si="128"/>
        <v>0</v>
      </c>
      <c r="BR22" s="73">
        <f t="shared" si="128"/>
        <v>0</v>
      </c>
      <c r="BS22" s="73">
        <f>SUM(BG22:BR22)</f>
        <v>0</v>
      </c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>
        <f>SUM(BU22:CF22)</f>
        <v>0</v>
      </c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>
        <f>SUM(CI22:CT22)</f>
        <v>0</v>
      </c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>
        <f>SUM(CW22:DH22)</f>
        <v>0</v>
      </c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>
        <f>SUM(DK22:DV22)</f>
        <v>0</v>
      </c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>
        <f>SUM(DY22:EJ22)</f>
        <v>0</v>
      </c>
    </row>
    <row r="23" spans="1:141" outlineLevel="2">
      <c r="A23" s="38" t="s">
        <v>67</v>
      </c>
      <c r="B23" s="39" t="s">
        <v>2</v>
      </c>
      <c r="C23" s="339">
        <f t="shared" si="126"/>
        <v>-1442204737.1890564</v>
      </c>
      <c r="D23" s="73">
        <f t="shared" si="126"/>
        <v>-275147507.52250671</v>
      </c>
      <c r="E23" s="73">
        <f t="shared" si="126"/>
        <v>-1748251592.3185196</v>
      </c>
      <c r="F23" s="73">
        <f t="shared" si="126"/>
        <v>-2252672581.5878906</v>
      </c>
      <c r="G23" s="73">
        <f t="shared" si="126"/>
        <v>-2242821464.7559357</v>
      </c>
      <c r="H23" s="73">
        <f t="shared" si="126"/>
        <v>-2124205107.3903961</v>
      </c>
      <c r="I23" s="73">
        <f t="shared" si="126"/>
        <v>-2172620813.8513947</v>
      </c>
      <c r="J23" s="73">
        <f t="shared" si="126"/>
        <v>-2211051052.9748383</v>
      </c>
      <c r="K23" s="73">
        <f t="shared" si="126"/>
        <v>-2064929664.4434814</v>
      </c>
      <c r="L23" s="73">
        <f t="shared" si="126"/>
        <v>-2573621407.8242722</v>
      </c>
      <c r="M23" s="73">
        <f t="shared" si="126"/>
        <v>-2377368285.9351807</v>
      </c>
      <c r="N23" s="73">
        <f t="shared" si="126"/>
        <v>-2514220663.7437286</v>
      </c>
      <c r="O23" s="340">
        <f t="shared" ref="O23:O24" si="129">SUM(C23:N23)</f>
        <v>-23999114879.537201</v>
      </c>
      <c r="Q23" s="73">
        <f>Q11</f>
        <v>-28404956250</v>
      </c>
      <c r="R23" s="73">
        <f t="shared" ref="R23:AB23" si="130">R11</f>
        <v>-20210556250</v>
      </c>
      <c r="S23" s="73">
        <f t="shared" si="130"/>
        <v>-33329800000</v>
      </c>
      <c r="T23" s="73">
        <f t="shared" si="130"/>
        <v>-40468427500</v>
      </c>
      <c r="U23" s="73">
        <f t="shared" si="130"/>
        <v>-41125912500</v>
      </c>
      <c r="V23" s="73">
        <f t="shared" si="130"/>
        <v>-41125912500</v>
      </c>
      <c r="W23" s="73">
        <f t="shared" si="130"/>
        <v>-41783397500</v>
      </c>
      <c r="X23" s="73">
        <f t="shared" si="130"/>
        <v>-41806927500</v>
      </c>
      <c r="Y23" s="73">
        <f t="shared" si="130"/>
        <v>-41148537500</v>
      </c>
      <c r="Z23" s="73">
        <f t="shared" si="130"/>
        <v>-43154042500</v>
      </c>
      <c r="AA23" s="73">
        <f t="shared" si="130"/>
        <v>-42496151250</v>
      </c>
      <c r="AB23" s="73">
        <f t="shared" si="130"/>
        <v>-43143480000</v>
      </c>
      <c r="AC23" s="73">
        <f t="shared" ref="AC23:AC24" si="131">SUM(Q23:AB23)</f>
        <v>-458198101250</v>
      </c>
      <c r="AE23" s="341">
        <f t="shared" si="127"/>
        <v>26962751512.810944</v>
      </c>
      <c r="AF23" s="73">
        <f t="shared" si="127"/>
        <v>19935408742.477493</v>
      </c>
      <c r="AG23" s="73">
        <f t="shared" si="127"/>
        <v>31581548407.68148</v>
      </c>
      <c r="AH23" s="73">
        <f t="shared" si="127"/>
        <v>38215754918.412109</v>
      </c>
      <c r="AI23" s="73">
        <f t="shared" si="127"/>
        <v>38883091035.244064</v>
      </c>
      <c r="AJ23" s="73">
        <f t="shared" si="127"/>
        <v>39001707392.609604</v>
      </c>
      <c r="AK23" s="73">
        <f t="shared" si="127"/>
        <v>39610776686.148605</v>
      </c>
      <c r="AL23" s="73">
        <f t="shared" si="127"/>
        <v>39595876447.025162</v>
      </c>
      <c r="AM23" s="73">
        <f t="shared" si="127"/>
        <v>39083607835.556519</v>
      </c>
      <c r="AN23" s="73">
        <f t="shared" si="127"/>
        <v>40580421092.175728</v>
      </c>
      <c r="AO23" s="73">
        <f t="shared" si="127"/>
        <v>40118782964.064819</v>
      </c>
      <c r="AP23" s="73">
        <f t="shared" si="127"/>
        <v>40629259336.256271</v>
      </c>
      <c r="AQ23" s="342">
        <f t="shared" ref="AQ23:AQ24" si="132">SUM(AE23:AP23)</f>
        <v>434198986370.46283</v>
      </c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>
        <f t="shared" ref="BE23:BE24" si="133">SUM(AS23:BD23)</f>
        <v>0</v>
      </c>
      <c r="BG23" s="73">
        <f t="shared" si="128"/>
        <v>26962751512.810944</v>
      </c>
      <c r="BH23" s="73">
        <f t="shared" si="128"/>
        <v>19935408742.477493</v>
      </c>
      <c r="BI23" s="73">
        <f t="shared" si="128"/>
        <v>31581548407.68148</v>
      </c>
      <c r="BJ23" s="73">
        <f t="shared" si="128"/>
        <v>38215754918.412109</v>
      </c>
      <c r="BK23" s="73">
        <f t="shared" si="128"/>
        <v>38883091035.244064</v>
      </c>
      <c r="BL23" s="73">
        <f t="shared" si="128"/>
        <v>39001707392.609604</v>
      </c>
      <c r="BM23" s="73">
        <f t="shared" si="128"/>
        <v>39610776686.148605</v>
      </c>
      <c r="BN23" s="73">
        <f t="shared" si="128"/>
        <v>39595876447.025162</v>
      </c>
      <c r="BO23" s="73">
        <f t="shared" si="128"/>
        <v>39083607835.556519</v>
      </c>
      <c r="BP23" s="73">
        <f t="shared" si="128"/>
        <v>40580421092.175728</v>
      </c>
      <c r="BQ23" s="73">
        <f t="shared" si="128"/>
        <v>40118782964.064819</v>
      </c>
      <c r="BR23" s="73">
        <f t="shared" si="128"/>
        <v>40629259336.256271</v>
      </c>
      <c r="BS23" s="73">
        <f t="shared" ref="BS23:BS24" si="134">SUM(BG23:BR23)</f>
        <v>434198986370.46283</v>
      </c>
      <c r="BU23" s="73">
        <f>'PL-KH26-DongLam'!G16+'PL-KH26-DongLam'!G28+'PL-KH26-DongLam'!G32</f>
        <v>8478157471.7655973</v>
      </c>
      <c r="BV23" s="73">
        <f>'PL-KH26-DongLam'!H16+'PL-KH26-DongLam'!H28+'PL-KH26-DongLam'!H32</f>
        <v>5235740866.6198034</v>
      </c>
      <c r="BW23" s="73">
        <f>'PL-KH26-DongLam'!I16+'PL-KH26-DongLam'!I28+'PL-KH26-DongLam'!I32</f>
        <v>11530976859.605236</v>
      </c>
      <c r="BX23" s="73">
        <f>'PL-KH26-DongLam'!J16+'PL-KH26-DongLam'!J28+'PL-KH26-DongLam'!J32</f>
        <v>14968395993.026005</v>
      </c>
      <c r="BY23" s="73">
        <f>'PL-KH26-DongLam'!K16+'PL-KH26-DongLam'!K28+'PL-KH26-DongLam'!K32</f>
        <v>15656322864.174459</v>
      </c>
      <c r="BZ23" s="73">
        <f>'PL-KH26-DongLam'!L16+'PL-KH26-DongLam'!L28+'PL-KH26-DongLam'!L32</f>
        <v>15691296430.507793</v>
      </c>
      <c r="CA23" s="73">
        <f>'PL-KH26-DongLam'!M16+'PL-KH26-DongLam'!M28+'PL-KH26-DongLam'!M32</f>
        <v>16260498469.03055</v>
      </c>
      <c r="CB23" s="73">
        <f>'PL-KH26-DongLam'!N16+'PL-KH26-DongLam'!N28+'PL-KH26-DongLam'!N32</f>
        <v>16220814562.990442</v>
      </c>
      <c r="CC23" s="73">
        <f>'PL-KH26-DongLam'!O16+'PL-KH26-DongLam'!O28+'PL-KH26-DongLam'!O32</f>
        <v>15730897670.588888</v>
      </c>
      <c r="CD23" s="73">
        <f>'PL-KH26-DongLam'!P16+'PL-KH26-DongLam'!P28+'PL-KH26-DongLam'!P32</f>
        <v>16242258013.567102</v>
      </c>
      <c r="CE23" s="73">
        <f>'PL-KH26-DongLam'!Q16+'PL-KH26-DongLam'!Q28+'PL-KH26-DongLam'!Q32</f>
        <v>15724372504.23311</v>
      </c>
      <c r="CF23" s="73">
        <f>'PL-KH26-DongLam'!R16+'PL-KH26-DongLam'!R28+'PL-KH26-DongLam'!R32</f>
        <v>16250234673.697218</v>
      </c>
      <c r="CG23" s="73">
        <f t="shared" ref="CG23:CG24" si="135">SUM(BU23:CF23)</f>
        <v>167989966379.80621</v>
      </c>
      <c r="CI23" s="73">
        <f>'PL-KH26-KhanhNga'!G15+'PL-KH26-KhanhNga'!G27+'PL-KH26-KhanhNga'!G31</f>
        <v>7000537685.8035145</v>
      </c>
      <c r="CJ23" s="73">
        <f>'PL-KH26-KhanhNga'!H15+'PL-KH26-KhanhNga'!H27+'PL-KH26-KhanhNga'!H31</f>
        <v>5496251537.248991</v>
      </c>
      <c r="CK23" s="73">
        <f>'PL-KH26-KhanhNga'!I15+'PL-KH26-KhanhNga'!I27+'PL-KH26-KhanhNga'!I31</f>
        <v>7472657178.92169</v>
      </c>
      <c r="CL23" s="73">
        <f>'PL-KH26-KhanhNga'!J15+'PL-KH26-KhanhNga'!J27+'PL-KH26-KhanhNga'!J31</f>
        <v>8021124720.639864</v>
      </c>
      <c r="CM23" s="73">
        <f>'PL-KH26-KhanhNga'!K15+'PL-KH26-KhanhNga'!K27+'PL-KH26-KhanhNga'!K31</f>
        <v>7979613653.8398638</v>
      </c>
      <c r="CN23" s="73">
        <f>'PL-KH26-KhanhNga'!L15+'PL-KH26-KhanhNga'!L27+'PL-KH26-KhanhNga'!L31</f>
        <v>8023942964.1065302</v>
      </c>
      <c r="CO23" s="73">
        <f>'PL-KH26-KhanhNga'!M15+'PL-KH26-KhanhNga'!M27+'PL-KH26-KhanhNga'!M31</f>
        <v>8036990287.973197</v>
      </c>
      <c r="CP23" s="73">
        <f>'PL-KH26-KhanhNga'!N15+'PL-KH26-KhanhNga'!N27+'PL-KH26-KhanhNga'!N31</f>
        <v>8054522932.556531</v>
      </c>
      <c r="CQ23" s="73">
        <f>'PL-KH26-KhanhNga'!O15+'PL-KH26-KhanhNga'!O27+'PL-KH26-KhanhNga'!O31</f>
        <v>8042917711.6731977</v>
      </c>
      <c r="CR23" s="73">
        <f>'PL-KH26-KhanhNga'!P15+'PL-KH26-KhanhNga'!P27+'PL-KH26-KhanhNga'!P31</f>
        <v>7984165295.0065308</v>
      </c>
      <c r="CS23" s="73">
        <f>'PL-KH26-KhanhNga'!Q15+'PL-KH26-KhanhNga'!Q27+'PL-KH26-KhanhNga'!Q31</f>
        <v>8001244068.306531</v>
      </c>
      <c r="CT23" s="73">
        <f>'PL-KH26-KhanhNga'!R15+'PL-KH26-KhanhNga'!R27+'PL-KH26-KhanhNga'!R31</f>
        <v>7999740771.1065302</v>
      </c>
      <c r="CU23" s="73">
        <f t="shared" ref="CU23:CU24" si="136">SUM(CI23:CT23)</f>
        <v>92113708807.182983</v>
      </c>
      <c r="CW23" s="73">
        <f>'PL-KH26-DaiLoc'!F17+'PL-KH26-DaiLoc'!F29+'PL-KH26-DaiLoc'!F33</f>
        <v>11484056355.241835</v>
      </c>
      <c r="CX23" s="73">
        <f>'PL-KH26-DaiLoc'!G17+'PL-KH26-DaiLoc'!G29+'PL-KH26-DaiLoc'!G33</f>
        <v>9203416338.6086998</v>
      </c>
      <c r="CY23" s="73">
        <f>'PL-KH26-DaiLoc'!H17+'PL-KH26-DaiLoc'!H29+'PL-KH26-DaiLoc'!H33</f>
        <v>12577914369.154554</v>
      </c>
      <c r="CZ23" s="73">
        <f>'PL-KH26-DaiLoc'!I17+'PL-KH26-DaiLoc'!I29+'PL-KH26-DaiLoc'!I33</f>
        <v>15226234204.746243</v>
      </c>
      <c r="DA23" s="73">
        <f>'PL-KH26-DaiLoc'!J17+'PL-KH26-DaiLoc'!J29+'PL-KH26-DaiLoc'!J33</f>
        <v>15247154517.229738</v>
      </c>
      <c r="DB23" s="73">
        <f>'PL-KH26-DaiLoc'!K17+'PL-KH26-DaiLoc'!K29+'PL-KH26-DaiLoc'!K33</f>
        <v>15286467997.995285</v>
      </c>
      <c r="DC23" s="73">
        <f>'PL-KH26-DaiLoc'!L17+'PL-KH26-DaiLoc'!L29+'PL-KH26-DaiLoc'!L33</f>
        <v>15313287929.144857</v>
      </c>
      <c r="DD23" s="73">
        <f>'PL-KH26-DaiLoc'!M17+'PL-KH26-DaiLoc'!M29+'PL-KH26-DaiLoc'!M33</f>
        <v>15320538951.478191</v>
      </c>
      <c r="DE23" s="73">
        <f>'PL-KH26-DaiLoc'!N17+'PL-KH26-DaiLoc'!N29+'PL-KH26-DaiLoc'!N33</f>
        <v>15309792453.29443</v>
      </c>
      <c r="DF23" s="73">
        <f>'PL-KH26-DaiLoc'!O17+'PL-KH26-DaiLoc'!O29+'PL-KH26-DaiLoc'!O33</f>
        <v>16353997783.602098</v>
      </c>
      <c r="DG23" s="73">
        <f>'PL-KH26-DaiLoc'!P17+'PL-KH26-DaiLoc'!P29+'PL-KH26-DaiLoc'!P33</f>
        <v>16393166391.525175</v>
      </c>
      <c r="DH23" s="73">
        <f>'PL-KH26-DaiLoc'!Q17+'PL-KH26-DaiLoc'!Q29+'PL-KH26-DaiLoc'!Q33</f>
        <v>16379283891.452524</v>
      </c>
      <c r="DI23" s="73">
        <f t="shared" ref="DI23:DI24" si="137">SUM(CW23:DH23)</f>
        <v>174095311183.47363</v>
      </c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>
        <f t="shared" ref="DW23:DW24" si="138">SUM(DK23:DV23)</f>
        <v>0</v>
      </c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>
        <f t="shared" ref="EK23:EK24" si="139">SUM(DY23:EJ23)</f>
        <v>0</v>
      </c>
    </row>
    <row r="24" spans="1:141" outlineLevel="2">
      <c r="A24" s="38" t="s">
        <v>68</v>
      </c>
      <c r="B24" s="39" t="s">
        <v>3</v>
      </c>
      <c r="C24" s="315">
        <f t="shared" si="126"/>
        <v>0</v>
      </c>
      <c r="D24" s="92">
        <f t="shared" si="126"/>
        <v>0</v>
      </c>
      <c r="E24" s="92">
        <f t="shared" si="126"/>
        <v>0</v>
      </c>
      <c r="F24" s="92">
        <f t="shared" si="126"/>
        <v>0</v>
      </c>
      <c r="G24" s="92">
        <f t="shared" si="126"/>
        <v>0</v>
      </c>
      <c r="H24" s="92">
        <f t="shared" si="126"/>
        <v>0</v>
      </c>
      <c r="I24" s="92">
        <f t="shared" si="126"/>
        <v>0</v>
      </c>
      <c r="J24" s="92">
        <f t="shared" si="126"/>
        <v>0</v>
      </c>
      <c r="K24" s="92">
        <f t="shared" si="126"/>
        <v>0</v>
      </c>
      <c r="L24" s="92">
        <f t="shared" si="126"/>
        <v>0</v>
      </c>
      <c r="M24" s="92">
        <f t="shared" si="126"/>
        <v>0</v>
      </c>
      <c r="N24" s="92">
        <f t="shared" si="126"/>
        <v>0</v>
      </c>
      <c r="O24" s="316">
        <f t="shared" si="129"/>
        <v>0</v>
      </c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>
        <f t="shared" si="131"/>
        <v>0</v>
      </c>
      <c r="AE24" s="317">
        <f t="shared" si="127"/>
        <v>0</v>
      </c>
      <c r="AF24" s="92">
        <f t="shared" si="127"/>
        <v>0</v>
      </c>
      <c r="AG24" s="92">
        <f t="shared" si="127"/>
        <v>0</v>
      </c>
      <c r="AH24" s="92">
        <f t="shared" si="127"/>
        <v>0</v>
      </c>
      <c r="AI24" s="92">
        <f t="shared" si="127"/>
        <v>0</v>
      </c>
      <c r="AJ24" s="92">
        <f t="shared" si="127"/>
        <v>0</v>
      </c>
      <c r="AK24" s="92">
        <f t="shared" si="127"/>
        <v>0</v>
      </c>
      <c r="AL24" s="92">
        <f t="shared" si="127"/>
        <v>0</v>
      </c>
      <c r="AM24" s="92">
        <f t="shared" si="127"/>
        <v>0</v>
      </c>
      <c r="AN24" s="92">
        <f t="shared" si="127"/>
        <v>0</v>
      </c>
      <c r="AO24" s="92">
        <f t="shared" si="127"/>
        <v>0</v>
      </c>
      <c r="AP24" s="92">
        <f t="shared" si="127"/>
        <v>0</v>
      </c>
      <c r="AQ24" s="318">
        <f t="shared" si="132"/>
        <v>0</v>
      </c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>
        <f t="shared" si="133"/>
        <v>0</v>
      </c>
      <c r="BG24" s="92">
        <f t="shared" si="128"/>
        <v>0</v>
      </c>
      <c r="BH24" s="92">
        <f t="shared" si="128"/>
        <v>0</v>
      </c>
      <c r="BI24" s="92">
        <f t="shared" si="128"/>
        <v>0</v>
      </c>
      <c r="BJ24" s="92">
        <f t="shared" si="128"/>
        <v>0</v>
      </c>
      <c r="BK24" s="92">
        <f t="shared" si="128"/>
        <v>0</v>
      </c>
      <c r="BL24" s="92">
        <f t="shared" si="128"/>
        <v>0</v>
      </c>
      <c r="BM24" s="92">
        <f t="shared" si="128"/>
        <v>0</v>
      </c>
      <c r="BN24" s="92">
        <f t="shared" si="128"/>
        <v>0</v>
      </c>
      <c r="BO24" s="92">
        <f t="shared" si="128"/>
        <v>0</v>
      </c>
      <c r="BP24" s="92">
        <f t="shared" si="128"/>
        <v>0</v>
      </c>
      <c r="BQ24" s="92">
        <f t="shared" si="128"/>
        <v>0</v>
      </c>
      <c r="BR24" s="92">
        <f t="shared" si="128"/>
        <v>0</v>
      </c>
      <c r="BS24" s="92">
        <f t="shared" si="134"/>
        <v>0</v>
      </c>
      <c r="BU24" s="92"/>
      <c r="BV24" s="92"/>
      <c r="BW24" s="92"/>
      <c r="BX24" s="92"/>
      <c r="BY24" s="92"/>
      <c r="BZ24" s="92"/>
      <c r="CA24" s="92"/>
      <c r="CB24" s="92"/>
      <c r="CC24" s="92"/>
      <c r="CD24" s="92"/>
      <c r="CE24" s="92"/>
      <c r="CF24" s="92"/>
      <c r="CG24" s="92">
        <f t="shared" si="135"/>
        <v>0</v>
      </c>
      <c r="CI24" s="92"/>
      <c r="CJ24" s="92"/>
      <c r="CK24" s="92"/>
      <c r="CL24" s="92"/>
      <c r="CM24" s="92"/>
      <c r="CN24" s="92"/>
      <c r="CO24" s="92"/>
      <c r="CP24" s="92"/>
      <c r="CQ24" s="92"/>
      <c r="CR24" s="92"/>
      <c r="CS24" s="92"/>
      <c r="CT24" s="92"/>
      <c r="CU24" s="92">
        <f t="shared" si="136"/>
        <v>0</v>
      </c>
      <c r="CW24" s="92"/>
      <c r="CX24" s="92"/>
      <c r="CY24" s="92"/>
      <c r="CZ24" s="92"/>
      <c r="DA24" s="92"/>
      <c r="DB24" s="92"/>
      <c r="DC24" s="92"/>
      <c r="DD24" s="92"/>
      <c r="DE24" s="92"/>
      <c r="DF24" s="92"/>
      <c r="DG24" s="92"/>
      <c r="DH24" s="92"/>
      <c r="DI24" s="92">
        <f t="shared" si="137"/>
        <v>0</v>
      </c>
      <c r="DK24" s="92"/>
      <c r="DL24" s="92"/>
      <c r="DM24" s="92"/>
      <c r="DN24" s="92"/>
      <c r="DO24" s="92"/>
      <c r="DP24" s="92"/>
      <c r="DQ24" s="92"/>
      <c r="DR24" s="92"/>
      <c r="DS24" s="92"/>
      <c r="DT24" s="92"/>
      <c r="DU24" s="92"/>
      <c r="DV24" s="92"/>
      <c r="DW24" s="92">
        <f t="shared" si="138"/>
        <v>0</v>
      </c>
      <c r="DY24" s="92"/>
      <c r="DZ24" s="92"/>
      <c r="EA24" s="92"/>
      <c r="EB24" s="92"/>
      <c r="EC24" s="92"/>
      <c r="ED24" s="92"/>
      <c r="EE24" s="92"/>
      <c r="EF24" s="92"/>
      <c r="EG24" s="92"/>
      <c r="EH24" s="92"/>
      <c r="EI24" s="92"/>
      <c r="EJ24" s="92"/>
      <c r="EK24" s="92">
        <f t="shared" si="139"/>
        <v>0</v>
      </c>
    </row>
    <row r="25" spans="1:141" s="28" customFormat="1" outlineLevel="1">
      <c r="A25" s="43" t="s">
        <v>6</v>
      </c>
      <c r="B25" s="44" t="s">
        <v>4</v>
      </c>
      <c r="C25" s="343">
        <f t="shared" si="126"/>
        <v>0</v>
      </c>
      <c r="D25" s="102">
        <f t="shared" ca="1" si="126"/>
        <v>1081653552.8917923</v>
      </c>
      <c r="E25" s="102">
        <f t="shared" ca="1" si="126"/>
        <v>1288014183.5336723</v>
      </c>
      <c r="F25" s="102">
        <f t="shared" ca="1" si="126"/>
        <v>2599202877.772562</v>
      </c>
      <c r="G25" s="102">
        <f t="shared" ca="1" si="126"/>
        <v>4288707313.96348</v>
      </c>
      <c r="H25" s="102">
        <f t="shared" ca="1" si="126"/>
        <v>4889169859.6386395</v>
      </c>
      <c r="I25" s="102">
        <f t="shared" ca="1" si="126"/>
        <v>6275963059.5395565</v>
      </c>
      <c r="J25" s="102">
        <f t="shared" ca="1" si="126"/>
        <v>6594239975.6892128</v>
      </c>
      <c r="K25" s="102">
        <f t="shared" ca="1" si="126"/>
        <v>6563023829.2294235</v>
      </c>
      <c r="L25" s="102">
        <f t="shared" ca="1" si="126"/>
        <v>6429604978.9950829</v>
      </c>
      <c r="M25" s="102">
        <f t="shared" ca="1" si="126"/>
        <v>6766667204.3204899</v>
      </c>
      <c r="N25" s="102">
        <f t="shared" ca="1" si="126"/>
        <v>6920227808.3833294</v>
      </c>
      <c r="O25" s="344"/>
      <c r="Q25" s="102"/>
      <c r="R25" s="102">
        <f ca="1">Q26</f>
        <v>1081653552.8917923</v>
      </c>
      <c r="S25" s="102">
        <f t="shared" ref="S25:AB25" ca="1" si="140">R26</f>
        <v>1288014183.5336723</v>
      </c>
      <c r="T25" s="102">
        <f t="shared" ca="1" si="140"/>
        <v>2599202877.772562</v>
      </c>
      <c r="U25" s="102">
        <f t="shared" ca="1" si="140"/>
        <v>4288707313.96348</v>
      </c>
      <c r="V25" s="102">
        <f t="shared" ca="1" si="140"/>
        <v>4889169859.6386395</v>
      </c>
      <c r="W25" s="102">
        <f t="shared" ca="1" si="140"/>
        <v>6275963059.5395565</v>
      </c>
      <c r="X25" s="102">
        <f t="shared" ca="1" si="140"/>
        <v>6594239975.6892128</v>
      </c>
      <c r="Y25" s="102">
        <f t="shared" ca="1" si="140"/>
        <v>6563023829.2294235</v>
      </c>
      <c r="Z25" s="102">
        <f t="shared" ca="1" si="140"/>
        <v>6429604978.9950829</v>
      </c>
      <c r="AA25" s="102">
        <f t="shared" ca="1" si="140"/>
        <v>6766667204.3204899</v>
      </c>
      <c r="AB25" s="102">
        <f t="shared" ca="1" si="140"/>
        <v>6920227808.3833294</v>
      </c>
      <c r="AC25" s="102"/>
      <c r="AE25" s="345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346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2"/>
      <c r="CG25" s="102"/>
      <c r="CI25" s="102"/>
      <c r="CJ25" s="102"/>
      <c r="CK25" s="102"/>
      <c r="CL25" s="102"/>
      <c r="CM25" s="102"/>
      <c r="CN25" s="102"/>
      <c r="CO25" s="102"/>
      <c r="CP25" s="102"/>
      <c r="CQ25" s="102"/>
      <c r="CR25" s="102"/>
      <c r="CS25" s="102"/>
      <c r="CT25" s="102"/>
      <c r="CU25" s="102"/>
      <c r="CW25" s="102"/>
      <c r="CX25" s="102"/>
      <c r="CY25" s="102"/>
      <c r="CZ25" s="102"/>
      <c r="DA25" s="102"/>
      <c r="DB25" s="102"/>
      <c r="DC25" s="102"/>
      <c r="DD25" s="102"/>
      <c r="DE25" s="102"/>
      <c r="DF25" s="102"/>
      <c r="DG25" s="102"/>
      <c r="DH25" s="102"/>
      <c r="DI25" s="102"/>
      <c r="DK25" s="102"/>
      <c r="DL25" s="102"/>
      <c r="DM25" s="102"/>
      <c r="DN25" s="102"/>
      <c r="DO25" s="102"/>
      <c r="DP25" s="102"/>
      <c r="DQ25" s="102"/>
      <c r="DR25" s="102"/>
      <c r="DS25" s="102"/>
      <c r="DT25" s="102"/>
      <c r="DU25" s="102"/>
      <c r="DV25" s="102"/>
      <c r="DW25" s="102"/>
      <c r="DY25" s="102"/>
      <c r="DZ25" s="102"/>
      <c r="EA25" s="102"/>
      <c r="EB25" s="102"/>
      <c r="EC25" s="102"/>
      <c r="ED25" s="102"/>
      <c r="EE25" s="102"/>
      <c r="EF25" s="102"/>
      <c r="EG25" s="102"/>
      <c r="EH25" s="102"/>
      <c r="EI25" s="102"/>
      <c r="EJ25" s="102"/>
      <c r="EK25" s="102"/>
    </row>
    <row r="26" spans="1:141" s="28" customFormat="1" outlineLevel="1">
      <c r="A26" s="64" t="s">
        <v>7</v>
      </c>
      <c r="B26" s="65" t="s">
        <v>5</v>
      </c>
      <c r="C26" s="347">
        <f t="shared" ca="1" si="126"/>
        <v>1081653552.8917923</v>
      </c>
      <c r="D26" s="94">
        <f t="shared" ca="1" si="126"/>
        <v>1288014183.5336723</v>
      </c>
      <c r="E26" s="94">
        <f t="shared" ca="1" si="126"/>
        <v>2599202877.772562</v>
      </c>
      <c r="F26" s="94">
        <f t="shared" ca="1" si="126"/>
        <v>4288707313.96348</v>
      </c>
      <c r="G26" s="94">
        <f t="shared" ca="1" si="126"/>
        <v>4889169859.6386395</v>
      </c>
      <c r="H26" s="94">
        <f t="shared" ca="1" si="126"/>
        <v>6275963059.5395565</v>
      </c>
      <c r="I26" s="94">
        <f t="shared" ca="1" si="126"/>
        <v>6594239975.6892128</v>
      </c>
      <c r="J26" s="94">
        <f t="shared" ca="1" si="126"/>
        <v>6563023829.2294235</v>
      </c>
      <c r="K26" s="94">
        <f t="shared" ca="1" si="126"/>
        <v>6429604978.9950829</v>
      </c>
      <c r="L26" s="94">
        <f t="shared" ca="1" si="126"/>
        <v>6766667204.3204899</v>
      </c>
      <c r="M26" s="94">
        <f t="shared" ca="1" si="126"/>
        <v>6920227808.3833294</v>
      </c>
      <c r="N26" s="94">
        <f t="shared" ca="1" si="126"/>
        <v>7147605016.4599972</v>
      </c>
      <c r="O26" s="348">
        <f ca="1">N26</f>
        <v>7147605016.4599972</v>
      </c>
      <c r="Q26" s="94">
        <f ca="1">IF(OR($R$1=1,$R$1=0),0,SUM(OFFSET(AE29,0,MAX(-(AE$4-1),-($R$1-1)),1,MIN(AE$4,$R$1)))/$R$1*($R$1-1))</f>
        <v>1081653552.8917923</v>
      </c>
      <c r="R26" s="94">
        <f t="shared" ref="R26:AB26" ca="1" si="141">IF(OR($R$1=1,$R$1=0),0,SUM(OFFSET(AF29,0,MAX(-(AF$4-1),-($R$1-1)),1,MIN(AF$4,$R$1)))/$R$1*($R$1-1))</f>
        <v>1288014183.5336723</v>
      </c>
      <c r="S26" s="94">
        <f t="shared" ca="1" si="141"/>
        <v>2599202877.772562</v>
      </c>
      <c r="T26" s="94">
        <f t="shared" ca="1" si="141"/>
        <v>4288707313.96348</v>
      </c>
      <c r="U26" s="94">
        <f t="shared" ca="1" si="141"/>
        <v>4889169859.6386395</v>
      </c>
      <c r="V26" s="94">
        <f t="shared" ca="1" si="141"/>
        <v>6275963059.5395565</v>
      </c>
      <c r="W26" s="94">
        <f t="shared" ca="1" si="141"/>
        <v>6594239975.6892128</v>
      </c>
      <c r="X26" s="94">
        <f t="shared" ca="1" si="141"/>
        <v>6563023829.2294235</v>
      </c>
      <c r="Y26" s="94">
        <f t="shared" ca="1" si="141"/>
        <v>6429604978.9950829</v>
      </c>
      <c r="Z26" s="94">
        <f t="shared" ca="1" si="141"/>
        <v>6766667204.3204899</v>
      </c>
      <c r="AA26" s="94">
        <f t="shared" ca="1" si="141"/>
        <v>6920227808.3833294</v>
      </c>
      <c r="AB26" s="94">
        <f t="shared" ca="1" si="141"/>
        <v>7147605016.4599972</v>
      </c>
      <c r="AC26" s="94">
        <f ca="1">AB26</f>
        <v>7147605016.4599972</v>
      </c>
      <c r="AE26" s="349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350">
        <f>AP26</f>
        <v>0</v>
      </c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>
        <f>BD26</f>
        <v>0</v>
      </c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>
        <f>BR26</f>
        <v>0</v>
      </c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>
        <f>CF26</f>
        <v>0</v>
      </c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>
        <f>CT26</f>
        <v>0</v>
      </c>
      <c r="CW26" s="94"/>
      <c r="CX26" s="94"/>
      <c r="CY26" s="94"/>
      <c r="CZ26" s="94"/>
      <c r="DA26" s="94"/>
      <c r="DB26" s="94"/>
      <c r="DC26" s="94"/>
      <c r="DD26" s="94"/>
      <c r="DE26" s="94"/>
      <c r="DF26" s="94"/>
      <c r="DG26" s="94"/>
      <c r="DH26" s="94"/>
      <c r="DI26" s="94">
        <f>DH26</f>
        <v>0</v>
      </c>
      <c r="DK26" s="94"/>
      <c r="DL26" s="94"/>
      <c r="DM26" s="94"/>
      <c r="DN26" s="94"/>
      <c r="DO26" s="94"/>
      <c r="DP26" s="94"/>
      <c r="DQ26" s="94"/>
      <c r="DR26" s="94"/>
      <c r="DS26" s="94"/>
      <c r="DT26" s="94"/>
      <c r="DU26" s="94"/>
      <c r="DV26" s="94"/>
      <c r="DW26" s="94">
        <f>DV26</f>
        <v>0</v>
      </c>
      <c r="DY26" s="94"/>
      <c r="DZ26" s="94"/>
      <c r="EA26" s="94"/>
      <c r="EB26" s="94"/>
      <c r="EC26" s="94"/>
      <c r="ED26" s="94"/>
      <c r="EE26" s="94"/>
      <c r="EF26" s="94"/>
      <c r="EG26" s="94"/>
      <c r="EH26" s="94"/>
      <c r="EI26" s="94"/>
      <c r="EJ26" s="94"/>
      <c r="EK26" s="94">
        <f>EJ26</f>
        <v>0</v>
      </c>
    </row>
    <row r="27" spans="1:141" s="51" customFormat="1">
      <c r="A27" s="66">
        <v>6</v>
      </c>
      <c r="B27" s="62" t="s">
        <v>24</v>
      </c>
      <c r="C27" s="351">
        <f ca="1">SUM(C28:C30)</f>
        <v>18292739508.34864</v>
      </c>
      <c r="D27" s="95">
        <f t="shared" ref="D27:O27" ca="1" si="142">SUM(D28:D30)</f>
        <v>13101005147.981304</v>
      </c>
      <c r="E27" s="95">
        <f t="shared" ca="1" si="142"/>
        <v>21822866399.316353</v>
      </c>
      <c r="F27" s="95">
        <f t="shared" ca="1" si="142"/>
        <v>19047553932.9095</v>
      </c>
      <c r="G27" s="95">
        <f t="shared" ca="1" si="142"/>
        <v>22370861984.857491</v>
      </c>
      <c r="H27" s="95">
        <f t="shared" ca="1" si="142"/>
        <v>20826655104.153481</v>
      </c>
      <c r="I27" s="95">
        <f t="shared" ca="1" si="142"/>
        <v>27595328619.211185</v>
      </c>
      <c r="J27" s="95">
        <f t="shared" ca="1" si="142"/>
        <v>27452734987.984951</v>
      </c>
      <c r="K27" s="95">
        <f t="shared" ca="1" si="142"/>
        <v>27907651710.703655</v>
      </c>
      <c r="L27" s="95">
        <f t="shared" ca="1" si="142"/>
        <v>26394095361.744438</v>
      </c>
      <c r="M27" s="95">
        <f t="shared" ca="1" si="142"/>
        <v>27425993950.714073</v>
      </c>
      <c r="N27" s="95">
        <f t="shared" ca="1" si="142"/>
        <v>27319453768.320335</v>
      </c>
      <c r="O27" s="352">
        <f t="shared" ca="1" si="142"/>
        <v>279556940476.24542</v>
      </c>
      <c r="Q27" s="95">
        <f ca="1">SUM(Q28:Q30)</f>
        <v>-1081653552.8917923</v>
      </c>
      <c r="R27" s="95">
        <f t="shared" ref="R27:AC27" ca="1" si="143">SUM(R28:R30)</f>
        <v>-206360630.64188004</v>
      </c>
      <c r="S27" s="95">
        <f t="shared" ca="1" si="143"/>
        <v>-1311188694.2388897</v>
      </c>
      <c r="T27" s="95">
        <f t="shared" ca="1" si="143"/>
        <v>-1689504436.190918</v>
      </c>
      <c r="U27" s="95">
        <f t="shared" ca="1" si="143"/>
        <v>-600462545.67515945</v>
      </c>
      <c r="V27" s="95">
        <f t="shared" ca="1" si="143"/>
        <v>-1386793199.9009171</v>
      </c>
      <c r="W27" s="95">
        <f t="shared" ca="1" si="143"/>
        <v>-318276916.1496563</v>
      </c>
      <c r="X27" s="95">
        <f t="shared" ca="1" si="143"/>
        <v>31216146.459789276</v>
      </c>
      <c r="Y27" s="95">
        <f t="shared" ca="1" si="143"/>
        <v>133418850.23434067</v>
      </c>
      <c r="Z27" s="95">
        <f t="shared" ca="1" si="143"/>
        <v>-337062225.32540703</v>
      </c>
      <c r="AA27" s="95">
        <f t="shared" ca="1" si="143"/>
        <v>-153560604.06283951</v>
      </c>
      <c r="AB27" s="95">
        <f t="shared" ca="1" si="143"/>
        <v>-227377208.07666779</v>
      </c>
      <c r="AC27" s="95">
        <f t="shared" ca="1" si="143"/>
        <v>-7147605016.4599972</v>
      </c>
      <c r="AE27" s="353">
        <f>SUM(AE28:AE30)</f>
        <v>19374393061.240433</v>
      </c>
      <c r="AF27" s="95">
        <f t="shared" ref="AF27:AQ27" si="144">SUM(AF28:AF30)</f>
        <v>13307365778.623184</v>
      </c>
      <c r="AG27" s="95">
        <f t="shared" si="144"/>
        <v>23134055093.555244</v>
      </c>
      <c r="AH27" s="95">
        <f t="shared" si="144"/>
        <v>20737058369.100418</v>
      </c>
      <c r="AI27" s="95">
        <f t="shared" si="144"/>
        <v>22971324530.532654</v>
      </c>
      <c r="AJ27" s="95">
        <f t="shared" si="144"/>
        <v>22213448304.054398</v>
      </c>
      <c r="AK27" s="95">
        <f t="shared" si="144"/>
        <v>27913605535.36084</v>
      </c>
      <c r="AL27" s="95">
        <f t="shared" si="144"/>
        <v>27421518841.525162</v>
      </c>
      <c r="AM27" s="95">
        <f t="shared" si="144"/>
        <v>27774232860.469315</v>
      </c>
      <c r="AN27" s="95">
        <f t="shared" si="144"/>
        <v>26731157587.069847</v>
      </c>
      <c r="AO27" s="95">
        <f t="shared" si="144"/>
        <v>27579554554.776917</v>
      </c>
      <c r="AP27" s="95">
        <f t="shared" si="144"/>
        <v>27546830976.397003</v>
      </c>
      <c r="AQ27" s="354">
        <f t="shared" si="144"/>
        <v>286704545492.70538</v>
      </c>
      <c r="AS27" s="95">
        <f>SUM(AS28:AS30)</f>
        <v>17932188324.051376</v>
      </c>
      <c r="AT27" s="95">
        <f t="shared" ref="AT27:BE27" si="145">SUM(AT28:AT30)</f>
        <v>13032218271.100677</v>
      </c>
      <c r="AU27" s="95">
        <f t="shared" si="145"/>
        <v>21385803501.236725</v>
      </c>
      <c r="AV27" s="95">
        <f t="shared" si="145"/>
        <v>18484385787.512527</v>
      </c>
      <c r="AW27" s="95">
        <f t="shared" si="145"/>
        <v>20728503065.776718</v>
      </c>
      <c r="AX27" s="95">
        <f t="shared" si="145"/>
        <v>20089243196.664001</v>
      </c>
      <c r="AY27" s="95">
        <f t="shared" si="145"/>
        <v>25740984721.509445</v>
      </c>
      <c r="AZ27" s="95">
        <f t="shared" si="145"/>
        <v>25210467788.550323</v>
      </c>
      <c r="BA27" s="95">
        <f t="shared" si="145"/>
        <v>25709303196.025833</v>
      </c>
      <c r="BB27" s="95">
        <f t="shared" si="145"/>
        <v>24157536179.245575</v>
      </c>
      <c r="BC27" s="95">
        <f t="shared" si="145"/>
        <v>25202186268.841736</v>
      </c>
      <c r="BD27" s="95">
        <f t="shared" si="145"/>
        <v>25032610312.653275</v>
      </c>
      <c r="BE27" s="95">
        <f t="shared" si="145"/>
        <v>262705430613.16821</v>
      </c>
      <c r="BG27" s="95">
        <f>SUM(BG28:BG30)</f>
        <v>1442204737.1890564</v>
      </c>
      <c r="BH27" s="95">
        <f t="shared" ref="BH27:BS27" si="146">SUM(BH28:BH30)</f>
        <v>275147507.52250671</v>
      </c>
      <c r="BI27" s="95">
        <f t="shared" si="146"/>
        <v>1748251592.3185196</v>
      </c>
      <c r="BJ27" s="95">
        <f t="shared" si="146"/>
        <v>2252672581.5878906</v>
      </c>
      <c r="BK27" s="95">
        <f t="shared" si="146"/>
        <v>2242821464.7559357</v>
      </c>
      <c r="BL27" s="95">
        <f t="shared" si="146"/>
        <v>2124205107.3903961</v>
      </c>
      <c r="BM27" s="95">
        <f t="shared" si="146"/>
        <v>2172620813.8513947</v>
      </c>
      <c r="BN27" s="95">
        <f t="shared" si="146"/>
        <v>2211051052.9748383</v>
      </c>
      <c r="BO27" s="95">
        <f t="shared" si="146"/>
        <v>2064929664.4434814</v>
      </c>
      <c r="BP27" s="95">
        <f t="shared" si="146"/>
        <v>2573621407.8242722</v>
      </c>
      <c r="BQ27" s="95">
        <f t="shared" si="146"/>
        <v>2377368285.9351807</v>
      </c>
      <c r="BR27" s="95">
        <f t="shared" si="146"/>
        <v>2514220663.7437286</v>
      </c>
      <c r="BS27" s="95">
        <f t="shared" si="146"/>
        <v>23999114879.53717</v>
      </c>
      <c r="BU27" s="95">
        <f>SUM(BU28:BU30)</f>
        <v>942030028.23440266</v>
      </c>
      <c r="BV27" s="95">
        <f t="shared" ref="BV27:CG27" si="147">SUM(BV28:BV30)</f>
        <v>416371633.38019657</v>
      </c>
      <c r="BW27" s="95">
        <f t="shared" si="147"/>
        <v>912123140.39476395</v>
      </c>
      <c r="BX27" s="95">
        <f t="shared" si="147"/>
        <v>811244006.97399521</v>
      </c>
      <c r="BY27" s="95">
        <f t="shared" si="147"/>
        <v>780802135.82554054</v>
      </c>
      <c r="BZ27" s="95">
        <f t="shared" si="147"/>
        <v>745828569.49220657</v>
      </c>
      <c r="CA27" s="95">
        <f t="shared" si="147"/>
        <v>834111530.96945</v>
      </c>
      <c r="CB27" s="95">
        <f t="shared" si="147"/>
        <v>897325437.00955772</v>
      </c>
      <c r="CC27" s="95">
        <f t="shared" si="147"/>
        <v>728852329.41111183</v>
      </c>
      <c r="CD27" s="95">
        <f t="shared" si="147"/>
        <v>862914486.43289757</v>
      </c>
      <c r="CE27" s="95">
        <f t="shared" si="147"/>
        <v>722908745.76688957</v>
      </c>
      <c r="CF27" s="95">
        <f t="shared" si="147"/>
        <v>844375326.30278206</v>
      </c>
      <c r="CG27" s="95">
        <f t="shared" si="147"/>
        <v>9498887370.1937866</v>
      </c>
      <c r="CI27" s="95">
        <f>SUM(CI28:CI30)</f>
        <v>469012314.19648552</v>
      </c>
      <c r="CJ27" s="95">
        <f t="shared" ref="CJ27:CU27" si="148">SUM(CJ28:CJ30)</f>
        <v>105910962.75100899</v>
      </c>
      <c r="CK27" s="95">
        <f t="shared" si="148"/>
        <v>619355321.07831001</v>
      </c>
      <c r="CL27" s="95">
        <f t="shared" si="148"/>
        <v>693350279.36013603</v>
      </c>
      <c r="CM27" s="95">
        <f t="shared" si="148"/>
        <v>734861346.16013622</v>
      </c>
      <c r="CN27" s="95">
        <f t="shared" si="148"/>
        <v>690532035.89346981</v>
      </c>
      <c r="CO27" s="95">
        <f t="shared" si="148"/>
        <v>677484712.02680302</v>
      </c>
      <c r="CP27" s="95">
        <f t="shared" si="148"/>
        <v>659952067.44346905</v>
      </c>
      <c r="CQ27" s="95">
        <f t="shared" si="148"/>
        <v>671557288.32680225</v>
      </c>
      <c r="CR27" s="95">
        <f t="shared" si="148"/>
        <v>730309704.99346924</v>
      </c>
      <c r="CS27" s="95">
        <f t="shared" si="148"/>
        <v>713230931.69346905</v>
      </c>
      <c r="CT27" s="95">
        <f t="shared" si="148"/>
        <v>714734228.89346981</v>
      </c>
      <c r="CU27" s="95">
        <f t="shared" si="148"/>
        <v>7480291192.8170166</v>
      </c>
      <c r="CW27" s="95">
        <f>SUM(CW28:CW30)</f>
        <v>31162394.758165359</v>
      </c>
      <c r="CX27" s="95">
        <f t="shared" ref="CX27:DI27" si="149">SUM(CX28:CX30)</f>
        <v>-247135088.6086998</v>
      </c>
      <c r="CY27" s="95">
        <f t="shared" si="149"/>
        <v>216773130.84544563</v>
      </c>
      <c r="CZ27" s="95">
        <f t="shared" si="149"/>
        <v>748078295.25375748</v>
      </c>
      <c r="DA27" s="95">
        <f t="shared" si="149"/>
        <v>727157982.77026176</v>
      </c>
      <c r="DB27" s="95">
        <f t="shared" si="149"/>
        <v>687844502.00471497</v>
      </c>
      <c r="DC27" s="95">
        <f t="shared" si="149"/>
        <v>661024570.85514259</v>
      </c>
      <c r="DD27" s="95">
        <f t="shared" si="149"/>
        <v>653773548.52180862</v>
      </c>
      <c r="DE27" s="95">
        <f t="shared" si="149"/>
        <v>664520046.70557022</v>
      </c>
      <c r="DF27" s="95">
        <f t="shared" si="149"/>
        <v>980397216.39790154</v>
      </c>
      <c r="DG27" s="95">
        <f t="shared" si="149"/>
        <v>941228608.47482491</v>
      </c>
      <c r="DH27" s="95">
        <f t="shared" si="149"/>
        <v>955111108.54747581</v>
      </c>
      <c r="DI27" s="95">
        <f t="shared" si="149"/>
        <v>7019936316.5263672</v>
      </c>
      <c r="DK27" s="95">
        <f>SUM(DK28:DK30)</f>
        <v>0</v>
      </c>
      <c r="DL27" s="95">
        <f t="shared" ref="DL27:DW27" si="150">SUM(DL28:DL30)</f>
        <v>0</v>
      </c>
      <c r="DM27" s="95">
        <f t="shared" si="150"/>
        <v>0</v>
      </c>
      <c r="DN27" s="95">
        <f t="shared" si="150"/>
        <v>0</v>
      </c>
      <c r="DO27" s="95">
        <f t="shared" si="150"/>
        <v>0</v>
      </c>
      <c r="DP27" s="95">
        <f t="shared" si="150"/>
        <v>0</v>
      </c>
      <c r="DQ27" s="95">
        <f t="shared" si="150"/>
        <v>0</v>
      </c>
      <c r="DR27" s="95">
        <f t="shared" si="150"/>
        <v>0</v>
      </c>
      <c r="DS27" s="95">
        <f t="shared" si="150"/>
        <v>0</v>
      </c>
      <c r="DT27" s="95">
        <f t="shared" si="150"/>
        <v>0</v>
      </c>
      <c r="DU27" s="95">
        <f t="shared" si="150"/>
        <v>0</v>
      </c>
      <c r="DV27" s="95">
        <f t="shared" si="150"/>
        <v>0</v>
      </c>
      <c r="DW27" s="95">
        <f t="shared" si="150"/>
        <v>0</v>
      </c>
      <c r="DY27" s="95">
        <f>SUM(DY28:DY30)</f>
        <v>0</v>
      </c>
      <c r="DZ27" s="95">
        <f t="shared" ref="DZ27:EK27" si="151">SUM(DZ28:DZ30)</f>
        <v>0</v>
      </c>
      <c r="EA27" s="95">
        <f t="shared" si="151"/>
        <v>0</v>
      </c>
      <c r="EB27" s="95">
        <f t="shared" si="151"/>
        <v>0</v>
      </c>
      <c r="EC27" s="95">
        <f t="shared" si="151"/>
        <v>0</v>
      </c>
      <c r="ED27" s="95">
        <f t="shared" si="151"/>
        <v>0</v>
      </c>
      <c r="EE27" s="95">
        <f t="shared" si="151"/>
        <v>0</v>
      </c>
      <c r="EF27" s="95">
        <f t="shared" si="151"/>
        <v>0</v>
      </c>
      <c r="EG27" s="95">
        <f t="shared" si="151"/>
        <v>0</v>
      </c>
      <c r="EH27" s="95">
        <f t="shared" si="151"/>
        <v>0</v>
      </c>
      <c r="EI27" s="95">
        <f t="shared" si="151"/>
        <v>0</v>
      </c>
      <c r="EJ27" s="95">
        <f t="shared" si="151"/>
        <v>0</v>
      </c>
      <c r="EK27" s="95">
        <f t="shared" si="151"/>
        <v>0</v>
      </c>
    </row>
    <row r="28" spans="1:141" s="29" customFormat="1" outlineLevel="1">
      <c r="A28" s="74" t="s">
        <v>8</v>
      </c>
      <c r="B28" s="59" t="s">
        <v>1</v>
      </c>
      <c r="C28" s="331">
        <f ca="1">C18-C22+C25-C26</f>
        <v>16850534771.159584</v>
      </c>
      <c r="D28" s="60">
        <f t="shared" ref="D28:O28" ca="1" si="152">D18-D22+D25-D26</f>
        <v>12825857640.458797</v>
      </c>
      <c r="E28" s="60">
        <f t="shared" ca="1" si="152"/>
        <v>20074614806.997833</v>
      </c>
      <c r="F28" s="60">
        <f t="shared" ca="1" si="152"/>
        <v>16794881351.321608</v>
      </c>
      <c r="G28" s="60">
        <f t="shared" ca="1" si="152"/>
        <v>20128040520.101555</v>
      </c>
      <c r="H28" s="60">
        <f t="shared" ca="1" si="152"/>
        <v>18702449996.763084</v>
      </c>
      <c r="I28" s="60">
        <f t="shared" ca="1" si="152"/>
        <v>25422707805.359791</v>
      </c>
      <c r="J28" s="60">
        <f t="shared" ca="1" si="152"/>
        <v>25241683935.010113</v>
      </c>
      <c r="K28" s="60">
        <f t="shared" ca="1" si="152"/>
        <v>25842722046.260174</v>
      </c>
      <c r="L28" s="60">
        <f t="shared" ca="1" si="152"/>
        <v>23820473953.920166</v>
      </c>
      <c r="M28" s="60">
        <f t="shared" ca="1" si="152"/>
        <v>25048625664.778893</v>
      </c>
      <c r="N28" s="60">
        <f t="shared" ca="1" si="152"/>
        <v>24805233104.576607</v>
      </c>
      <c r="O28" s="332">
        <f t="shared" ca="1" si="152"/>
        <v>255557825596.70822</v>
      </c>
      <c r="Q28" s="60">
        <f ca="1">Q18-Q22+Q25-Q26</f>
        <v>-1081653552.8917923</v>
      </c>
      <c r="R28" s="60">
        <f t="shared" ref="R28:AC28" ca="1" si="153">R18-R22+R25-R26</f>
        <v>-206360630.64188004</v>
      </c>
      <c r="S28" s="60">
        <f t="shared" ca="1" si="153"/>
        <v>-1311188694.2388897</v>
      </c>
      <c r="T28" s="60">
        <f t="shared" ca="1" si="153"/>
        <v>-1689504436.190918</v>
      </c>
      <c r="U28" s="60">
        <f t="shared" ca="1" si="153"/>
        <v>-600462545.67515945</v>
      </c>
      <c r="V28" s="60">
        <f t="shared" ca="1" si="153"/>
        <v>-1386793199.9009171</v>
      </c>
      <c r="W28" s="60">
        <f t="shared" ca="1" si="153"/>
        <v>-318276916.1496563</v>
      </c>
      <c r="X28" s="60">
        <f t="shared" ca="1" si="153"/>
        <v>31216146.459789276</v>
      </c>
      <c r="Y28" s="60">
        <f t="shared" ca="1" si="153"/>
        <v>133418850.23434067</v>
      </c>
      <c r="Z28" s="60">
        <f t="shared" ca="1" si="153"/>
        <v>-337062225.32540703</v>
      </c>
      <c r="AA28" s="60">
        <f t="shared" ca="1" si="153"/>
        <v>-153560604.06283951</v>
      </c>
      <c r="AB28" s="60">
        <f t="shared" ca="1" si="153"/>
        <v>-227377208.07666779</v>
      </c>
      <c r="AC28" s="60">
        <f t="shared" ca="1" si="153"/>
        <v>-7147605016.4599972</v>
      </c>
      <c r="AE28" s="333">
        <f>AE18-AE22+AE25-AE26</f>
        <v>17932188324.051376</v>
      </c>
      <c r="AF28" s="60">
        <f t="shared" ref="AF28:AQ28" si="154">AF18-AF22+AF25-AF26</f>
        <v>13032218271.100677</v>
      </c>
      <c r="AG28" s="60">
        <f t="shared" si="154"/>
        <v>21385803501.236725</v>
      </c>
      <c r="AH28" s="60">
        <f t="shared" si="154"/>
        <v>18484385787.512527</v>
      </c>
      <c r="AI28" s="60">
        <f t="shared" si="154"/>
        <v>20728503065.776718</v>
      </c>
      <c r="AJ28" s="60">
        <f t="shared" si="154"/>
        <v>20089243196.664001</v>
      </c>
      <c r="AK28" s="60">
        <f t="shared" si="154"/>
        <v>25740984721.509445</v>
      </c>
      <c r="AL28" s="60">
        <f t="shared" si="154"/>
        <v>25210467788.550323</v>
      </c>
      <c r="AM28" s="60">
        <f t="shared" si="154"/>
        <v>25709303196.025833</v>
      </c>
      <c r="AN28" s="60">
        <f t="shared" si="154"/>
        <v>24157536179.245575</v>
      </c>
      <c r="AO28" s="60">
        <f t="shared" si="154"/>
        <v>25202186268.841736</v>
      </c>
      <c r="AP28" s="60">
        <f t="shared" si="154"/>
        <v>25032610312.653275</v>
      </c>
      <c r="AQ28" s="334">
        <f t="shared" si="154"/>
        <v>262705430613.16821</v>
      </c>
      <c r="AS28" s="60">
        <f>AS18-AS22+AS25-AS26</f>
        <v>17932188324.051376</v>
      </c>
      <c r="AT28" s="60">
        <f t="shared" ref="AT28:BE28" si="155">AT18-AT22+AT25-AT26</f>
        <v>13032218271.100677</v>
      </c>
      <c r="AU28" s="60">
        <f t="shared" si="155"/>
        <v>21385803501.236725</v>
      </c>
      <c r="AV28" s="60">
        <f t="shared" si="155"/>
        <v>18484385787.512527</v>
      </c>
      <c r="AW28" s="60">
        <f t="shared" si="155"/>
        <v>20728503065.776718</v>
      </c>
      <c r="AX28" s="60">
        <f t="shared" si="155"/>
        <v>20089243196.664001</v>
      </c>
      <c r="AY28" s="60">
        <f t="shared" si="155"/>
        <v>25740984721.509445</v>
      </c>
      <c r="AZ28" s="60">
        <f t="shared" si="155"/>
        <v>25210467788.550323</v>
      </c>
      <c r="BA28" s="60">
        <f t="shared" si="155"/>
        <v>25709303196.025833</v>
      </c>
      <c r="BB28" s="60">
        <f t="shared" si="155"/>
        <v>24157536179.245575</v>
      </c>
      <c r="BC28" s="60">
        <f t="shared" si="155"/>
        <v>25202186268.841736</v>
      </c>
      <c r="BD28" s="60">
        <f t="shared" si="155"/>
        <v>25032610312.653275</v>
      </c>
      <c r="BE28" s="60">
        <f t="shared" si="155"/>
        <v>262705430613.16821</v>
      </c>
      <c r="BG28" s="60">
        <f>BG18-BG22+BG25-BG26</f>
        <v>0</v>
      </c>
      <c r="BH28" s="60">
        <f t="shared" ref="BH28:BS28" si="156">BH18-BH22+BH25-BH26</f>
        <v>0</v>
      </c>
      <c r="BI28" s="60">
        <f t="shared" si="156"/>
        <v>0</v>
      </c>
      <c r="BJ28" s="60">
        <f t="shared" si="156"/>
        <v>0</v>
      </c>
      <c r="BK28" s="60">
        <f t="shared" si="156"/>
        <v>0</v>
      </c>
      <c r="BL28" s="60">
        <f t="shared" si="156"/>
        <v>0</v>
      </c>
      <c r="BM28" s="60">
        <f t="shared" si="156"/>
        <v>0</v>
      </c>
      <c r="BN28" s="60">
        <f t="shared" si="156"/>
        <v>0</v>
      </c>
      <c r="BO28" s="60">
        <f t="shared" si="156"/>
        <v>0</v>
      </c>
      <c r="BP28" s="60">
        <f t="shared" si="156"/>
        <v>0</v>
      </c>
      <c r="BQ28" s="60">
        <f t="shared" si="156"/>
        <v>0</v>
      </c>
      <c r="BR28" s="60">
        <f t="shared" si="156"/>
        <v>0</v>
      </c>
      <c r="BS28" s="60">
        <f t="shared" si="156"/>
        <v>0</v>
      </c>
      <c r="BU28" s="60">
        <f>BU18-BU22+BU25-BU26</f>
        <v>0</v>
      </c>
      <c r="BV28" s="60">
        <f t="shared" ref="BV28:CG28" si="157">BV18-BV22+BV25-BV26</f>
        <v>0</v>
      </c>
      <c r="BW28" s="60">
        <f t="shared" si="157"/>
        <v>0</v>
      </c>
      <c r="BX28" s="60">
        <f t="shared" si="157"/>
        <v>0</v>
      </c>
      <c r="BY28" s="60">
        <f t="shared" si="157"/>
        <v>0</v>
      </c>
      <c r="BZ28" s="60">
        <f t="shared" si="157"/>
        <v>0</v>
      </c>
      <c r="CA28" s="60">
        <f t="shared" si="157"/>
        <v>0</v>
      </c>
      <c r="CB28" s="60">
        <f t="shared" si="157"/>
        <v>0</v>
      </c>
      <c r="CC28" s="60">
        <f t="shared" si="157"/>
        <v>0</v>
      </c>
      <c r="CD28" s="60">
        <f t="shared" si="157"/>
        <v>0</v>
      </c>
      <c r="CE28" s="60">
        <f t="shared" si="157"/>
        <v>0</v>
      </c>
      <c r="CF28" s="60">
        <f t="shared" si="157"/>
        <v>0</v>
      </c>
      <c r="CG28" s="60">
        <f t="shared" si="157"/>
        <v>0</v>
      </c>
      <c r="CI28" s="60">
        <f>CI18-CI22+CI25-CI26</f>
        <v>0</v>
      </c>
      <c r="CJ28" s="60">
        <f t="shared" ref="CJ28:CU28" si="158">CJ18-CJ22+CJ25-CJ26</f>
        <v>0</v>
      </c>
      <c r="CK28" s="60">
        <f t="shared" si="158"/>
        <v>0</v>
      </c>
      <c r="CL28" s="60">
        <f t="shared" si="158"/>
        <v>0</v>
      </c>
      <c r="CM28" s="60">
        <f t="shared" si="158"/>
        <v>0</v>
      </c>
      <c r="CN28" s="60">
        <f t="shared" si="158"/>
        <v>0</v>
      </c>
      <c r="CO28" s="60">
        <f t="shared" si="158"/>
        <v>0</v>
      </c>
      <c r="CP28" s="60">
        <f t="shared" si="158"/>
        <v>0</v>
      </c>
      <c r="CQ28" s="60">
        <f t="shared" si="158"/>
        <v>0</v>
      </c>
      <c r="CR28" s="60">
        <f t="shared" si="158"/>
        <v>0</v>
      </c>
      <c r="CS28" s="60">
        <f t="shared" si="158"/>
        <v>0</v>
      </c>
      <c r="CT28" s="60">
        <f t="shared" si="158"/>
        <v>0</v>
      </c>
      <c r="CU28" s="60">
        <f t="shared" si="158"/>
        <v>0</v>
      </c>
      <c r="CW28" s="60">
        <f>CW18-CW22+CW25-CW26</f>
        <v>0</v>
      </c>
      <c r="CX28" s="60">
        <f t="shared" ref="CX28:DI28" si="159">CX18-CX22+CX25-CX26</f>
        <v>0</v>
      </c>
      <c r="CY28" s="60">
        <f t="shared" si="159"/>
        <v>0</v>
      </c>
      <c r="CZ28" s="60">
        <f t="shared" si="159"/>
        <v>0</v>
      </c>
      <c r="DA28" s="60">
        <f t="shared" si="159"/>
        <v>0</v>
      </c>
      <c r="DB28" s="60">
        <f t="shared" si="159"/>
        <v>0</v>
      </c>
      <c r="DC28" s="60">
        <f t="shared" si="159"/>
        <v>0</v>
      </c>
      <c r="DD28" s="60">
        <f t="shared" si="159"/>
        <v>0</v>
      </c>
      <c r="DE28" s="60">
        <f t="shared" si="159"/>
        <v>0</v>
      </c>
      <c r="DF28" s="60">
        <f t="shared" si="159"/>
        <v>0</v>
      </c>
      <c r="DG28" s="60">
        <f t="shared" si="159"/>
        <v>0</v>
      </c>
      <c r="DH28" s="60">
        <f t="shared" si="159"/>
        <v>0</v>
      </c>
      <c r="DI28" s="60">
        <f t="shared" si="159"/>
        <v>0</v>
      </c>
      <c r="DK28" s="60">
        <f>DK18-DK22+DK25-DK26</f>
        <v>0</v>
      </c>
      <c r="DL28" s="60">
        <f t="shared" ref="DL28:DW28" si="160">DL18-DL22+DL25-DL26</f>
        <v>0</v>
      </c>
      <c r="DM28" s="60">
        <f t="shared" si="160"/>
        <v>0</v>
      </c>
      <c r="DN28" s="60">
        <f t="shared" si="160"/>
        <v>0</v>
      </c>
      <c r="DO28" s="60">
        <f t="shared" si="160"/>
        <v>0</v>
      </c>
      <c r="DP28" s="60">
        <f t="shared" si="160"/>
        <v>0</v>
      </c>
      <c r="DQ28" s="60">
        <f t="shared" si="160"/>
        <v>0</v>
      </c>
      <c r="DR28" s="60">
        <f t="shared" si="160"/>
        <v>0</v>
      </c>
      <c r="DS28" s="60">
        <f t="shared" si="160"/>
        <v>0</v>
      </c>
      <c r="DT28" s="60">
        <f t="shared" si="160"/>
        <v>0</v>
      </c>
      <c r="DU28" s="60">
        <f t="shared" si="160"/>
        <v>0</v>
      </c>
      <c r="DV28" s="60">
        <f t="shared" si="160"/>
        <v>0</v>
      </c>
      <c r="DW28" s="60">
        <f t="shared" si="160"/>
        <v>0</v>
      </c>
      <c r="DY28" s="60">
        <f>DY18-DY22+DY25-DY26</f>
        <v>0</v>
      </c>
      <c r="DZ28" s="60">
        <f t="shared" ref="DZ28:EK28" si="161">DZ18-DZ22+DZ25-DZ26</f>
        <v>0</v>
      </c>
      <c r="EA28" s="60">
        <f t="shared" si="161"/>
        <v>0</v>
      </c>
      <c r="EB28" s="60">
        <f t="shared" si="161"/>
        <v>0</v>
      </c>
      <c r="EC28" s="60">
        <f t="shared" si="161"/>
        <v>0</v>
      </c>
      <c r="ED28" s="60">
        <f t="shared" si="161"/>
        <v>0</v>
      </c>
      <c r="EE28" s="60">
        <f t="shared" si="161"/>
        <v>0</v>
      </c>
      <c r="EF28" s="60">
        <f t="shared" si="161"/>
        <v>0</v>
      </c>
      <c r="EG28" s="60">
        <f t="shared" si="161"/>
        <v>0</v>
      </c>
      <c r="EH28" s="60">
        <f t="shared" si="161"/>
        <v>0</v>
      </c>
      <c r="EI28" s="60">
        <f t="shared" si="161"/>
        <v>0</v>
      </c>
      <c r="EJ28" s="60">
        <f t="shared" si="161"/>
        <v>0</v>
      </c>
      <c r="EK28" s="60">
        <f t="shared" si="161"/>
        <v>0</v>
      </c>
    </row>
    <row r="29" spans="1:141" s="29" customFormat="1" outlineLevel="1">
      <c r="A29" s="75" t="s">
        <v>9</v>
      </c>
      <c r="B29" s="41" t="s">
        <v>2</v>
      </c>
      <c r="C29" s="355">
        <f>C19-C23</f>
        <v>1442204737.1890564</v>
      </c>
      <c r="D29" s="288">
        <f t="shared" ref="D29:O29" si="162">D19-D23</f>
        <v>275147507.52250671</v>
      </c>
      <c r="E29" s="288">
        <f t="shared" si="162"/>
        <v>1748251592.3185196</v>
      </c>
      <c r="F29" s="288">
        <f t="shared" si="162"/>
        <v>2252672581.5878906</v>
      </c>
      <c r="G29" s="288">
        <f t="shared" si="162"/>
        <v>2242821464.7559357</v>
      </c>
      <c r="H29" s="288">
        <f t="shared" si="162"/>
        <v>2124205107.3903961</v>
      </c>
      <c r="I29" s="288">
        <f t="shared" si="162"/>
        <v>2172620813.8513947</v>
      </c>
      <c r="J29" s="288">
        <f t="shared" si="162"/>
        <v>2211051052.9748383</v>
      </c>
      <c r="K29" s="288">
        <f t="shared" si="162"/>
        <v>2064929664.4434814</v>
      </c>
      <c r="L29" s="288">
        <f t="shared" si="162"/>
        <v>2573621407.8242722</v>
      </c>
      <c r="M29" s="288">
        <f t="shared" si="162"/>
        <v>2377368285.9351807</v>
      </c>
      <c r="N29" s="288">
        <f t="shared" si="162"/>
        <v>2514220663.7437286</v>
      </c>
      <c r="O29" s="356">
        <f t="shared" si="162"/>
        <v>23999114879.537201</v>
      </c>
      <c r="Q29" s="288">
        <f>Q19-Q23</f>
        <v>0</v>
      </c>
      <c r="R29" s="288">
        <f t="shared" ref="R29:AC29" si="163">R19-R23</f>
        <v>0</v>
      </c>
      <c r="S29" s="288">
        <f t="shared" si="163"/>
        <v>0</v>
      </c>
      <c r="T29" s="288">
        <f t="shared" si="163"/>
        <v>0</v>
      </c>
      <c r="U29" s="288">
        <f t="shared" si="163"/>
        <v>0</v>
      </c>
      <c r="V29" s="288">
        <f t="shared" si="163"/>
        <v>0</v>
      </c>
      <c r="W29" s="288">
        <f t="shared" si="163"/>
        <v>0</v>
      </c>
      <c r="X29" s="288">
        <f t="shared" si="163"/>
        <v>0</v>
      </c>
      <c r="Y29" s="288">
        <f t="shared" si="163"/>
        <v>0</v>
      </c>
      <c r="Z29" s="288">
        <f t="shared" si="163"/>
        <v>0</v>
      </c>
      <c r="AA29" s="288">
        <f t="shared" si="163"/>
        <v>0</v>
      </c>
      <c r="AB29" s="288">
        <f t="shared" si="163"/>
        <v>0</v>
      </c>
      <c r="AC29" s="288">
        <f t="shared" si="163"/>
        <v>0</v>
      </c>
      <c r="AE29" s="357">
        <f>AE19-AE23</f>
        <v>1442204737.1890564</v>
      </c>
      <c r="AF29" s="288">
        <f t="shared" ref="AF29:AQ29" si="164">AF19-AF23</f>
        <v>275147507.52250671</v>
      </c>
      <c r="AG29" s="288">
        <f t="shared" si="164"/>
        <v>1748251592.3185196</v>
      </c>
      <c r="AH29" s="288">
        <f t="shared" si="164"/>
        <v>2252672581.5878906</v>
      </c>
      <c r="AI29" s="288">
        <f t="shared" si="164"/>
        <v>2242821464.7559357</v>
      </c>
      <c r="AJ29" s="288">
        <f t="shared" si="164"/>
        <v>2124205107.3903961</v>
      </c>
      <c r="AK29" s="288">
        <f t="shared" si="164"/>
        <v>2172620813.8513947</v>
      </c>
      <c r="AL29" s="288">
        <f t="shared" si="164"/>
        <v>2211051052.9748383</v>
      </c>
      <c r="AM29" s="288">
        <f t="shared" si="164"/>
        <v>2064929664.4434814</v>
      </c>
      <c r="AN29" s="288">
        <f t="shared" si="164"/>
        <v>2573621407.8242722</v>
      </c>
      <c r="AO29" s="288">
        <f t="shared" si="164"/>
        <v>2377368285.9351807</v>
      </c>
      <c r="AP29" s="288">
        <f t="shared" si="164"/>
        <v>2514220663.7437286</v>
      </c>
      <c r="AQ29" s="358">
        <f t="shared" si="164"/>
        <v>23999114879.53717</v>
      </c>
      <c r="AS29" s="288">
        <f>AS19-AS23</f>
        <v>0</v>
      </c>
      <c r="AT29" s="288">
        <f t="shared" ref="AT29:BE29" si="165">AT19-AT23</f>
        <v>0</v>
      </c>
      <c r="AU29" s="288">
        <f t="shared" si="165"/>
        <v>0</v>
      </c>
      <c r="AV29" s="288">
        <f t="shared" si="165"/>
        <v>0</v>
      </c>
      <c r="AW29" s="288">
        <f t="shared" si="165"/>
        <v>0</v>
      </c>
      <c r="AX29" s="288">
        <f t="shared" si="165"/>
        <v>0</v>
      </c>
      <c r="AY29" s="288">
        <f t="shared" si="165"/>
        <v>0</v>
      </c>
      <c r="AZ29" s="288">
        <f t="shared" si="165"/>
        <v>0</v>
      </c>
      <c r="BA29" s="288">
        <f t="shared" si="165"/>
        <v>0</v>
      </c>
      <c r="BB29" s="288">
        <f t="shared" si="165"/>
        <v>0</v>
      </c>
      <c r="BC29" s="288">
        <f t="shared" si="165"/>
        <v>0</v>
      </c>
      <c r="BD29" s="288">
        <f t="shared" si="165"/>
        <v>0</v>
      </c>
      <c r="BE29" s="288">
        <f t="shared" si="165"/>
        <v>0</v>
      </c>
      <c r="BG29" s="288">
        <f>BG19-BG23</f>
        <v>1442204737.1890564</v>
      </c>
      <c r="BH29" s="288">
        <f t="shared" ref="BH29:BS29" si="166">BH19-BH23</f>
        <v>275147507.52250671</v>
      </c>
      <c r="BI29" s="288">
        <f t="shared" si="166"/>
        <v>1748251592.3185196</v>
      </c>
      <c r="BJ29" s="288">
        <f t="shared" si="166"/>
        <v>2252672581.5878906</v>
      </c>
      <c r="BK29" s="288">
        <f t="shared" si="166"/>
        <v>2242821464.7559357</v>
      </c>
      <c r="BL29" s="288">
        <f t="shared" si="166"/>
        <v>2124205107.3903961</v>
      </c>
      <c r="BM29" s="288">
        <f t="shared" si="166"/>
        <v>2172620813.8513947</v>
      </c>
      <c r="BN29" s="288">
        <f t="shared" si="166"/>
        <v>2211051052.9748383</v>
      </c>
      <c r="BO29" s="288">
        <f t="shared" si="166"/>
        <v>2064929664.4434814</v>
      </c>
      <c r="BP29" s="288">
        <f t="shared" si="166"/>
        <v>2573621407.8242722</v>
      </c>
      <c r="BQ29" s="288">
        <f t="shared" si="166"/>
        <v>2377368285.9351807</v>
      </c>
      <c r="BR29" s="288">
        <f t="shared" si="166"/>
        <v>2514220663.7437286</v>
      </c>
      <c r="BS29" s="288">
        <f t="shared" si="166"/>
        <v>23999114879.53717</v>
      </c>
      <c r="BU29" s="288">
        <f>BU19-BU23</f>
        <v>942030028.23440266</v>
      </c>
      <c r="BV29" s="288">
        <f t="shared" ref="BV29:CG29" si="167">BV19-BV23</f>
        <v>416371633.38019657</v>
      </c>
      <c r="BW29" s="288">
        <f t="shared" si="167"/>
        <v>912123140.39476395</v>
      </c>
      <c r="BX29" s="288">
        <f t="shared" si="167"/>
        <v>811244006.97399521</v>
      </c>
      <c r="BY29" s="288">
        <f t="shared" si="167"/>
        <v>780802135.82554054</v>
      </c>
      <c r="BZ29" s="288">
        <f t="shared" si="167"/>
        <v>745828569.49220657</v>
      </c>
      <c r="CA29" s="288">
        <f t="shared" si="167"/>
        <v>834111530.96945</v>
      </c>
      <c r="CB29" s="288">
        <f t="shared" si="167"/>
        <v>897325437.00955772</v>
      </c>
      <c r="CC29" s="288">
        <f t="shared" si="167"/>
        <v>728852329.41111183</v>
      </c>
      <c r="CD29" s="288">
        <f t="shared" si="167"/>
        <v>862914486.43289757</v>
      </c>
      <c r="CE29" s="288">
        <f t="shared" si="167"/>
        <v>722908745.76688957</v>
      </c>
      <c r="CF29" s="288">
        <f t="shared" si="167"/>
        <v>844375326.30278206</v>
      </c>
      <c r="CG29" s="288">
        <f t="shared" si="167"/>
        <v>9498887370.1937866</v>
      </c>
      <c r="CI29" s="288">
        <f>CI19-CI23</f>
        <v>469012314.19648552</v>
      </c>
      <c r="CJ29" s="288">
        <f t="shared" ref="CJ29:CU29" si="168">CJ19-CJ23</f>
        <v>105910962.75100899</v>
      </c>
      <c r="CK29" s="288">
        <f t="shared" si="168"/>
        <v>619355321.07831001</v>
      </c>
      <c r="CL29" s="288">
        <f t="shared" si="168"/>
        <v>693350279.36013603</v>
      </c>
      <c r="CM29" s="288">
        <f t="shared" si="168"/>
        <v>734861346.16013622</v>
      </c>
      <c r="CN29" s="288">
        <f t="shared" si="168"/>
        <v>690532035.89346981</v>
      </c>
      <c r="CO29" s="288">
        <f t="shared" si="168"/>
        <v>677484712.02680302</v>
      </c>
      <c r="CP29" s="288">
        <f t="shared" si="168"/>
        <v>659952067.44346905</v>
      </c>
      <c r="CQ29" s="288">
        <f t="shared" si="168"/>
        <v>671557288.32680225</v>
      </c>
      <c r="CR29" s="288">
        <f t="shared" si="168"/>
        <v>730309704.99346924</v>
      </c>
      <c r="CS29" s="288">
        <f t="shared" si="168"/>
        <v>713230931.69346905</v>
      </c>
      <c r="CT29" s="288">
        <f t="shared" si="168"/>
        <v>714734228.89346981</v>
      </c>
      <c r="CU29" s="288">
        <f t="shared" si="168"/>
        <v>7480291192.8170166</v>
      </c>
      <c r="CW29" s="288">
        <f>CW19-CW23</f>
        <v>31162394.758165359</v>
      </c>
      <c r="CX29" s="288">
        <f t="shared" ref="CX29:DI29" si="169">CX19-CX23</f>
        <v>-247135088.6086998</v>
      </c>
      <c r="CY29" s="288">
        <f t="shared" si="169"/>
        <v>216773130.84544563</v>
      </c>
      <c r="CZ29" s="288">
        <f t="shared" si="169"/>
        <v>748078295.25375748</v>
      </c>
      <c r="DA29" s="288">
        <f t="shared" si="169"/>
        <v>727157982.77026176</v>
      </c>
      <c r="DB29" s="288">
        <f t="shared" si="169"/>
        <v>687844502.00471497</v>
      </c>
      <c r="DC29" s="288">
        <f t="shared" si="169"/>
        <v>661024570.85514259</v>
      </c>
      <c r="DD29" s="288">
        <f t="shared" si="169"/>
        <v>653773548.52180862</v>
      </c>
      <c r="DE29" s="288">
        <f t="shared" si="169"/>
        <v>664520046.70557022</v>
      </c>
      <c r="DF29" s="288">
        <f t="shared" si="169"/>
        <v>980397216.39790154</v>
      </c>
      <c r="DG29" s="288">
        <f t="shared" si="169"/>
        <v>941228608.47482491</v>
      </c>
      <c r="DH29" s="288">
        <f t="shared" si="169"/>
        <v>955111108.54747581</v>
      </c>
      <c r="DI29" s="288">
        <f t="shared" si="169"/>
        <v>7019936316.5263672</v>
      </c>
      <c r="DK29" s="288">
        <f>DK19-DK23</f>
        <v>0</v>
      </c>
      <c r="DL29" s="288">
        <f t="shared" ref="DL29:DW29" si="170">DL19-DL23</f>
        <v>0</v>
      </c>
      <c r="DM29" s="288">
        <f t="shared" si="170"/>
        <v>0</v>
      </c>
      <c r="DN29" s="288">
        <f t="shared" si="170"/>
        <v>0</v>
      </c>
      <c r="DO29" s="288">
        <f t="shared" si="170"/>
        <v>0</v>
      </c>
      <c r="DP29" s="288">
        <f t="shared" si="170"/>
        <v>0</v>
      </c>
      <c r="DQ29" s="288">
        <f t="shared" si="170"/>
        <v>0</v>
      </c>
      <c r="DR29" s="288">
        <f t="shared" si="170"/>
        <v>0</v>
      </c>
      <c r="DS29" s="288">
        <f t="shared" si="170"/>
        <v>0</v>
      </c>
      <c r="DT29" s="288">
        <f t="shared" si="170"/>
        <v>0</v>
      </c>
      <c r="DU29" s="288">
        <f t="shared" si="170"/>
        <v>0</v>
      </c>
      <c r="DV29" s="288">
        <f t="shared" si="170"/>
        <v>0</v>
      </c>
      <c r="DW29" s="288">
        <f t="shared" si="170"/>
        <v>0</v>
      </c>
      <c r="DY29" s="288">
        <f>DY19-DY23</f>
        <v>0</v>
      </c>
      <c r="DZ29" s="288">
        <f t="shared" ref="DZ29:EK29" si="171">DZ19-DZ23</f>
        <v>0</v>
      </c>
      <c r="EA29" s="288">
        <f t="shared" si="171"/>
        <v>0</v>
      </c>
      <c r="EB29" s="288">
        <f t="shared" si="171"/>
        <v>0</v>
      </c>
      <c r="EC29" s="288">
        <f t="shared" si="171"/>
        <v>0</v>
      </c>
      <c r="ED29" s="288">
        <f t="shared" si="171"/>
        <v>0</v>
      </c>
      <c r="EE29" s="288">
        <f t="shared" si="171"/>
        <v>0</v>
      </c>
      <c r="EF29" s="288">
        <f t="shared" si="171"/>
        <v>0</v>
      </c>
      <c r="EG29" s="288">
        <f t="shared" si="171"/>
        <v>0</v>
      </c>
      <c r="EH29" s="288">
        <f t="shared" si="171"/>
        <v>0</v>
      </c>
      <c r="EI29" s="288">
        <f t="shared" si="171"/>
        <v>0</v>
      </c>
      <c r="EJ29" s="288">
        <f t="shared" si="171"/>
        <v>0</v>
      </c>
      <c r="EK29" s="288">
        <f t="shared" si="171"/>
        <v>0</v>
      </c>
    </row>
    <row r="30" spans="1:141" s="29" customFormat="1" outlineLevel="1">
      <c r="A30" s="75" t="s">
        <v>10</v>
      </c>
      <c r="B30" s="41" t="s">
        <v>3</v>
      </c>
      <c r="C30" s="335">
        <f t="shared" ref="C30:O30" si="172">C20-C24</f>
        <v>0</v>
      </c>
      <c r="D30" s="42">
        <f t="shared" si="172"/>
        <v>0</v>
      </c>
      <c r="E30" s="42">
        <f t="shared" si="172"/>
        <v>0</v>
      </c>
      <c r="F30" s="42">
        <f t="shared" si="172"/>
        <v>0</v>
      </c>
      <c r="G30" s="42">
        <f t="shared" si="172"/>
        <v>0</v>
      </c>
      <c r="H30" s="42">
        <f t="shared" si="172"/>
        <v>0</v>
      </c>
      <c r="I30" s="42">
        <f t="shared" si="172"/>
        <v>0</v>
      </c>
      <c r="J30" s="42">
        <f t="shared" si="172"/>
        <v>0</v>
      </c>
      <c r="K30" s="42">
        <f t="shared" si="172"/>
        <v>0</v>
      </c>
      <c r="L30" s="42">
        <f t="shared" si="172"/>
        <v>0</v>
      </c>
      <c r="M30" s="42">
        <f t="shared" si="172"/>
        <v>0</v>
      </c>
      <c r="N30" s="42">
        <f t="shared" si="172"/>
        <v>0</v>
      </c>
      <c r="O30" s="336">
        <f t="shared" si="172"/>
        <v>0</v>
      </c>
      <c r="Q30" s="42">
        <f t="shared" ref="Q30:AC30" si="173">Q20-Q24</f>
        <v>0</v>
      </c>
      <c r="R30" s="42">
        <f t="shared" si="173"/>
        <v>0</v>
      </c>
      <c r="S30" s="42">
        <f t="shared" si="173"/>
        <v>0</v>
      </c>
      <c r="T30" s="42">
        <f t="shared" si="173"/>
        <v>0</v>
      </c>
      <c r="U30" s="42">
        <f t="shared" si="173"/>
        <v>0</v>
      </c>
      <c r="V30" s="42">
        <f t="shared" si="173"/>
        <v>0</v>
      </c>
      <c r="W30" s="42">
        <f t="shared" si="173"/>
        <v>0</v>
      </c>
      <c r="X30" s="42">
        <f t="shared" si="173"/>
        <v>0</v>
      </c>
      <c r="Y30" s="42">
        <f t="shared" si="173"/>
        <v>0</v>
      </c>
      <c r="Z30" s="42">
        <f t="shared" si="173"/>
        <v>0</v>
      </c>
      <c r="AA30" s="42">
        <f t="shared" si="173"/>
        <v>0</v>
      </c>
      <c r="AB30" s="42">
        <f t="shared" si="173"/>
        <v>0</v>
      </c>
      <c r="AC30" s="42">
        <f t="shared" si="173"/>
        <v>0</v>
      </c>
      <c r="AE30" s="337">
        <f t="shared" ref="AE30:AQ30" si="174">AE20-AE24</f>
        <v>0</v>
      </c>
      <c r="AF30" s="42">
        <f t="shared" si="174"/>
        <v>0</v>
      </c>
      <c r="AG30" s="42">
        <f t="shared" si="174"/>
        <v>0</v>
      </c>
      <c r="AH30" s="42">
        <f t="shared" si="174"/>
        <v>0</v>
      </c>
      <c r="AI30" s="42">
        <f t="shared" si="174"/>
        <v>0</v>
      </c>
      <c r="AJ30" s="42">
        <f t="shared" si="174"/>
        <v>0</v>
      </c>
      <c r="AK30" s="42">
        <f t="shared" si="174"/>
        <v>0</v>
      </c>
      <c r="AL30" s="42">
        <f t="shared" si="174"/>
        <v>0</v>
      </c>
      <c r="AM30" s="42">
        <f t="shared" si="174"/>
        <v>0</v>
      </c>
      <c r="AN30" s="42">
        <f t="shared" si="174"/>
        <v>0</v>
      </c>
      <c r="AO30" s="42">
        <f t="shared" si="174"/>
        <v>0</v>
      </c>
      <c r="AP30" s="42">
        <f t="shared" si="174"/>
        <v>0</v>
      </c>
      <c r="AQ30" s="338">
        <f t="shared" si="174"/>
        <v>0</v>
      </c>
      <c r="AS30" s="42">
        <f t="shared" ref="AS30:BE30" si="175">AS20-AS24</f>
        <v>0</v>
      </c>
      <c r="AT30" s="42">
        <f t="shared" si="175"/>
        <v>0</v>
      </c>
      <c r="AU30" s="42">
        <f t="shared" si="175"/>
        <v>0</v>
      </c>
      <c r="AV30" s="42">
        <f t="shared" si="175"/>
        <v>0</v>
      </c>
      <c r="AW30" s="42">
        <f t="shared" si="175"/>
        <v>0</v>
      </c>
      <c r="AX30" s="42">
        <f t="shared" si="175"/>
        <v>0</v>
      </c>
      <c r="AY30" s="42">
        <f t="shared" si="175"/>
        <v>0</v>
      </c>
      <c r="AZ30" s="42">
        <f t="shared" si="175"/>
        <v>0</v>
      </c>
      <c r="BA30" s="42">
        <f t="shared" si="175"/>
        <v>0</v>
      </c>
      <c r="BB30" s="42">
        <f t="shared" si="175"/>
        <v>0</v>
      </c>
      <c r="BC30" s="42">
        <f t="shared" si="175"/>
        <v>0</v>
      </c>
      <c r="BD30" s="42">
        <f t="shared" si="175"/>
        <v>0</v>
      </c>
      <c r="BE30" s="42">
        <f t="shared" si="175"/>
        <v>0</v>
      </c>
      <c r="BG30" s="42">
        <f t="shared" ref="BG30:BS30" si="176">BG20-BG24</f>
        <v>0</v>
      </c>
      <c r="BH30" s="42">
        <f t="shared" si="176"/>
        <v>0</v>
      </c>
      <c r="BI30" s="42">
        <f t="shared" si="176"/>
        <v>0</v>
      </c>
      <c r="BJ30" s="42">
        <f t="shared" si="176"/>
        <v>0</v>
      </c>
      <c r="BK30" s="42">
        <f t="shared" si="176"/>
        <v>0</v>
      </c>
      <c r="BL30" s="42">
        <f t="shared" si="176"/>
        <v>0</v>
      </c>
      <c r="BM30" s="42">
        <f t="shared" si="176"/>
        <v>0</v>
      </c>
      <c r="BN30" s="42">
        <f t="shared" si="176"/>
        <v>0</v>
      </c>
      <c r="BO30" s="42">
        <f t="shared" si="176"/>
        <v>0</v>
      </c>
      <c r="BP30" s="42">
        <f t="shared" si="176"/>
        <v>0</v>
      </c>
      <c r="BQ30" s="42">
        <f t="shared" si="176"/>
        <v>0</v>
      </c>
      <c r="BR30" s="42">
        <f t="shared" si="176"/>
        <v>0</v>
      </c>
      <c r="BS30" s="42">
        <f t="shared" si="176"/>
        <v>0</v>
      </c>
      <c r="BU30" s="42">
        <f t="shared" ref="BU30:CG30" si="177">BU20-BU24</f>
        <v>0</v>
      </c>
      <c r="BV30" s="42">
        <f t="shared" si="177"/>
        <v>0</v>
      </c>
      <c r="BW30" s="42">
        <f t="shared" si="177"/>
        <v>0</v>
      </c>
      <c r="BX30" s="42">
        <f t="shared" si="177"/>
        <v>0</v>
      </c>
      <c r="BY30" s="42">
        <f t="shared" si="177"/>
        <v>0</v>
      </c>
      <c r="BZ30" s="42">
        <f t="shared" si="177"/>
        <v>0</v>
      </c>
      <c r="CA30" s="42">
        <f t="shared" si="177"/>
        <v>0</v>
      </c>
      <c r="CB30" s="42">
        <f t="shared" si="177"/>
        <v>0</v>
      </c>
      <c r="CC30" s="42">
        <f t="shared" si="177"/>
        <v>0</v>
      </c>
      <c r="CD30" s="42">
        <f t="shared" si="177"/>
        <v>0</v>
      </c>
      <c r="CE30" s="42">
        <f t="shared" si="177"/>
        <v>0</v>
      </c>
      <c r="CF30" s="42">
        <f t="shared" si="177"/>
        <v>0</v>
      </c>
      <c r="CG30" s="42">
        <f t="shared" si="177"/>
        <v>0</v>
      </c>
      <c r="CI30" s="42">
        <f t="shared" ref="CI30:CU30" si="178">CI20-CI24</f>
        <v>0</v>
      </c>
      <c r="CJ30" s="42">
        <f t="shared" si="178"/>
        <v>0</v>
      </c>
      <c r="CK30" s="42">
        <f t="shared" si="178"/>
        <v>0</v>
      </c>
      <c r="CL30" s="42">
        <f t="shared" si="178"/>
        <v>0</v>
      </c>
      <c r="CM30" s="42">
        <f t="shared" si="178"/>
        <v>0</v>
      </c>
      <c r="CN30" s="42">
        <f t="shared" si="178"/>
        <v>0</v>
      </c>
      <c r="CO30" s="42">
        <f t="shared" si="178"/>
        <v>0</v>
      </c>
      <c r="CP30" s="42">
        <f t="shared" si="178"/>
        <v>0</v>
      </c>
      <c r="CQ30" s="42">
        <f t="shared" si="178"/>
        <v>0</v>
      </c>
      <c r="CR30" s="42">
        <f t="shared" si="178"/>
        <v>0</v>
      </c>
      <c r="CS30" s="42">
        <f t="shared" si="178"/>
        <v>0</v>
      </c>
      <c r="CT30" s="42">
        <f t="shared" si="178"/>
        <v>0</v>
      </c>
      <c r="CU30" s="42">
        <f t="shared" si="178"/>
        <v>0</v>
      </c>
      <c r="CW30" s="42">
        <f t="shared" ref="CW30:DI30" si="179">CW20-CW24</f>
        <v>0</v>
      </c>
      <c r="CX30" s="42">
        <f t="shared" si="179"/>
        <v>0</v>
      </c>
      <c r="CY30" s="42">
        <f t="shared" si="179"/>
        <v>0</v>
      </c>
      <c r="CZ30" s="42">
        <f t="shared" si="179"/>
        <v>0</v>
      </c>
      <c r="DA30" s="42">
        <f t="shared" si="179"/>
        <v>0</v>
      </c>
      <c r="DB30" s="42">
        <f t="shared" si="179"/>
        <v>0</v>
      </c>
      <c r="DC30" s="42">
        <f t="shared" si="179"/>
        <v>0</v>
      </c>
      <c r="DD30" s="42">
        <f t="shared" si="179"/>
        <v>0</v>
      </c>
      <c r="DE30" s="42">
        <f t="shared" si="179"/>
        <v>0</v>
      </c>
      <c r="DF30" s="42">
        <f t="shared" si="179"/>
        <v>0</v>
      </c>
      <c r="DG30" s="42">
        <f t="shared" si="179"/>
        <v>0</v>
      </c>
      <c r="DH30" s="42">
        <f t="shared" si="179"/>
        <v>0</v>
      </c>
      <c r="DI30" s="42">
        <f t="shared" si="179"/>
        <v>0</v>
      </c>
      <c r="DK30" s="42">
        <f t="shared" ref="DK30:DW30" si="180">DK20-DK24</f>
        <v>0</v>
      </c>
      <c r="DL30" s="42">
        <f t="shared" si="180"/>
        <v>0</v>
      </c>
      <c r="DM30" s="42">
        <f t="shared" si="180"/>
        <v>0</v>
      </c>
      <c r="DN30" s="42">
        <f t="shared" si="180"/>
        <v>0</v>
      </c>
      <c r="DO30" s="42">
        <f t="shared" si="180"/>
        <v>0</v>
      </c>
      <c r="DP30" s="42">
        <f t="shared" si="180"/>
        <v>0</v>
      </c>
      <c r="DQ30" s="42">
        <f t="shared" si="180"/>
        <v>0</v>
      </c>
      <c r="DR30" s="42">
        <f t="shared" si="180"/>
        <v>0</v>
      </c>
      <c r="DS30" s="42">
        <f t="shared" si="180"/>
        <v>0</v>
      </c>
      <c r="DT30" s="42">
        <f t="shared" si="180"/>
        <v>0</v>
      </c>
      <c r="DU30" s="42">
        <f t="shared" si="180"/>
        <v>0</v>
      </c>
      <c r="DV30" s="42">
        <f t="shared" si="180"/>
        <v>0</v>
      </c>
      <c r="DW30" s="42">
        <f t="shared" si="180"/>
        <v>0</v>
      </c>
      <c r="DY30" s="42">
        <f t="shared" ref="DY30:EK30" si="181">DY20-DY24</f>
        <v>0</v>
      </c>
      <c r="DZ30" s="42">
        <f t="shared" si="181"/>
        <v>0</v>
      </c>
      <c r="EA30" s="42">
        <f t="shared" si="181"/>
        <v>0</v>
      </c>
      <c r="EB30" s="42">
        <f t="shared" si="181"/>
        <v>0</v>
      </c>
      <c r="EC30" s="42">
        <f t="shared" si="181"/>
        <v>0</v>
      </c>
      <c r="ED30" s="42">
        <f t="shared" si="181"/>
        <v>0</v>
      </c>
      <c r="EE30" s="42">
        <f t="shared" si="181"/>
        <v>0</v>
      </c>
      <c r="EF30" s="42">
        <f t="shared" si="181"/>
        <v>0</v>
      </c>
      <c r="EG30" s="42">
        <f t="shared" si="181"/>
        <v>0</v>
      </c>
      <c r="EH30" s="42">
        <f t="shared" si="181"/>
        <v>0</v>
      </c>
      <c r="EI30" s="42">
        <f t="shared" si="181"/>
        <v>0</v>
      </c>
      <c r="EJ30" s="42">
        <f t="shared" si="181"/>
        <v>0</v>
      </c>
      <c r="EK30" s="42">
        <f t="shared" si="181"/>
        <v>0</v>
      </c>
    </row>
    <row r="31" spans="1:141" ht="16.5" customHeight="1">
      <c r="A31" s="45">
        <v>7</v>
      </c>
      <c r="B31" s="35" t="s">
        <v>25</v>
      </c>
      <c r="C31" s="359">
        <f>SUM(C32:C34)</f>
        <v>0</v>
      </c>
      <c r="D31" s="53">
        <f t="shared" ref="D31:O31" si="182">SUM(D32:D34)</f>
        <v>0</v>
      </c>
      <c r="E31" s="53">
        <f t="shared" si="182"/>
        <v>0</v>
      </c>
      <c r="F31" s="53">
        <f t="shared" si="182"/>
        <v>0</v>
      </c>
      <c r="G31" s="53">
        <f t="shared" si="182"/>
        <v>0</v>
      </c>
      <c r="H31" s="53">
        <f t="shared" si="182"/>
        <v>0</v>
      </c>
      <c r="I31" s="53">
        <f t="shared" si="182"/>
        <v>0</v>
      </c>
      <c r="J31" s="53">
        <f t="shared" si="182"/>
        <v>0</v>
      </c>
      <c r="K31" s="53">
        <f t="shared" si="182"/>
        <v>0</v>
      </c>
      <c r="L31" s="53">
        <f t="shared" si="182"/>
        <v>0</v>
      </c>
      <c r="M31" s="53">
        <f t="shared" si="182"/>
        <v>0</v>
      </c>
      <c r="N31" s="53">
        <f t="shared" si="182"/>
        <v>0</v>
      </c>
      <c r="O31" s="360">
        <f t="shared" si="182"/>
        <v>0</v>
      </c>
      <c r="Q31" s="53">
        <f>SUM(Q32:Q34)</f>
        <v>0</v>
      </c>
      <c r="R31" s="53">
        <f t="shared" ref="R31:AC31" si="183">SUM(R32:R34)</f>
        <v>0</v>
      </c>
      <c r="S31" s="53">
        <f t="shared" si="183"/>
        <v>0</v>
      </c>
      <c r="T31" s="53">
        <f t="shared" si="183"/>
        <v>0</v>
      </c>
      <c r="U31" s="53">
        <f t="shared" si="183"/>
        <v>0</v>
      </c>
      <c r="V31" s="53">
        <f t="shared" si="183"/>
        <v>0</v>
      </c>
      <c r="W31" s="53">
        <f t="shared" si="183"/>
        <v>0</v>
      </c>
      <c r="X31" s="53">
        <f t="shared" si="183"/>
        <v>0</v>
      </c>
      <c r="Y31" s="53">
        <f t="shared" si="183"/>
        <v>0</v>
      </c>
      <c r="Z31" s="53">
        <f t="shared" si="183"/>
        <v>0</v>
      </c>
      <c r="AA31" s="53">
        <f t="shared" si="183"/>
        <v>0</v>
      </c>
      <c r="AB31" s="53">
        <f t="shared" si="183"/>
        <v>0</v>
      </c>
      <c r="AC31" s="53">
        <f t="shared" si="183"/>
        <v>0</v>
      </c>
      <c r="AE31" s="361">
        <f>SUM(AE32:AE34)</f>
        <v>0</v>
      </c>
      <c r="AF31" s="53">
        <f t="shared" ref="AF31:AQ31" si="184">SUM(AF32:AF34)</f>
        <v>0</v>
      </c>
      <c r="AG31" s="53">
        <f t="shared" si="184"/>
        <v>0</v>
      </c>
      <c r="AH31" s="53">
        <f t="shared" si="184"/>
        <v>0</v>
      </c>
      <c r="AI31" s="53">
        <f t="shared" si="184"/>
        <v>0</v>
      </c>
      <c r="AJ31" s="53">
        <f t="shared" si="184"/>
        <v>0</v>
      </c>
      <c r="AK31" s="53">
        <f t="shared" si="184"/>
        <v>0</v>
      </c>
      <c r="AL31" s="53">
        <f t="shared" si="184"/>
        <v>0</v>
      </c>
      <c r="AM31" s="53">
        <f t="shared" si="184"/>
        <v>0</v>
      </c>
      <c r="AN31" s="53">
        <f t="shared" si="184"/>
        <v>0</v>
      </c>
      <c r="AO31" s="53">
        <f t="shared" si="184"/>
        <v>0</v>
      </c>
      <c r="AP31" s="53">
        <f t="shared" si="184"/>
        <v>0</v>
      </c>
      <c r="AQ31" s="362">
        <f t="shared" si="184"/>
        <v>0</v>
      </c>
      <c r="AS31" s="53">
        <f>SUM(AS32:AS34)</f>
        <v>0</v>
      </c>
      <c r="AT31" s="53">
        <f t="shared" ref="AT31:BE31" si="185">SUM(AT32:AT34)</f>
        <v>0</v>
      </c>
      <c r="AU31" s="53">
        <f t="shared" si="185"/>
        <v>0</v>
      </c>
      <c r="AV31" s="53">
        <f t="shared" si="185"/>
        <v>0</v>
      </c>
      <c r="AW31" s="53">
        <f t="shared" si="185"/>
        <v>0</v>
      </c>
      <c r="AX31" s="53">
        <f t="shared" si="185"/>
        <v>0</v>
      </c>
      <c r="AY31" s="53">
        <f t="shared" si="185"/>
        <v>0</v>
      </c>
      <c r="AZ31" s="53">
        <f t="shared" si="185"/>
        <v>0</v>
      </c>
      <c r="BA31" s="53">
        <f t="shared" si="185"/>
        <v>0</v>
      </c>
      <c r="BB31" s="53">
        <f t="shared" si="185"/>
        <v>0</v>
      </c>
      <c r="BC31" s="53">
        <f t="shared" si="185"/>
        <v>0</v>
      </c>
      <c r="BD31" s="53">
        <f t="shared" si="185"/>
        <v>0</v>
      </c>
      <c r="BE31" s="53">
        <f t="shared" si="185"/>
        <v>0</v>
      </c>
      <c r="BG31" s="53">
        <f>SUM(BG32:BG34)</f>
        <v>0</v>
      </c>
      <c r="BH31" s="53">
        <f t="shared" ref="BH31:BS31" si="186">SUM(BH32:BH34)</f>
        <v>0</v>
      </c>
      <c r="BI31" s="53">
        <f t="shared" si="186"/>
        <v>0</v>
      </c>
      <c r="BJ31" s="53">
        <f t="shared" si="186"/>
        <v>0</v>
      </c>
      <c r="BK31" s="53">
        <f t="shared" si="186"/>
        <v>0</v>
      </c>
      <c r="BL31" s="53">
        <f t="shared" si="186"/>
        <v>0</v>
      </c>
      <c r="BM31" s="53">
        <f t="shared" si="186"/>
        <v>0</v>
      </c>
      <c r="BN31" s="53">
        <f t="shared" si="186"/>
        <v>0</v>
      </c>
      <c r="BO31" s="53">
        <f t="shared" si="186"/>
        <v>0</v>
      </c>
      <c r="BP31" s="53">
        <f t="shared" si="186"/>
        <v>0</v>
      </c>
      <c r="BQ31" s="53">
        <f t="shared" si="186"/>
        <v>0</v>
      </c>
      <c r="BR31" s="53">
        <f t="shared" si="186"/>
        <v>0</v>
      </c>
      <c r="BS31" s="53">
        <f t="shared" si="186"/>
        <v>0</v>
      </c>
      <c r="BU31" s="53">
        <f>SUM(BU32:BU34)</f>
        <v>0</v>
      </c>
      <c r="BV31" s="53">
        <f t="shared" ref="BV31:CG31" si="187">SUM(BV32:BV34)</f>
        <v>0</v>
      </c>
      <c r="BW31" s="53">
        <f t="shared" si="187"/>
        <v>0</v>
      </c>
      <c r="BX31" s="53">
        <f t="shared" si="187"/>
        <v>0</v>
      </c>
      <c r="BY31" s="53">
        <f t="shared" si="187"/>
        <v>0</v>
      </c>
      <c r="BZ31" s="53">
        <f t="shared" si="187"/>
        <v>0</v>
      </c>
      <c r="CA31" s="53">
        <f t="shared" si="187"/>
        <v>0</v>
      </c>
      <c r="CB31" s="53">
        <f t="shared" si="187"/>
        <v>0</v>
      </c>
      <c r="CC31" s="53">
        <f t="shared" si="187"/>
        <v>0</v>
      </c>
      <c r="CD31" s="53">
        <f t="shared" si="187"/>
        <v>0</v>
      </c>
      <c r="CE31" s="53">
        <f t="shared" si="187"/>
        <v>0</v>
      </c>
      <c r="CF31" s="53">
        <f t="shared" si="187"/>
        <v>0</v>
      </c>
      <c r="CG31" s="53">
        <f t="shared" si="187"/>
        <v>0</v>
      </c>
      <c r="CI31" s="53">
        <f>SUM(CI32:CI34)</f>
        <v>0</v>
      </c>
      <c r="CJ31" s="53">
        <f t="shared" ref="CJ31:CU31" si="188">SUM(CJ32:CJ34)</f>
        <v>0</v>
      </c>
      <c r="CK31" s="53">
        <f t="shared" si="188"/>
        <v>0</v>
      </c>
      <c r="CL31" s="53">
        <f t="shared" si="188"/>
        <v>0</v>
      </c>
      <c r="CM31" s="53">
        <f t="shared" si="188"/>
        <v>0</v>
      </c>
      <c r="CN31" s="53">
        <f t="shared" si="188"/>
        <v>0</v>
      </c>
      <c r="CO31" s="53">
        <f t="shared" si="188"/>
        <v>0</v>
      </c>
      <c r="CP31" s="53">
        <f t="shared" si="188"/>
        <v>0</v>
      </c>
      <c r="CQ31" s="53">
        <f t="shared" si="188"/>
        <v>0</v>
      </c>
      <c r="CR31" s="53">
        <f t="shared" si="188"/>
        <v>0</v>
      </c>
      <c r="CS31" s="53">
        <f t="shared" si="188"/>
        <v>0</v>
      </c>
      <c r="CT31" s="53">
        <f t="shared" si="188"/>
        <v>0</v>
      </c>
      <c r="CU31" s="53">
        <f t="shared" si="188"/>
        <v>0</v>
      </c>
      <c r="CW31" s="53">
        <f>SUM(CW32:CW34)</f>
        <v>0</v>
      </c>
      <c r="CX31" s="53">
        <f t="shared" ref="CX31:DI31" si="189">SUM(CX32:CX34)</f>
        <v>0</v>
      </c>
      <c r="CY31" s="53">
        <f t="shared" si="189"/>
        <v>0</v>
      </c>
      <c r="CZ31" s="53">
        <f t="shared" si="189"/>
        <v>0</v>
      </c>
      <c r="DA31" s="53">
        <f t="shared" si="189"/>
        <v>0</v>
      </c>
      <c r="DB31" s="53">
        <f t="shared" si="189"/>
        <v>0</v>
      </c>
      <c r="DC31" s="53">
        <f t="shared" si="189"/>
        <v>0</v>
      </c>
      <c r="DD31" s="53">
        <f t="shared" si="189"/>
        <v>0</v>
      </c>
      <c r="DE31" s="53">
        <f t="shared" si="189"/>
        <v>0</v>
      </c>
      <c r="DF31" s="53">
        <f t="shared" si="189"/>
        <v>0</v>
      </c>
      <c r="DG31" s="53">
        <f t="shared" si="189"/>
        <v>0</v>
      </c>
      <c r="DH31" s="53">
        <f t="shared" si="189"/>
        <v>0</v>
      </c>
      <c r="DI31" s="53">
        <f t="shared" si="189"/>
        <v>0</v>
      </c>
      <c r="DK31" s="53">
        <f>SUM(DK32:DK34)</f>
        <v>0</v>
      </c>
      <c r="DL31" s="53">
        <f t="shared" ref="DL31:DW31" si="190">SUM(DL32:DL34)</f>
        <v>0</v>
      </c>
      <c r="DM31" s="53">
        <f t="shared" si="190"/>
        <v>0</v>
      </c>
      <c r="DN31" s="53">
        <f t="shared" si="190"/>
        <v>0</v>
      </c>
      <c r="DO31" s="53">
        <f t="shared" si="190"/>
        <v>0</v>
      </c>
      <c r="DP31" s="53">
        <f t="shared" si="190"/>
        <v>0</v>
      </c>
      <c r="DQ31" s="53">
        <f t="shared" si="190"/>
        <v>0</v>
      </c>
      <c r="DR31" s="53">
        <f t="shared" si="190"/>
        <v>0</v>
      </c>
      <c r="DS31" s="53">
        <f t="shared" si="190"/>
        <v>0</v>
      </c>
      <c r="DT31" s="53">
        <f t="shared" si="190"/>
        <v>0</v>
      </c>
      <c r="DU31" s="53">
        <f t="shared" si="190"/>
        <v>0</v>
      </c>
      <c r="DV31" s="53">
        <f t="shared" si="190"/>
        <v>0</v>
      </c>
      <c r="DW31" s="53">
        <f t="shared" si="190"/>
        <v>0</v>
      </c>
      <c r="DY31" s="53">
        <f>SUM(DY32:DY34)</f>
        <v>0</v>
      </c>
      <c r="DZ31" s="53">
        <f t="shared" ref="DZ31:EK31" si="191">SUM(DZ32:DZ34)</f>
        <v>0</v>
      </c>
      <c r="EA31" s="53">
        <f t="shared" si="191"/>
        <v>0</v>
      </c>
      <c r="EB31" s="53">
        <f t="shared" si="191"/>
        <v>0</v>
      </c>
      <c r="EC31" s="53">
        <f t="shared" si="191"/>
        <v>0</v>
      </c>
      <c r="ED31" s="53">
        <f t="shared" si="191"/>
        <v>0</v>
      </c>
      <c r="EE31" s="53">
        <f t="shared" si="191"/>
        <v>0</v>
      </c>
      <c r="EF31" s="53">
        <f t="shared" si="191"/>
        <v>0</v>
      </c>
      <c r="EG31" s="53">
        <f t="shared" si="191"/>
        <v>0</v>
      </c>
      <c r="EH31" s="53">
        <f t="shared" si="191"/>
        <v>0</v>
      </c>
      <c r="EI31" s="53">
        <f t="shared" si="191"/>
        <v>0</v>
      </c>
      <c r="EJ31" s="53">
        <f t="shared" si="191"/>
        <v>0</v>
      </c>
      <c r="EK31" s="53">
        <f t="shared" si="191"/>
        <v>0</v>
      </c>
    </row>
    <row r="32" spans="1:141" outlineLevel="1">
      <c r="A32" s="46" t="s">
        <v>61</v>
      </c>
      <c r="B32" s="37" t="s">
        <v>1</v>
      </c>
      <c r="C32" s="319">
        <f t="shared" ref="C32:N39" si="192">Q32+AE32</f>
        <v>0</v>
      </c>
      <c r="D32" s="54">
        <f t="shared" si="192"/>
        <v>0</v>
      </c>
      <c r="E32" s="54">
        <f t="shared" si="192"/>
        <v>0</v>
      </c>
      <c r="F32" s="54">
        <f t="shared" si="192"/>
        <v>0</v>
      </c>
      <c r="G32" s="54">
        <f t="shared" si="192"/>
        <v>0</v>
      </c>
      <c r="H32" s="54">
        <f t="shared" si="192"/>
        <v>0</v>
      </c>
      <c r="I32" s="54">
        <f t="shared" si="192"/>
        <v>0</v>
      </c>
      <c r="J32" s="54">
        <f t="shared" si="192"/>
        <v>0</v>
      </c>
      <c r="K32" s="54">
        <f t="shared" si="192"/>
        <v>0</v>
      </c>
      <c r="L32" s="54">
        <f t="shared" si="192"/>
        <v>0</v>
      </c>
      <c r="M32" s="54">
        <f t="shared" si="192"/>
        <v>0</v>
      </c>
      <c r="N32" s="54">
        <f t="shared" si="192"/>
        <v>0</v>
      </c>
      <c r="O32" s="320">
        <f t="shared" ref="O32:O42" si="193">SUM(C32:N32)</f>
        <v>0</v>
      </c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>
        <f t="shared" ref="AC32:AC39" si="194">SUM(Q32:AB32)</f>
        <v>0</v>
      </c>
      <c r="AE32" s="321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322">
        <f t="shared" ref="AQ32:AQ39" si="195">SUM(AE32:AP32)</f>
        <v>0</v>
      </c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>
        <f t="shared" ref="BE32:BE39" si="196">SUM(AS32:BD32)</f>
        <v>0</v>
      </c>
      <c r="BG32" s="54">
        <f t="shared" ref="BG32:BR39" si="197">BU32+CI32+CW32</f>
        <v>0</v>
      </c>
      <c r="BH32" s="54">
        <f t="shared" si="197"/>
        <v>0</v>
      </c>
      <c r="BI32" s="54">
        <f t="shared" si="197"/>
        <v>0</v>
      </c>
      <c r="BJ32" s="54">
        <f t="shared" si="197"/>
        <v>0</v>
      </c>
      <c r="BK32" s="54">
        <f t="shared" si="197"/>
        <v>0</v>
      </c>
      <c r="BL32" s="54">
        <f t="shared" si="197"/>
        <v>0</v>
      </c>
      <c r="BM32" s="54">
        <f t="shared" si="197"/>
        <v>0</v>
      </c>
      <c r="BN32" s="54">
        <f t="shared" si="197"/>
        <v>0</v>
      </c>
      <c r="BO32" s="54">
        <f t="shared" si="197"/>
        <v>0</v>
      </c>
      <c r="BP32" s="54">
        <f t="shared" si="197"/>
        <v>0</v>
      </c>
      <c r="BQ32" s="54">
        <f t="shared" si="197"/>
        <v>0</v>
      </c>
      <c r="BR32" s="54">
        <f t="shared" si="197"/>
        <v>0</v>
      </c>
      <c r="BS32" s="54">
        <f t="shared" ref="BS32:BS39" si="198">SUM(BG32:BR32)</f>
        <v>0</v>
      </c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>
        <f t="shared" ref="CG32:CG39" si="199">SUM(BU32:CF32)</f>
        <v>0</v>
      </c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>
        <f t="shared" ref="CU32:CU39" si="200">SUM(CI32:CT32)</f>
        <v>0</v>
      </c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>
        <f t="shared" ref="DI32:DI39" si="201">SUM(CW32:DH32)</f>
        <v>0</v>
      </c>
      <c r="DK32" s="54"/>
      <c r="DL32" s="54"/>
      <c r="DM32" s="54"/>
      <c r="DN32" s="54"/>
      <c r="DO32" s="54"/>
      <c r="DP32" s="54"/>
      <c r="DQ32" s="54"/>
      <c r="DR32" s="54"/>
      <c r="DS32" s="54"/>
      <c r="DT32" s="54"/>
      <c r="DU32" s="54"/>
      <c r="DV32" s="54"/>
      <c r="DW32" s="54">
        <f t="shared" ref="DW32:DW39" si="202">SUM(DK32:DV32)</f>
        <v>0</v>
      </c>
      <c r="DY32" s="54"/>
      <c r="DZ32" s="54"/>
      <c r="EA32" s="54"/>
      <c r="EB32" s="54"/>
      <c r="EC32" s="54"/>
      <c r="ED32" s="54"/>
      <c r="EE32" s="54"/>
      <c r="EF32" s="54"/>
      <c r="EG32" s="54"/>
      <c r="EH32" s="54"/>
      <c r="EI32" s="54"/>
      <c r="EJ32" s="54"/>
      <c r="EK32" s="54">
        <f t="shared" ref="EK32:EK39" si="203">SUM(DY32:EJ32)</f>
        <v>0</v>
      </c>
    </row>
    <row r="33" spans="1:141" ht="15" customHeight="1" outlineLevel="1">
      <c r="A33" s="46" t="s">
        <v>69</v>
      </c>
      <c r="B33" s="37" t="s">
        <v>2</v>
      </c>
      <c r="C33" s="363">
        <f t="shared" si="192"/>
        <v>0</v>
      </c>
      <c r="D33" s="76">
        <f t="shared" si="192"/>
        <v>0</v>
      </c>
      <c r="E33" s="76">
        <f t="shared" si="192"/>
        <v>0</v>
      </c>
      <c r="F33" s="76">
        <f t="shared" si="192"/>
        <v>0</v>
      </c>
      <c r="G33" s="76">
        <f t="shared" si="192"/>
        <v>0</v>
      </c>
      <c r="H33" s="76">
        <f t="shared" si="192"/>
        <v>0</v>
      </c>
      <c r="I33" s="76">
        <f t="shared" si="192"/>
        <v>0</v>
      </c>
      <c r="J33" s="76">
        <f t="shared" si="192"/>
        <v>0</v>
      </c>
      <c r="K33" s="76">
        <f t="shared" si="192"/>
        <v>0</v>
      </c>
      <c r="L33" s="76">
        <f t="shared" si="192"/>
        <v>0</v>
      </c>
      <c r="M33" s="76">
        <f t="shared" si="192"/>
        <v>0</v>
      </c>
      <c r="N33" s="76">
        <f t="shared" si="192"/>
        <v>0</v>
      </c>
      <c r="O33" s="364">
        <f t="shared" si="193"/>
        <v>0</v>
      </c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>
        <f t="shared" si="194"/>
        <v>0</v>
      </c>
      <c r="AE33" s="365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366">
        <f t="shared" si="195"/>
        <v>0</v>
      </c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>
        <f t="shared" si="196"/>
        <v>0</v>
      </c>
      <c r="BG33" s="76">
        <f t="shared" si="197"/>
        <v>0</v>
      </c>
      <c r="BH33" s="76">
        <f t="shared" si="197"/>
        <v>0</v>
      </c>
      <c r="BI33" s="76">
        <f t="shared" si="197"/>
        <v>0</v>
      </c>
      <c r="BJ33" s="76">
        <f t="shared" si="197"/>
        <v>0</v>
      </c>
      <c r="BK33" s="76">
        <f t="shared" si="197"/>
        <v>0</v>
      </c>
      <c r="BL33" s="76">
        <f t="shared" si="197"/>
        <v>0</v>
      </c>
      <c r="BM33" s="76">
        <f t="shared" si="197"/>
        <v>0</v>
      </c>
      <c r="BN33" s="76">
        <f t="shared" si="197"/>
        <v>0</v>
      </c>
      <c r="BO33" s="76">
        <f t="shared" si="197"/>
        <v>0</v>
      </c>
      <c r="BP33" s="76">
        <f t="shared" si="197"/>
        <v>0</v>
      </c>
      <c r="BQ33" s="76">
        <f t="shared" si="197"/>
        <v>0</v>
      </c>
      <c r="BR33" s="76">
        <f t="shared" si="197"/>
        <v>0</v>
      </c>
      <c r="BS33" s="76">
        <f t="shared" si="198"/>
        <v>0</v>
      </c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>
        <f t="shared" si="199"/>
        <v>0</v>
      </c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>
        <f t="shared" si="200"/>
        <v>0</v>
      </c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>
        <f t="shared" si="201"/>
        <v>0</v>
      </c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>
        <f t="shared" si="202"/>
        <v>0</v>
      </c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>
        <f t="shared" si="203"/>
        <v>0</v>
      </c>
    </row>
    <row r="34" spans="1:141" outlineLevel="1">
      <c r="A34" s="46" t="s">
        <v>70</v>
      </c>
      <c r="B34" s="37" t="s">
        <v>3</v>
      </c>
      <c r="C34" s="319">
        <f t="shared" si="192"/>
        <v>0</v>
      </c>
      <c r="D34" s="54">
        <f t="shared" si="192"/>
        <v>0</v>
      </c>
      <c r="E34" s="54">
        <f t="shared" si="192"/>
        <v>0</v>
      </c>
      <c r="F34" s="54">
        <f t="shared" si="192"/>
        <v>0</v>
      </c>
      <c r="G34" s="54">
        <f t="shared" si="192"/>
        <v>0</v>
      </c>
      <c r="H34" s="54">
        <f t="shared" si="192"/>
        <v>0</v>
      </c>
      <c r="I34" s="54">
        <f t="shared" si="192"/>
        <v>0</v>
      </c>
      <c r="J34" s="54">
        <f t="shared" si="192"/>
        <v>0</v>
      </c>
      <c r="K34" s="54">
        <f t="shared" si="192"/>
        <v>0</v>
      </c>
      <c r="L34" s="54">
        <f t="shared" si="192"/>
        <v>0</v>
      </c>
      <c r="M34" s="54">
        <f t="shared" si="192"/>
        <v>0</v>
      </c>
      <c r="N34" s="54">
        <f t="shared" si="192"/>
        <v>0</v>
      </c>
      <c r="O34" s="320">
        <f t="shared" si="193"/>
        <v>0</v>
      </c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>
        <f t="shared" si="194"/>
        <v>0</v>
      </c>
      <c r="AE34" s="321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322">
        <f t="shared" si="195"/>
        <v>0</v>
      </c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>
        <f t="shared" si="196"/>
        <v>0</v>
      </c>
      <c r="BG34" s="54">
        <f t="shared" si="197"/>
        <v>0</v>
      </c>
      <c r="BH34" s="54">
        <f t="shared" si="197"/>
        <v>0</v>
      </c>
      <c r="BI34" s="54">
        <f t="shared" si="197"/>
        <v>0</v>
      </c>
      <c r="BJ34" s="54">
        <f t="shared" si="197"/>
        <v>0</v>
      </c>
      <c r="BK34" s="54">
        <f t="shared" si="197"/>
        <v>0</v>
      </c>
      <c r="BL34" s="54">
        <f t="shared" si="197"/>
        <v>0</v>
      </c>
      <c r="BM34" s="54">
        <f t="shared" si="197"/>
        <v>0</v>
      </c>
      <c r="BN34" s="54">
        <f t="shared" si="197"/>
        <v>0</v>
      </c>
      <c r="BO34" s="54">
        <f t="shared" si="197"/>
        <v>0</v>
      </c>
      <c r="BP34" s="54">
        <f t="shared" si="197"/>
        <v>0</v>
      </c>
      <c r="BQ34" s="54">
        <f t="shared" si="197"/>
        <v>0</v>
      </c>
      <c r="BR34" s="54">
        <f t="shared" si="197"/>
        <v>0</v>
      </c>
      <c r="BS34" s="54">
        <f t="shared" si="198"/>
        <v>0</v>
      </c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>
        <f t="shared" si="199"/>
        <v>0</v>
      </c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>
        <f t="shared" si="200"/>
        <v>0</v>
      </c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>
        <f t="shared" si="201"/>
        <v>0</v>
      </c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>
        <f t="shared" si="202"/>
        <v>0</v>
      </c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>
        <f t="shared" si="203"/>
        <v>0</v>
      </c>
    </row>
    <row r="35" spans="1:141">
      <c r="A35" s="38">
        <v>8</v>
      </c>
      <c r="B35" s="39" t="s">
        <v>26</v>
      </c>
      <c r="C35" s="319">
        <f t="shared" si="192"/>
        <v>20065548.111111112</v>
      </c>
      <c r="D35" s="54">
        <f t="shared" si="192"/>
        <v>20065548.111111112</v>
      </c>
      <c r="E35" s="54">
        <f t="shared" si="192"/>
        <v>20065548.111111112</v>
      </c>
      <c r="F35" s="54">
        <f t="shared" si="192"/>
        <v>10065548.111111112</v>
      </c>
      <c r="G35" s="54">
        <f t="shared" si="192"/>
        <v>10065548.111111112</v>
      </c>
      <c r="H35" s="54">
        <f t="shared" si="192"/>
        <v>10065548.111111112</v>
      </c>
      <c r="I35" s="54">
        <f t="shared" si="192"/>
        <v>10065548.111111112</v>
      </c>
      <c r="J35" s="54">
        <f t="shared" si="192"/>
        <v>10065548.111111112</v>
      </c>
      <c r="K35" s="54">
        <f t="shared" si="192"/>
        <v>10065548.111111112</v>
      </c>
      <c r="L35" s="54">
        <f t="shared" si="192"/>
        <v>10065548.111111112</v>
      </c>
      <c r="M35" s="54">
        <f t="shared" si="192"/>
        <v>10065548.111111112</v>
      </c>
      <c r="N35" s="54">
        <f t="shared" si="192"/>
        <v>10065548.111111112</v>
      </c>
      <c r="O35" s="320">
        <f t="shared" si="193"/>
        <v>150786577.33333328</v>
      </c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>
        <f t="shared" si="194"/>
        <v>0</v>
      </c>
      <c r="AE35" s="321">
        <f t="shared" ref="AE35:AP39" si="204">AS35+BU35+CI35+CW35+DK35</f>
        <v>20065548.111111112</v>
      </c>
      <c r="AF35" s="54">
        <f t="shared" si="204"/>
        <v>20065548.111111112</v>
      </c>
      <c r="AG35" s="54">
        <f t="shared" si="204"/>
        <v>20065548.111111112</v>
      </c>
      <c r="AH35" s="54">
        <f t="shared" si="204"/>
        <v>10065548.111111112</v>
      </c>
      <c r="AI35" s="54">
        <f t="shared" si="204"/>
        <v>10065548.111111112</v>
      </c>
      <c r="AJ35" s="54">
        <f t="shared" si="204"/>
        <v>10065548.111111112</v>
      </c>
      <c r="AK35" s="54">
        <f t="shared" si="204"/>
        <v>10065548.111111112</v>
      </c>
      <c r="AL35" s="54">
        <f t="shared" si="204"/>
        <v>10065548.111111112</v>
      </c>
      <c r="AM35" s="54">
        <f t="shared" si="204"/>
        <v>10065548.111111112</v>
      </c>
      <c r="AN35" s="54">
        <f t="shared" si="204"/>
        <v>10065548.111111112</v>
      </c>
      <c r="AO35" s="54">
        <f t="shared" si="204"/>
        <v>10065548.111111112</v>
      </c>
      <c r="AP35" s="54">
        <f t="shared" si="204"/>
        <v>10065548.111111112</v>
      </c>
      <c r="AQ35" s="322">
        <f t="shared" si="195"/>
        <v>150786577.33333328</v>
      </c>
      <c r="AS35" s="54">
        <f>'PL-KH26-DTR'!BL11</f>
        <v>0</v>
      </c>
      <c r="AT35" s="54">
        <f>'PL-KH26-DTR'!BM11</f>
        <v>0</v>
      </c>
      <c r="AU35" s="54">
        <f>'PL-KH26-DTR'!BN11</f>
        <v>0</v>
      </c>
      <c r="AV35" s="54">
        <f>'PL-KH26-DTR'!BO11</f>
        <v>0</v>
      </c>
      <c r="AW35" s="54">
        <f>'PL-KH26-DTR'!BP11</f>
        <v>0</v>
      </c>
      <c r="AX35" s="54">
        <f>'PL-KH26-DTR'!BQ11</f>
        <v>0</v>
      </c>
      <c r="AY35" s="54">
        <f>'PL-KH26-DTR'!BR11</f>
        <v>0</v>
      </c>
      <c r="AZ35" s="54">
        <f>'PL-KH26-DTR'!BS11</f>
        <v>0</v>
      </c>
      <c r="BA35" s="54">
        <f>'PL-KH26-DTR'!BT11</f>
        <v>0</v>
      </c>
      <c r="BB35" s="54">
        <f>'PL-KH26-DTR'!BU11</f>
        <v>0</v>
      </c>
      <c r="BC35" s="54">
        <f>'PL-KH26-DTR'!BV11</f>
        <v>0</v>
      </c>
      <c r="BD35" s="54">
        <f>'PL-KH26-DTR'!BW11</f>
        <v>0</v>
      </c>
      <c r="BE35" s="54">
        <f t="shared" si="196"/>
        <v>0</v>
      </c>
      <c r="BG35" s="54">
        <f t="shared" si="197"/>
        <v>20060000</v>
      </c>
      <c r="BH35" s="54">
        <f t="shared" si="197"/>
        <v>20060000</v>
      </c>
      <c r="BI35" s="54">
        <f t="shared" si="197"/>
        <v>20060000</v>
      </c>
      <c r="BJ35" s="54">
        <f t="shared" si="197"/>
        <v>10060000</v>
      </c>
      <c r="BK35" s="54">
        <f t="shared" si="197"/>
        <v>10060000</v>
      </c>
      <c r="BL35" s="54">
        <f t="shared" si="197"/>
        <v>10060000</v>
      </c>
      <c r="BM35" s="54">
        <f t="shared" si="197"/>
        <v>10060000</v>
      </c>
      <c r="BN35" s="54">
        <f t="shared" si="197"/>
        <v>10060000</v>
      </c>
      <c r="BO35" s="54">
        <f t="shared" si="197"/>
        <v>10060000</v>
      </c>
      <c r="BP35" s="54">
        <f t="shared" si="197"/>
        <v>10060000</v>
      </c>
      <c r="BQ35" s="54">
        <f t="shared" si="197"/>
        <v>10060000</v>
      </c>
      <c r="BR35" s="54">
        <f t="shared" si="197"/>
        <v>10060000</v>
      </c>
      <c r="BS35" s="54">
        <f t="shared" si="198"/>
        <v>150720000</v>
      </c>
      <c r="BU35" s="54">
        <f>'PL-KH26-DongLam'!G45</f>
        <v>20000000</v>
      </c>
      <c r="BV35" s="54">
        <f>'PL-KH26-DongLam'!H45</f>
        <v>20000000</v>
      </c>
      <c r="BW35" s="54">
        <f>'PL-KH26-DongLam'!I45</f>
        <v>20000000</v>
      </c>
      <c r="BX35" s="54">
        <f>'PL-KH26-DongLam'!J45</f>
        <v>10000000</v>
      </c>
      <c r="BY35" s="54">
        <f>'PL-KH26-DongLam'!K45</f>
        <v>10000000</v>
      </c>
      <c r="BZ35" s="54">
        <f>'PL-KH26-DongLam'!L45</f>
        <v>10000000</v>
      </c>
      <c r="CA35" s="54">
        <f>'PL-KH26-DongLam'!M45</f>
        <v>10000000</v>
      </c>
      <c r="CB35" s="54">
        <f>'PL-KH26-DongLam'!N45</f>
        <v>10000000</v>
      </c>
      <c r="CC35" s="54">
        <f>'PL-KH26-DongLam'!O45</f>
        <v>10000000</v>
      </c>
      <c r="CD35" s="54">
        <f>'PL-KH26-DongLam'!P45</f>
        <v>10000000</v>
      </c>
      <c r="CE35" s="54">
        <f>'PL-KH26-DongLam'!Q45</f>
        <v>10000000</v>
      </c>
      <c r="CF35" s="54">
        <f>'PL-KH26-DongLam'!R45</f>
        <v>10000000</v>
      </c>
      <c r="CG35" s="54">
        <f t="shared" si="199"/>
        <v>150000000</v>
      </c>
      <c r="CI35" s="54">
        <f>'PL-KH26-KhanhNga'!G44</f>
        <v>60000</v>
      </c>
      <c r="CJ35" s="54">
        <f>'PL-KH26-KhanhNga'!H44</f>
        <v>60000</v>
      </c>
      <c r="CK35" s="54">
        <f>'PL-KH26-KhanhNga'!I44</f>
        <v>60000</v>
      </c>
      <c r="CL35" s="54">
        <f>'PL-KH26-KhanhNga'!J44</f>
        <v>60000</v>
      </c>
      <c r="CM35" s="54">
        <f>'PL-KH26-KhanhNga'!K44</f>
        <v>60000</v>
      </c>
      <c r="CN35" s="54">
        <f>'PL-KH26-KhanhNga'!L44</f>
        <v>60000</v>
      </c>
      <c r="CO35" s="54">
        <f>'PL-KH26-KhanhNga'!M44</f>
        <v>60000</v>
      </c>
      <c r="CP35" s="54">
        <f>'PL-KH26-KhanhNga'!N44</f>
        <v>60000</v>
      </c>
      <c r="CQ35" s="54">
        <f>'PL-KH26-KhanhNga'!O44</f>
        <v>60000</v>
      </c>
      <c r="CR35" s="54">
        <f>'PL-KH26-KhanhNga'!P44</f>
        <v>60000</v>
      </c>
      <c r="CS35" s="54">
        <f>'PL-KH26-KhanhNga'!Q44</f>
        <v>60000</v>
      </c>
      <c r="CT35" s="54">
        <f>'PL-KH26-KhanhNga'!R44</f>
        <v>60000</v>
      </c>
      <c r="CU35" s="54">
        <f t="shared" si="200"/>
        <v>720000</v>
      </c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>
        <f t="shared" si="201"/>
        <v>0</v>
      </c>
      <c r="DK35" s="54">
        <f>'PL-KH26-TanDaiPhat'!B10</f>
        <v>5548.1111111111113</v>
      </c>
      <c r="DL35" s="54">
        <f>'PL-KH26-TanDaiPhat'!C10</f>
        <v>5548.1111111111113</v>
      </c>
      <c r="DM35" s="54">
        <f>'PL-KH26-TanDaiPhat'!D10</f>
        <v>5548.1111111111113</v>
      </c>
      <c r="DN35" s="54">
        <f>'PL-KH26-TanDaiPhat'!E10</f>
        <v>5548.1111111111113</v>
      </c>
      <c r="DO35" s="54">
        <f>'PL-KH26-TanDaiPhat'!F10</f>
        <v>5548.1111111111113</v>
      </c>
      <c r="DP35" s="54">
        <f>'PL-KH26-TanDaiPhat'!G10</f>
        <v>5548.1111111111113</v>
      </c>
      <c r="DQ35" s="54">
        <f>'PL-KH26-TanDaiPhat'!H10</f>
        <v>5548.1111111111113</v>
      </c>
      <c r="DR35" s="54">
        <f>'PL-KH26-TanDaiPhat'!I10</f>
        <v>5548.1111111111113</v>
      </c>
      <c r="DS35" s="54">
        <f>'PL-KH26-TanDaiPhat'!J10</f>
        <v>5548.1111111111113</v>
      </c>
      <c r="DT35" s="54">
        <f>'PL-KH26-TanDaiPhat'!K10</f>
        <v>5548.1111111111113</v>
      </c>
      <c r="DU35" s="54">
        <f>'PL-KH26-TanDaiPhat'!L10</f>
        <v>5548.1111111111113</v>
      </c>
      <c r="DV35" s="54">
        <f>'PL-KH26-TanDaiPhat'!M10</f>
        <v>5548.1111111111113</v>
      </c>
      <c r="DW35" s="54">
        <f t="shared" si="202"/>
        <v>66577.333333333328</v>
      </c>
      <c r="DY35" s="54"/>
      <c r="DZ35" s="54"/>
      <c r="EA35" s="54"/>
      <c r="EB35" s="54"/>
      <c r="EC35" s="54"/>
      <c r="ED35" s="54"/>
      <c r="EE35" s="54"/>
      <c r="EF35" s="54"/>
      <c r="EG35" s="54"/>
      <c r="EH35" s="54"/>
      <c r="EI35" s="54"/>
      <c r="EJ35" s="54"/>
      <c r="EK35" s="54">
        <f t="shared" si="203"/>
        <v>0</v>
      </c>
    </row>
    <row r="36" spans="1:141">
      <c r="A36" s="47">
        <v>9</v>
      </c>
      <c r="B36" s="35" t="s">
        <v>27</v>
      </c>
      <c r="C36" s="319">
        <f t="shared" si="192"/>
        <v>1440729191.0893345</v>
      </c>
      <c r="D36" s="54">
        <f t="shared" si="192"/>
        <v>2314401491.6227865</v>
      </c>
      <c r="E36" s="54">
        <f t="shared" si="192"/>
        <v>2754845108.8531456</v>
      </c>
      <c r="F36" s="54">
        <f t="shared" si="192"/>
        <v>2658973977.945015</v>
      </c>
      <c r="G36" s="54">
        <f t="shared" si="192"/>
        <v>2984563857.6971397</v>
      </c>
      <c r="H36" s="54">
        <f t="shared" si="192"/>
        <v>3083765892.6644506</v>
      </c>
      <c r="I36" s="54">
        <f t="shared" si="192"/>
        <v>3139619158.6549101</v>
      </c>
      <c r="J36" s="54">
        <f t="shared" si="192"/>
        <v>3321581053.7279758</v>
      </c>
      <c r="K36" s="54">
        <f t="shared" si="192"/>
        <v>3248341883.5147653</v>
      </c>
      <c r="L36" s="54">
        <f t="shared" si="192"/>
        <v>3254733184.6761322</v>
      </c>
      <c r="M36" s="54">
        <f t="shared" si="192"/>
        <v>3261994460.9206567</v>
      </c>
      <c r="N36" s="54">
        <f t="shared" si="192"/>
        <v>3102355062.0342402</v>
      </c>
      <c r="O36" s="320">
        <f t="shared" si="193"/>
        <v>34565904323.400558</v>
      </c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>
        <f t="shared" si="194"/>
        <v>0</v>
      </c>
      <c r="AE36" s="321">
        <f t="shared" si="204"/>
        <v>1440729191.0893345</v>
      </c>
      <c r="AF36" s="54">
        <f t="shared" si="204"/>
        <v>2314401491.6227865</v>
      </c>
      <c r="AG36" s="54">
        <f t="shared" si="204"/>
        <v>2754845108.8531456</v>
      </c>
      <c r="AH36" s="54">
        <f t="shared" si="204"/>
        <v>2658973977.945015</v>
      </c>
      <c r="AI36" s="54">
        <f t="shared" si="204"/>
        <v>2984563857.6971397</v>
      </c>
      <c r="AJ36" s="54">
        <f t="shared" si="204"/>
        <v>3083765892.6644506</v>
      </c>
      <c r="AK36" s="54">
        <f t="shared" si="204"/>
        <v>3139619158.6549101</v>
      </c>
      <c r="AL36" s="54">
        <f t="shared" si="204"/>
        <v>3321581053.7279758</v>
      </c>
      <c r="AM36" s="54">
        <f t="shared" si="204"/>
        <v>3248341883.5147653</v>
      </c>
      <c r="AN36" s="54">
        <f t="shared" si="204"/>
        <v>3254733184.6761322</v>
      </c>
      <c r="AO36" s="54">
        <f t="shared" si="204"/>
        <v>3261994460.9206567</v>
      </c>
      <c r="AP36" s="54">
        <f t="shared" si="204"/>
        <v>3102355062.0342402</v>
      </c>
      <c r="AQ36" s="322">
        <f t="shared" si="195"/>
        <v>34565904323.400558</v>
      </c>
      <c r="AS36" s="54">
        <f>'PL-KH26-DTR'!BL12</f>
        <v>1440729191.0893345</v>
      </c>
      <c r="AT36" s="54">
        <f>'PL-KH26-DTR'!BM12</f>
        <v>2314401491.6227865</v>
      </c>
      <c r="AU36" s="54">
        <f>'PL-KH26-DTR'!BN12</f>
        <v>2754845108.8531456</v>
      </c>
      <c r="AV36" s="54">
        <f>'PL-KH26-DTR'!BO12</f>
        <v>2658973977.945015</v>
      </c>
      <c r="AW36" s="54">
        <f>'PL-KH26-DTR'!BP12</f>
        <v>2984563857.6971397</v>
      </c>
      <c r="AX36" s="54">
        <f>'PL-KH26-DTR'!BQ12</f>
        <v>3083765892.6644506</v>
      </c>
      <c r="AY36" s="54">
        <f>'PL-KH26-DTR'!BR12</f>
        <v>3139619158.6549101</v>
      </c>
      <c r="AZ36" s="54">
        <f>'PL-KH26-DTR'!BS12</f>
        <v>3321581053.7279758</v>
      </c>
      <c r="BA36" s="54">
        <f>'PL-KH26-DTR'!BT12</f>
        <v>3248341883.5147653</v>
      </c>
      <c r="BB36" s="54">
        <f>'PL-KH26-DTR'!BU12</f>
        <v>3254733184.6761322</v>
      </c>
      <c r="BC36" s="54">
        <f>'PL-KH26-DTR'!BV12</f>
        <v>3261994460.9206567</v>
      </c>
      <c r="BD36" s="54">
        <f>'PL-KH26-DTR'!BW12</f>
        <v>3102355062.0342402</v>
      </c>
      <c r="BE36" s="54">
        <f t="shared" si="196"/>
        <v>34565904323.400558</v>
      </c>
      <c r="BG36" s="54">
        <f t="shared" si="197"/>
        <v>0</v>
      </c>
      <c r="BH36" s="54">
        <f t="shared" si="197"/>
        <v>0</v>
      </c>
      <c r="BI36" s="54">
        <f t="shared" si="197"/>
        <v>0</v>
      </c>
      <c r="BJ36" s="54">
        <f t="shared" si="197"/>
        <v>0</v>
      </c>
      <c r="BK36" s="54">
        <f t="shared" si="197"/>
        <v>0</v>
      </c>
      <c r="BL36" s="54">
        <f t="shared" si="197"/>
        <v>0</v>
      </c>
      <c r="BM36" s="54">
        <f t="shared" si="197"/>
        <v>0</v>
      </c>
      <c r="BN36" s="54">
        <f t="shared" si="197"/>
        <v>0</v>
      </c>
      <c r="BO36" s="54">
        <f t="shared" si="197"/>
        <v>0</v>
      </c>
      <c r="BP36" s="54">
        <f t="shared" si="197"/>
        <v>0</v>
      </c>
      <c r="BQ36" s="54">
        <f t="shared" si="197"/>
        <v>0</v>
      </c>
      <c r="BR36" s="54">
        <f t="shared" si="197"/>
        <v>0</v>
      </c>
      <c r="BS36" s="54">
        <f t="shared" si="198"/>
        <v>0</v>
      </c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>
        <f t="shared" si="199"/>
        <v>0</v>
      </c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>
        <f t="shared" si="200"/>
        <v>0</v>
      </c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>
        <f t="shared" si="201"/>
        <v>0</v>
      </c>
      <c r="DK36" s="54">
        <f>'PL-KH26-TanDaiPhat'!B11</f>
        <v>0</v>
      </c>
      <c r="DL36" s="54">
        <f>'PL-KH26-TanDaiPhat'!C11</f>
        <v>0</v>
      </c>
      <c r="DM36" s="54">
        <f>'PL-KH26-TanDaiPhat'!D11</f>
        <v>0</v>
      </c>
      <c r="DN36" s="54">
        <f>'PL-KH26-TanDaiPhat'!E11</f>
        <v>0</v>
      </c>
      <c r="DO36" s="54">
        <f>'PL-KH26-TanDaiPhat'!F11</f>
        <v>0</v>
      </c>
      <c r="DP36" s="54">
        <f>'PL-KH26-TanDaiPhat'!G11</f>
        <v>0</v>
      </c>
      <c r="DQ36" s="54">
        <f>'PL-KH26-TanDaiPhat'!H11</f>
        <v>0</v>
      </c>
      <c r="DR36" s="54">
        <f>'PL-KH26-TanDaiPhat'!I11</f>
        <v>0</v>
      </c>
      <c r="DS36" s="54">
        <f>'PL-KH26-TanDaiPhat'!J11</f>
        <v>0</v>
      </c>
      <c r="DT36" s="54">
        <f>'PL-KH26-TanDaiPhat'!K11</f>
        <v>0</v>
      </c>
      <c r="DU36" s="54">
        <f>'PL-KH26-TanDaiPhat'!L11</f>
        <v>0</v>
      </c>
      <c r="DV36" s="54">
        <f>'PL-KH26-TanDaiPhat'!M11</f>
        <v>0</v>
      </c>
      <c r="DW36" s="54">
        <f t="shared" si="202"/>
        <v>0</v>
      </c>
      <c r="DY36" s="54"/>
      <c r="DZ36" s="54"/>
      <c r="EA36" s="54"/>
      <c r="EB36" s="54"/>
      <c r="EC36" s="54"/>
      <c r="ED36" s="54"/>
      <c r="EE36" s="54"/>
      <c r="EF36" s="54"/>
      <c r="EG36" s="54"/>
      <c r="EH36" s="54"/>
      <c r="EI36" s="54"/>
      <c r="EJ36" s="54"/>
      <c r="EK36" s="54">
        <f t="shared" si="203"/>
        <v>0</v>
      </c>
    </row>
    <row r="37" spans="1:141">
      <c r="A37" s="38">
        <v>10</v>
      </c>
      <c r="B37" s="48" t="s">
        <v>28</v>
      </c>
      <c r="C37" s="359">
        <f t="shared" si="192"/>
        <v>1440729191.0893345</v>
      </c>
      <c r="D37" s="53">
        <f t="shared" si="192"/>
        <v>2314401491.6227865</v>
      </c>
      <c r="E37" s="53">
        <f t="shared" si="192"/>
        <v>2754845108.8531456</v>
      </c>
      <c r="F37" s="53">
        <f t="shared" si="192"/>
        <v>2658973977.945015</v>
      </c>
      <c r="G37" s="53">
        <f t="shared" si="192"/>
        <v>2984563857.6971397</v>
      </c>
      <c r="H37" s="53">
        <f t="shared" si="192"/>
        <v>3083765892.6644506</v>
      </c>
      <c r="I37" s="53">
        <f t="shared" si="192"/>
        <v>3139619158.6549101</v>
      </c>
      <c r="J37" s="53">
        <f t="shared" si="192"/>
        <v>3321581053.7279758</v>
      </c>
      <c r="K37" s="53">
        <f t="shared" si="192"/>
        <v>3248341883.5147653</v>
      </c>
      <c r="L37" s="53">
        <f t="shared" si="192"/>
        <v>3254733184.6761322</v>
      </c>
      <c r="M37" s="53">
        <f t="shared" si="192"/>
        <v>3261994460.9206567</v>
      </c>
      <c r="N37" s="53">
        <f t="shared" si="192"/>
        <v>3102355062.0342402</v>
      </c>
      <c r="O37" s="360">
        <f t="shared" si="193"/>
        <v>34565904323.400558</v>
      </c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>
        <f t="shared" si="194"/>
        <v>0</v>
      </c>
      <c r="AE37" s="361">
        <f t="shared" si="204"/>
        <v>1440729191.0893345</v>
      </c>
      <c r="AF37" s="53">
        <f t="shared" si="204"/>
        <v>2314401491.6227865</v>
      </c>
      <c r="AG37" s="53">
        <f t="shared" si="204"/>
        <v>2754845108.8531456</v>
      </c>
      <c r="AH37" s="53">
        <f t="shared" si="204"/>
        <v>2658973977.945015</v>
      </c>
      <c r="AI37" s="53">
        <f t="shared" si="204"/>
        <v>2984563857.6971397</v>
      </c>
      <c r="AJ37" s="53">
        <f t="shared" si="204"/>
        <v>3083765892.6644506</v>
      </c>
      <c r="AK37" s="53">
        <f t="shared" si="204"/>
        <v>3139619158.6549101</v>
      </c>
      <c r="AL37" s="53">
        <f t="shared" si="204"/>
        <v>3321581053.7279758</v>
      </c>
      <c r="AM37" s="53">
        <f t="shared" si="204"/>
        <v>3248341883.5147653</v>
      </c>
      <c r="AN37" s="53">
        <f t="shared" si="204"/>
        <v>3254733184.6761322</v>
      </c>
      <c r="AO37" s="53">
        <f t="shared" si="204"/>
        <v>3261994460.9206567</v>
      </c>
      <c r="AP37" s="53">
        <f t="shared" si="204"/>
        <v>3102355062.0342402</v>
      </c>
      <c r="AQ37" s="362">
        <f t="shared" si="195"/>
        <v>34565904323.400558</v>
      </c>
      <c r="AS37" s="53">
        <f>'PL-KH26-DTR'!BL13</f>
        <v>1440729191.0893345</v>
      </c>
      <c r="AT37" s="53">
        <f>'PL-KH26-DTR'!BM13</f>
        <v>2314401491.6227865</v>
      </c>
      <c r="AU37" s="53">
        <f>'PL-KH26-DTR'!BN13</f>
        <v>2754845108.8531456</v>
      </c>
      <c r="AV37" s="53">
        <f>'PL-KH26-DTR'!BO13</f>
        <v>2658973977.945015</v>
      </c>
      <c r="AW37" s="53">
        <f>'PL-KH26-DTR'!BP13</f>
        <v>2984563857.6971397</v>
      </c>
      <c r="AX37" s="53">
        <f>'PL-KH26-DTR'!BQ13</f>
        <v>3083765892.6644506</v>
      </c>
      <c r="AY37" s="53">
        <f>'PL-KH26-DTR'!BR13</f>
        <v>3139619158.6549101</v>
      </c>
      <c r="AZ37" s="53">
        <f>'PL-KH26-DTR'!BS13</f>
        <v>3321581053.7279758</v>
      </c>
      <c r="BA37" s="53">
        <f>'PL-KH26-DTR'!BT13</f>
        <v>3248341883.5147653</v>
      </c>
      <c r="BB37" s="53">
        <f>'PL-KH26-DTR'!BU13</f>
        <v>3254733184.6761322</v>
      </c>
      <c r="BC37" s="53">
        <f>'PL-KH26-DTR'!BV13</f>
        <v>3261994460.9206567</v>
      </c>
      <c r="BD37" s="53">
        <f>'PL-KH26-DTR'!BW13</f>
        <v>3102355062.0342402</v>
      </c>
      <c r="BE37" s="53">
        <f t="shared" si="196"/>
        <v>34565904323.400558</v>
      </c>
      <c r="BG37" s="53">
        <f t="shared" si="197"/>
        <v>0</v>
      </c>
      <c r="BH37" s="53">
        <f t="shared" si="197"/>
        <v>0</v>
      </c>
      <c r="BI37" s="53">
        <f t="shared" si="197"/>
        <v>0</v>
      </c>
      <c r="BJ37" s="53">
        <f t="shared" si="197"/>
        <v>0</v>
      </c>
      <c r="BK37" s="53">
        <f t="shared" si="197"/>
        <v>0</v>
      </c>
      <c r="BL37" s="53">
        <f t="shared" si="197"/>
        <v>0</v>
      </c>
      <c r="BM37" s="53">
        <f t="shared" si="197"/>
        <v>0</v>
      </c>
      <c r="BN37" s="53">
        <f t="shared" si="197"/>
        <v>0</v>
      </c>
      <c r="BO37" s="53">
        <f t="shared" si="197"/>
        <v>0</v>
      </c>
      <c r="BP37" s="53">
        <f t="shared" si="197"/>
        <v>0</v>
      </c>
      <c r="BQ37" s="53">
        <f t="shared" si="197"/>
        <v>0</v>
      </c>
      <c r="BR37" s="53">
        <f t="shared" si="197"/>
        <v>0</v>
      </c>
      <c r="BS37" s="53">
        <f t="shared" si="198"/>
        <v>0</v>
      </c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>
        <f t="shared" si="199"/>
        <v>0</v>
      </c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>
        <f t="shared" si="200"/>
        <v>0</v>
      </c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>
        <f t="shared" si="201"/>
        <v>0</v>
      </c>
      <c r="DK37" s="53">
        <f>'PL-KH26-TanDaiPhat'!B12</f>
        <v>0</v>
      </c>
      <c r="DL37" s="53">
        <f>'PL-KH26-TanDaiPhat'!C12</f>
        <v>0</v>
      </c>
      <c r="DM37" s="53">
        <f>'PL-KH26-TanDaiPhat'!D12</f>
        <v>0</v>
      </c>
      <c r="DN37" s="53">
        <f>'PL-KH26-TanDaiPhat'!E12</f>
        <v>0</v>
      </c>
      <c r="DO37" s="53">
        <f>'PL-KH26-TanDaiPhat'!F12</f>
        <v>0</v>
      </c>
      <c r="DP37" s="53">
        <f>'PL-KH26-TanDaiPhat'!G12</f>
        <v>0</v>
      </c>
      <c r="DQ37" s="53">
        <f>'PL-KH26-TanDaiPhat'!H12</f>
        <v>0</v>
      </c>
      <c r="DR37" s="53">
        <f>'PL-KH26-TanDaiPhat'!I12</f>
        <v>0</v>
      </c>
      <c r="DS37" s="53">
        <f>'PL-KH26-TanDaiPhat'!J12</f>
        <v>0</v>
      </c>
      <c r="DT37" s="53">
        <f>'PL-KH26-TanDaiPhat'!K12</f>
        <v>0</v>
      </c>
      <c r="DU37" s="53">
        <f>'PL-KH26-TanDaiPhat'!L12</f>
        <v>0</v>
      </c>
      <c r="DV37" s="53">
        <f>'PL-KH26-TanDaiPhat'!M12</f>
        <v>0</v>
      </c>
      <c r="DW37" s="53">
        <f t="shared" si="202"/>
        <v>0</v>
      </c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>
        <f t="shared" si="203"/>
        <v>0</v>
      </c>
    </row>
    <row r="38" spans="1:141">
      <c r="A38" s="38">
        <v>11</v>
      </c>
      <c r="B38" s="39" t="s">
        <v>29</v>
      </c>
      <c r="C38" s="319">
        <f t="shared" si="192"/>
        <v>5715119840.7360201</v>
      </c>
      <c r="D38" s="54">
        <f t="shared" si="192"/>
        <v>4532895339.4770603</v>
      </c>
      <c r="E38" s="54">
        <f t="shared" si="192"/>
        <v>5354985942.632905</v>
      </c>
      <c r="F38" s="54">
        <f t="shared" si="192"/>
        <v>4767228483.2620296</v>
      </c>
      <c r="G38" s="54">
        <f t="shared" si="192"/>
        <v>6360624030.7155828</v>
      </c>
      <c r="H38" s="54">
        <f t="shared" si="192"/>
        <v>5719886074.7977448</v>
      </c>
      <c r="I38" s="54">
        <f t="shared" si="192"/>
        <v>5096889953.4197016</v>
      </c>
      <c r="J38" s="54">
        <f t="shared" si="192"/>
        <v>4994444508.1737995</v>
      </c>
      <c r="K38" s="54">
        <f t="shared" si="192"/>
        <v>6990500871.4197016</v>
      </c>
      <c r="L38" s="54">
        <f t="shared" si="192"/>
        <v>5117052699.2266226</v>
      </c>
      <c r="M38" s="54">
        <f t="shared" si="192"/>
        <v>5444984743.641923</v>
      </c>
      <c r="N38" s="54">
        <f t="shared" si="192"/>
        <v>5540611374.603672</v>
      </c>
      <c r="O38" s="320">
        <f t="shared" si="193"/>
        <v>65635223862.106766</v>
      </c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>
        <f t="shared" si="194"/>
        <v>0</v>
      </c>
      <c r="AE38" s="321">
        <f t="shared" si="204"/>
        <v>5715119840.7360201</v>
      </c>
      <c r="AF38" s="54">
        <f t="shared" si="204"/>
        <v>4532895339.4770603</v>
      </c>
      <c r="AG38" s="54">
        <f t="shared" si="204"/>
        <v>5354985942.632905</v>
      </c>
      <c r="AH38" s="54">
        <f t="shared" si="204"/>
        <v>4767228483.2620296</v>
      </c>
      <c r="AI38" s="54">
        <f t="shared" si="204"/>
        <v>6360624030.7155828</v>
      </c>
      <c r="AJ38" s="54">
        <f t="shared" si="204"/>
        <v>5719886074.7977448</v>
      </c>
      <c r="AK38" s="54">
        <f t="shared" si="204"/>
        <v>5096889953.4197016</v>
      </c>
      <c r="AL38" s="54">
        <f t="shared" si="204"/>
        <v>4994444508.1737995</v>
      </c>
      <c r="AM38" s="54">
        <f t="shared" si="204"/>
        <v>6990500871.4197016</v>
      </c>
      <c r="AN38" s="54">
        <f t="shared" si="204"/>
        <v>5117052699.2266226</v>
      </c>
      <c r="AO38" s="54">
        <f t="shared" si="204"/>
        <v>5444984743.641923</v>
      </c>
      <c r="AP38" s="54">
        <f t="shared" si="204"/>
        <v>5540611374.603672</v>
      </c>
      <c r="AQ38" s="322">
        <f t="shared" si="195"/>
        <v>65635223862.106766</v>
      </c>
      <c r="AS38" s="54">
        <f>'PL-KH26-DTR'!BL14</f>
        <v>5085051683.2684879</v>
      </c>
      <c r="AT38" s="54">
        <f>'PL-KH26-DTR'!BM14</f>
        <v>4093196981.7930779</v>
      </c>
      <c r="AU38" s="54">
        <f>'PL-KH26-DTR'!BN14</f>
        <v>4600864865.7930784</v>
      </c>
      <c r="AV38" s="54">
        <f>'PL-KH26-DTR'!BO14</f>
        <v>3968860918.7165751</v>
      </c>
      <c r="AW38" s="54">
        <f>'PL-KH26-DTR'!BP14</f>
        <v>5549018826.1701279</v>
      </c>
      <c r="AX38" s="54">
        <f>'PL-KH26-DTR'!BQ14</f>
        <v>4908280870.2522898</v>
      </c>
      <c r="AY38" s="54">
        <f>'PL-KH26-DTR'!BR14</f>
        <v>4272047108.8742466</v>
      </c>
      <c r="AZ38" s="54">
        <f>'PL-KH26-DTR'!BS14</f>
        <v>4169382223.6283445</v>
      </c>
      <c r="BA38" s="54">
        <f>'PL-KH26-DTR'!BT14</f>
        <v>6178684666.8742466</v>
      </c>
      <c r="BB38" s="54">
        <f>'PL-KH26-DTR'!BU14</f>
        <v>4321867491.3478346</v>
      </c>
      <c r="BC38" s="54">
        <f>'PL-KH26-DTR'!BV14</f>
        <v>4663039255.763135</v>
      </c>
      <c r="BD38" s="54">
        <f>'PL-KH26-DTR'!BW14</f>
        <v>4745480246.724884</v>
      </c>
      <c r="BE38" s="54">
        <f t="shared" si="196"/>
        <v>56555775139.206322</v>
      </c>
      <c r="BG38" s="54">
        <f t="shared" si="197"/>
        <v>630068157.4675324</v>
      </c>
      <c r="BH38" s="54">
        <f t="shared" si="197"/>
        <v>439698357.68398267</v>
      </c>
      <c r="BI38" s="54">
        <f t="shared" si="197"/>
        <v>754121076.83982682</v>
      </c>
      <c r="BJ38" s="54">
        <f t="shared" si="197"/>
        <v>798367564.5454545</v>
      </c>
      <c r="BK38" s="54">
        <f t="shared" si="197"/>
        <v>811605204.5454545</v>
      </c>
      <c r="BL38" s="54">
        <f t="shared" si="197"/>
        <v>811605204.5454545</v>
      </c>
      <c r="BM38" s="54">
        <f t="shared" si="197"/>
        <v>824842844.5454545</v>
      </c>
      <c r="BN38" s="54">
        <f t="shared" si="197"/>
        <v>825062284.5454545</v>
      </c>
      <c r="BO38" s="54">
        <f t="shared" si="197"/>
        <v>811816204.5454545</v>
      </c>
      <c r="BP38" s="54">
        <f t="shared" si="197"/>
        <v>795185207.87878799</v>
      </c>
      <c r="BQ38" s="54">
        <f t="shared" si="197"/>
        <v>781945487.87878799</v>
      </c>
      <c r="BR38" s="54">
        <f t="shared" si="197"/>
        <v>795131127.87878799</v>
      </c>
      <c r="BS38" s="54">
        <f t="shared" si="198"/>
        <v>9079448722.9004326</v>
      </c>
      <c r="BU38" s="54">
        <f>'PL-KH26-DongLam'!G24</f>
        <v>267000000</v>
      </c>
      <c r="BV38" s="54">
        <f>'PL-KH26-DongLam'!H24</f>
        <v>160200000</v>
      </c>
      <c r="BW38" s="54">
        <f>'PL-KH26-DongLam'!I24</f>
        <v>353600000</v>
      </c>
      <c r="BX38" s="54">
        <f>'PL-KH26-DongLam'!J24</f>
        <v>317703360</v>
      </c>
      <c r="BY38" s="54">
        <f>'PL-KH26-DongLam'!K24</f>
        <v>330941000</v>
      </c>
      <c r="BZ38" s="54">
        <f>'PL-KH26-DongLam'!L24</f>
        <v>330941000</v>
      </c>
      <c r="CA38" s="54">
        <f>'PL-KH26-DongLam'!M24</f>
        <v>344178640</v>
      </c>
      <c r="CB38" s="54">
        <f>'PL-KH26-DongLam'!N24</f>
        <v>344398080</v>
      </c>
      <c r="CC38" s="54">
        <f>'PL-KH26-DongLam'!O24</f>
        <v>331152000</v>
      </c>
      <c r="CD38" s="54">
        <f>'PL-KH26-DongLam'!P24</f>
        <v>344232720</v>
      </c>
      <c r="CE38" s="54">
        <f>'PL-KH26-DongLam'!Q24</f>
        <v>330993000</v>
      </c>
      <c r="CF38" s="54">
        <f>'PL-KH26-DongLam'!R24</f>
        <v>344178640</v>
      </c>
      <c r="CG38" s="54">
        <f t="shared" si="199"/>
        <v>3799518440</v>
      </c>
      <c r="CI38" s="54">
        <f>'PL-KH26-KhanhNga'!G23</f>
        <v>103967532.46753247</v>
      </c>
      <c r="CJ38" s="54">
        <f>'PL-KH26-KhanhNga'!H23</f>
        <v>77975649.350649357</v>
      </c>
      <c r="CK38" s="54">
        <f>'PL-KH26-KhanhNga'!I23</f>
        <v>112631493.50649351</v>
      </c>
      <c r="CL38" s="54">
        <f>'PL-KH26-KhanhNga'!J23</f>
        <v>121295454.54545455</v>
      </c>
      <c r="CM38" s="54">
        <f>'PL-KH26-KhanhNga'!K23</f>
        <v>121295454.54545455</v>
      </c>
      <c r="CN38" s="54">
        <f>'PL-KH26-KhanhNga'!L23</f>
        <v>121295454.54545455</v>
      </c>
      <c r="CO38" s="54">
        <f>'PL-KH26-KhanhNga'!M23</f>
        <v>121295454.54545455</v>
      </c>
      <c r="CP38" s="54">
        <f>'PL-KH26-KhanhNga'!N23</f>
        <v>121295454.54545455</v>
      </c>
      <c r="CQ38" s="54">
        <f>'PL-KH26-KhanhNga'!O23</f>
        <v>121295454.54545455</v>
      </c>
      <c r="CR38" s="54">
        <f>'PL-KH26-KhanhNga'!P23</f>
        <v>121295454.54545455</v>
      </c>
      <c r="CS38" s="54">
        <f>'PL-KH26-KhanhNga'!Q23</f>
        <v>121295454.54545455</v>
      </c>
      <c r="CT38" s="54">
        <f>'PL-KH26-KhanhNga'!R23</f>
        <v>121295454.54545455</v>
      </c>
      <c r="CU38" s="54">
        <f t="shared" si="200"/>
        <v>1386233766.2337661</v>
      </c>
      <c r="CW38" s="54">
        <f>'PL-KH26-DaiLoc'!F25</f>
        <v>259100625</v>
      </c>
      <c r="CX38" s="54">
        <f>'PL-KH26-DaiLoc'!G25</f>
        <v>201522708.33333331</v>
      </c>
      <c r="CY38" s="54">
        <f>'PL-KH26-DaiLoc'!H25</f>
        <v>287889583.33333331</v>
      </c>
      <c r="CZ38" s="54">
        <f>'PL-KH26-DaiLoc'!I25</f>
        <v>359368750</v>
      </c>
      <c r="DA38" s="54">
        <f>'PL-KH26-DaiLoc'!J25</f>
        <v>359368750</v>
      </c>
      <c r="DB38" s="54">
        <f>'PL-KH26-DaiLoc'!K25</f>
        <v>359368750</v>
      </c>
      <c r="DC38" s="54">
        <f>'PL-KH26-DaiLoc'!L25</f>
        <v>359368750</v>
      </c>
      <c r="DD38" s="54">
        <f>'PL-KH26-DaiLoc'!M25</f>
        <v>359368750</v>
      </c>
      <c r="DE38" s="54">
        <f>'PL-KH26-DaiLoc'!N25</f>
        <v>359368750</v>
      </c>
      <c r="DF38" s="54">
        <f>'PL-KH26-DaiLoc'!O25</f>
        <v>329657033.33333337</v>
      </c>
      <c r="DG38" s="54">
        <f>'PL-KH26-DaiLoc'!P25</f>
        <v>329657033.33333337</v>
      </c>
      <c r="DH38" s="54">
        <f>'PL-KH26-DaiLoc'!Q25</f>
        <v>329657033.33333337</v>
      </c>
      <c r="DI38" s="54">
        <f t="shared" si="201"/>
        <v>3893696516.666667</v>
      </c>
      <c r="DK38" s="54">
        <f>'PL-KH26-TanDaiPhat'!B13</f>
        <v>0</v>
      </c>
      <c r="DL38" s="54">
        <f>'PL-KH26-TanDaiPhat'!C13</f>
        <v>0</v>
      </c>
      <c r="DM38" s="54">
        <f>'PL-KH26-TanDaiPhat'!D13</f>
        <v>0</v>
      </c>
      <c r="DN38" s="54">
        <f>'PL-KH26-TanDaiPhat'!E13</f>
        <v>0</v>
      </c>
      <c r="DO38" s="54">
        <f>'PL-KH26-TanDaiPhat'!F13</f>
        <v>0</v>
      </c>
      <c r="DP38" s="54">
        <f>'PL-KH26-TanDaiPhat'!G13</f>
        <v>0</v>
      </c>
      <c r="DQ38" s="54">
        <f>'PL-KH26-TanDaiPhat'!H13</f>
        <v>0</v>
      </c>
      <c r="DR38" s="54">
        <f>'PL-KH26-TanDaiPhat'!I13</f>
        <v>0</v>
      </c>
      <c r="DS38" s="54">
        <f>'PL-KH26-TanDaiPhat'!J13</f>
        <v>0</v>
      </c>
      <c r="DT38" s="54">
        <f>'PL-KH26-TanDaiPhat'!K13</f>
        <v>0</v>
      </c>
      <c r="DU38" s="54">
        <f>'PL-KH26-TanDaiPhat'!L13</f>
        <v>0</v>
      </c>
      <c r="DV38" s="54">
        <f>'PL-KH26-TanDaiPhat'!M13</f>
        <v>0</v>
      </c>
      <c r="DW38" s="54">
        <f t="shared" si="202"/>
        <v>0</v>
      </c>
      <c r="DY38" s="54"/>
      <c r="DZ38" s="54"/>
      <c r="EA38" s="54"/>
      <c r="EB38" s="54"/>
      <c r="EC38" s="54"/>
      <c r="ED38" s="54"/>
      <c r="EE38" s="54"/>
      <c r="EF38" s="54"/>
      <c r="EG38" s="54"/>
      <c r="EH38" s="54"/>
      <c r="EI38" s="54"/>
      <c r="EJ38" s="54"/>
      <c r="EK38" s="54">
        <f t="shared" si="203"/>
        <v>0</v>
      </c>
    </row>
    <row r="39" spans="1:141">
      <c r="A39" s="55">
        <v>12</v>
      </c>
      <c r="B39" s="56" t="s">
        <v>30</v>
      </c>
      <c r="C39" s="323">
        <f t="shared" si="192"/>
        <v>10275860698.748386</v>
      </c>
      <c r="D39" s="57">
        <f t="shared" si="192"/>
        <v>8716932392.5652218</v>
      </c>
      <c r="E39" s="57">
        <f t="shared" si="192"/>
        <v>8759904698.1036587</v>
      </c>
      <c r="F39" s="57">
        <f t="shared" si="192"/>
        <v>8918147544.1229057</v>
      </c>
      <c r="G39" s="57">
        <f t="shared" si="192"/>
        <v>9057039452.0205288</v>
      </c>
      <c r="H39" s="57">
        <f t="shared" si="192"/>
        <v>9504724354.2504253</v>
      </c>
      <c r="I39" s="57">
        <f t="shared" si="192"/>
        <v>9932085922.03512</v>
      </c>
      <c r="J39" s="57">
        <f t="shared" si="192"/>
        <v>10308460446.010513</v>
      </c>
      <c r="K39" s="57">
        <f t="shared" si="192"/>
        <v>9446289658.7034874</v>
      </c>
      <c r="L39" s="57">
        <f t="shared" si="192"/>
        <v>9009712006.4009361</v>
      </c>
      <c r="M39" s="57">
        <f t="shared" si="192"/>
        <v>9149105409.7559357</v>
      </c>
      <c r="N39" s="57">
        <f t="shared" si="192"/>
        <v>11367195758.417297</v>
      </c>
      <c r="O39" s="324">
        <f t="shared" si="193"/>
        <v>114445458341.13443</v>
      </c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>
        <f t="shared" si="194"/>
        <v>0</v>
      </c>
      <c r="AE39" s="325">
        <f t="shared" si="204"/>
        <v>10275860698.748386</v>
      </c>
      <c r="AF39" s="57">
        <f t="shared" si="204"/>
        <v>8716932392.5652218</v>
      </c>
      <c r="AG39" s="57">
        <f t="shared" si="204"/>
        <v>8759904698.1036587</v>
      </c>
      <c r="AH39" s="57">
        <f t="shared" si="204"/>
        <v>8918147544.1229057</v>
      </c>
      <c r="AI39" s="57">
        <f t="shared" si="204"/>
        <v>9057039452.0205288</v>
      </c>
      <c r="AJ39" s="57">
        <f t="shared" si="204"/>
        <v>9504724354.2504253</v>
      </c>
      <c r="AK39" s="57">
        <f t="shared" si="204"/>
        <v>9932085922.03512</v>
      </c>
      <c r="AL39" s="57">
        <f t="shared" si="204"/>
        <v>10308460446.010513</v>
      </c>
      <c r="AM39" s="57">
        <f t="shared" si="204"/>
        <v>9446289658.7034874</v>
      </c>
      <c r="AN39" s="57">
        <f t="shared" si="204"/>
        <v>9009712006.4009361</v>
      </c>
      <c r="AO39" s="57">
        <f t="shared" si="204"/>
        <v>9149105409.7559357</v>
      </c>
      <c r="AP39" s="57">
        <f t="shared" si="204"/>
        <v>11367195758.417297</v>
      </c>
      <c r="AQ39" s="326">
        <f t="shared" si="195"/>
        <v>114445458341.13443</v>
      </c>
      <c r="AS39" s="57">
        <f>'PL-KH26-DTR'!BL15</f>
        <v>9071413074.9872189</v>
      </c>
      <c r="AT39" s="57">
        <f>'PL-KH26-DTR'!BM15</f>
        <v>7516098440.3346109</v>
      </c>
      <c r="AU39" s="57">
        <f>'PL-KH26-DTR'!BN15</f>
        <v>7598269672.2063799</v>
      </c>
      <c r="AV39" s="57">
        <f>'PL-KH26-DTR'!BO15</f>
        <v>7688191220.7811832</v>
      </c>
      <c r="AW39" s="57">
        <f>'PL-KH26-DTR'!BP15</f>
        <v>7848430527.1788063</v>
      </c>
      <c r="AX39" s="57">
        <f>'PL-KH26-DTR'!BQ15</f>
        <v>8123855633.0161085</v>
      </c>
      <c r="AY39" s="57">
        <f>'PL-KH26-DTR'!BR15</f>
        <v>8707815450.0008049</v>
      </c>
      <c r="AZ39" s="57">
        <f>'PL-KH26-DTR'!BS15</f>
        <v>8883369486.1761971</v>
      </c>
      <c r="BA39" s="57">
        <f>'PL-KH26-DTR'!BT15</f>
        <v>8212091289.1691723</v>
      </c>
      <c r="BB39" s="57">
        <f>'PL-KH26-DTR'!BU15</f>
        <v>7815232028.533287</v>
      </c>
      <c r="BC39" s="57">
        <f>'PL-KH26-DTR'!BV15</f>
        <v>7940180139.8882866</v>
      </c>
      <c r="BD39" s="57">
        <f>'PL-KH26-DTR'!BW15</f>
        <v>10136838744.549648</v>
      </c>
      <c r="BE39" s="57">
        <f t="shared" si="196"/>
        <v>99541785706.821701</v>
      </c>
      <c r="BG39" s="57">
        <f t="shared" si="197"/>
        <v>1199462886.761167</v>
      </c>
      <c r="BH39" s="57">
        <f t="shared" si="197"/>
        <v>1196249215.2306116</v>
      </c>
      <c r="BI39" s="57">
        <f t="shared" si="197"/>
        <v>1157050288.8972781</v>
      </c>
      <c r="BJ39" s="57">
        <f t="shared" si="197"/>
        <v>1224971586.3417225</v>
      </c>
      <c r="BK39" s="57">
        <f t="shared" si="197"/>
        <v>1204024187.8417225</v>
      </c>
      <c r="BL39" s="57">
        <f t="shared" si="197"/>
        <v>1376283984.2343154</v>
      </c>
      <c r="BM39" s="57">
        <f t="shared" si="197"/>
        <v>1219685735.0343153</v>
      </c>
      <c r="BN39" s="57">
        <f t="shared" si="197"/>
        <v>1420106222.8343153</v>
      </c>
      <c r="BO39" s="57">
        <f t="shared" si="197"/>
        <v>1229613632.5343153</v>
      </c>
      <c r="BP39" s="57">
        <f t="shared" si="197"/>
        <v>1189895240.8676486</v>
      </c>
      <c r="BQ39" s="57">
        <f t="shared" si="197"/>
        <v>1203940532.8676486</v>
      </c>
      <c r="BR39" s="57">
        <f t="shared" si="197"/>
        <v>1225772276.8676486</v>
      </c>
      <c r="BS39" s="57">
        <f t="shared" si="198"/>
        <v>14847055790.312708</v>
      </c>
      <c r="BU39" s="57">
        <f>'PL-KH26-DongLam'!G39</f>
        <v>269381341.25</v>
      </c>
      <c r="BV39" s="57">
        <f>'PL-KH26-DongLam'!H39</f>
        <v>333905348.25</v>
      </c>
      <c r="BW39" s="57">
        <f>'PL-KH26-DongLam'!I39</f>
        <v>289692466.25</v>
      </c>
      <c r="BX39" s="57">
        <f>'PL-KH26-DongLam'!J39</f>
        <v>351095825.25</v>
      </c>
      <c r="BY39" s="57">
        <f>'PL-KH26-DongLam'!K39</f>
        <v>344962243.25</v>
      </c>
      <c r="BZ39" s="57">
        <f>'PL-KH26-DongLam'!L39</f>
        <v>358733961.39814818</v>
      </c>
      <c r="CA39" s="57">
        <f>'PL-KH26-DongLam'!M39</f>
        <v>377502662.39814818</v>
      </c>
      <c r="CB39" s="57">
        <f>'PL-KH26-DongLam'!N39</f>
        <v>549192634.39814818</v>
      </c>
      <c r="CC39" s="57">
        <f>'PL-KH26-DongLam'!O39</f>
        <v>379644959.39814818</v>
      </c>
      <c r="CD39" s="57">
        <f>'PL-KH26-DongLam'!P39</f>
        <v>361192934.39814818</v>
      </c>
      <c r="CE39" s="57">
        <f>'PL-KH26-DongLam'!Q39</f>
        <v>357799656.39814818</v>
      </c>
      <c r="CF39" s="57">
        <f>'PL-KH26-DongLam'!R39</f>
        <v>376558217.39814818</v>
      </c>
      <c r="CG39" s="57">
        <f t="shared" si="199"/>
        <v>4349662250.0370369</v>
      </c>
      <c r="CI39" s="57">
        <f>'PL-KH26-KhanhNga'!G38</f>
        <v>378592319.54256791</v>
      </c>
      <c r="CJ39" s="57">
        <f>'PL-KH26-KhanhNga'!H38</f>
        <v>376999091.34534574</v>
      </c>
      <c r="CK39" s="57">
        <f>'PL-KH26-KhanhNga'!I38</f>
        <v>352798410.34534574</v>
      </c>
      <c r="CL39" s="57">
        <f>'PL-KH26-KhanhNga'!J38</f>
        <v>354484508.34534574</v>
      </c>
      <c r="CM39" s="57">
        <f>'PL-KH26-KhanhNga'!K38</f>
        <v>358145654.34534574</v>
      </c>
      <c r="CN39" s="57">
        <f>'PL-KH26-KhanhNga'!L38</f>
        <v>353846826.34534574</v>
      </c>
      <c r="CO39" s="57">
        <f>'PL-KH26-KhanhNga'!M38</f>
        <v>353706738.34534574</v>
      </c>
      <c r="CP39" s="57">
        <f>'PL-KH26-KhanhNga'!N38</f>
        <v>352062254.34534574</v>
      </c>
      <c r="CQ39" s="57">
        <f>'PL-KH26-KhanhNga'!O38</f>
        <v>352427137.34534574</v>
      </c>
      <c r="CR39" s="57">
        <f>'PL-KH26-KhanhNga'!P38</f>
        <v>349640791.34534574</v>
      </c>
      <c r="CS39" s="57">
        <f>'PL-KH26-KhanhNga'!Q38</f>
        <v>351542637.34534574</v>
      </c>
      <c r="CT39" s="57">
        <f>'PL-KH26-KhanhNga'!R38</f>
        <v>358591714.34534574</v>
      </c>
      <c r="CU39" s="57">
        <f t="shared" si="200"/>
        <v>4292838083.3413696</v>
      </c>
      <c r="CW39" s="57">
        <f>'PL-KH26-DaiLoc'!F40</f>
        <v>551489225.9685992</v>
      </c>
      <c r="CX39" s="57">
        <f>'PL-KH26-DaiLoc'!G40</f>
        <v>485344775.63526577</v>
      </c>
      <c r="CY39" s="57">
        <f>'PL-KH26-DaiLoc'!H40</f>
        <v>514559412.30193239</v>
      </c>
      <c r="CZ39" s="57">
        <f>'PL-KH26-DaiLoc'!I40</f>
        <v>519391252.74637687</v>
      </c>
      <c r="DA39" s="57">
        <f>'PL-KH26-DaiLoc'!J40</f>
        <v>500916290.24637687</v>
      </c>
      <c r="DB39" s="57">
        <f>'PL-KH26-DaiLoc'!K40</f>
        <v>663703196.49082148</v>
      </c>
      <c r="DC39" s="57">
        <f>'PL-KH26-DaiLoc'!L40</f>
        <v>488476334.29082137</v>
      </c>
      <c r="DD39" s="57">
        <f>'PL-KH26-DaiLoc'!M40</f>
        <v>518851334.09082139</v>
      </c>
      <c r="DE39" s="57">
        <f>'PL-KH26-DaiLoc'!N40</f>
        <v>497541535.79082137</v>
      </c>
      <c r="DF39" s="57">
        <f>'PL-KH26-DaiLoc'!O40</f>
        <v>479061515.12415469</v>
      </c>
      <c r="DG39" s="57">
        <f>'PL-KH26-DaiLoc'!P40</f>
        <v>494598239.12415469</v>
      </c>
      <c r="DH39" s="57">
        <f>'PL-KH26-DaiLoc'!Q40</f>
        <v>490622345.12415469</v>
      </c>
      <c r="DI39" s="57">
        <f t="shared" si="201"/>
        <v>6204555456.9343014</v>
      </c>
      <c r="DK39" s="57">
        <f>'PL-KH26-TanDaiPhat'!B14</f>
        <v>4984737</v>
      </c>
      <c r="DL39" s="57">
        <f>'PL-KH26-TanDaiPhat'!C14</f>
        <v>4584737</v>
      </c>
      <c r="DM39" s="57">
        <f>'PL-KH26-TanDaiPhat'!D14</f>
        <v>4584737</v>
      </c>
      <c r="DN39" s="57">
        <f>'PL-KH26-TanDaiPhat'!E14</f>
        <v>4984737</v>
      </c>
      <c r="DO39" s="57">
        <f>'PL-KH26-TanDaiPhat'!F14</f>
        <v>4584737</v>
      </c>
      <c r="DP39" s="57">
        <f>'PL-KH26-TanDaiPhat'!G14</f>
        <v>4584737</v>
      </c>
      <c r="DQ39" s="57">
        <f>'PL-KH26-TanDaiPhat'!H14</f>
        <v>4584737</v>
      </c>
      <c r="DR39" s="57">
        <f>'PL-KH26-TanDaiPhat'!I14</f>
        <v>4984737</v>
      </c>
      <c r="DS39" s="57">
        <f>'PL-KH26-TanDaiPhat'!J14</f>
        <v>4584737</v>
      </c>
      <c r="DT39" s="57">
        <f>'PL-KH26-TanDaiPhat'!K14</f>
        <v>4584737</v>
      </c>
      <c r="DU39" s="57">
        <f>'PL-KH26-TanDaiPhat'!L14</f>
        <v>4984737</v>
      </c>
      <c r="DV39" s="57">
        <f>'PL-KH26-TanDaiPhat'!M14</f>
        <v>4584737</v>
      </c>
      <c r="DW39" s="57">
        <f t="shared" si="202"/>
        <v>56616844</v>
      </c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>
        <f t="shared" si="203"/>
        <v>0</v>
      </c>
    </row>
    <row r="40" spans="1:141">
      <c r="A40" s="67">
        <v>13</v>
      </c>
      <c r="B40" s="68" t="s">
        <v>31</v>
      </c>
      <c r="C40" s="367">
        <f ca="1">C27+C31+C35-C36-C38-C39</f>
        <v>881095325.88600922</v>
      </c>
      <c r="D40" s="84">
        <f t="shared" ref="D40:O40" ca="1" si="205">D27+D31+D35-D36-D38-D39</f>
        <v>-2443158527.5726547</v>
      </c>
      <c r="E40" s="84">
        <f t="shared" ca="1" si="205"/>
        <v>4973196197.8377552</v>
      </c>
      <c r="F40" s="84">
        <f t="shared" ca="1" si="205"/>
        <v>2713269475.6906605</v>
      </c>
      <c r="G40" s="84">
        <f t="shared" ca="1" si="205"/>
        <v>3978700192.5353489</v>
      </c>
      <c r="H40" s="84">
        <f t="shared" ca="1" si="205"/>
        <v>2528344330.5519695</v>
      </c>
      <c r="I40" s="84">
        <f t="shared" ca="1" si="205"/>
        <v>9436799133.2125645</v>
      </c>
      <c r="J40" s="84">
        <f t="shared" ca="1" si="205"/>
        <v>8838314528.1837769</v>
      </c>
      <c r="K40" s="84">
        <f t="shared" ca="1" si="205"/>
        <v>8232584845.1768112</v>
      </c>
      <c r="L40" s="84">
        <f t="shared" ca="1" si="205"/>
        <v>9022663019.551857</v>
      </c>
      <c r="M40" s="84">
        <f t="shared" ca="1" si="205"/>
        <v>9579974884.5066681</v>
      </c>
      <c r="N40" s="84">
        <f t="shared" ca="1" si="205"/>
        <v>7319357121.376236</v>
      </c>
      <c r="O40" s="368">
        <f t="shared" ca="1" si="205"/>
        <v>65061140526.936981</v>
      </c>
      <c r="Q40" s="84">
        <f ca="1">Q27+Q31+Q35-Q36-Q38-Q39</f>
        <v>-1081653552.8917923</v>
      </c>
      <c r="R40" s="84">
        <f t="shared" ref="R40:AC40" ca="1" si="206">R27+R31+R35-R36-R38-R39</f>
        <v>-206360630.64188004</v>
      </c>
      <c r="S40" s="84">
        <f t="shared" ca="1" si="206"/>
        <v>-1311188694.2388897</v>
      </c>
      <c r="T40" s="84">
        <f t="shared" ca="1" si="206"/>
        <v>-1689504436.190918</v>
      </c>
      <c r="U40" s="84">
        <f t="shared" ca="1" si="206"/>
        <v>-600462545.67515945</v>
      </c>
      <c r="V40" s="84">
        <f t="shared" ca="1" si="206"/>
        <v>-1386793199.9009171</v>
      </c>
      <c r="W40" s="84">
        <f t="shared" ca="1" si="206"/>
        <v>-318276916.1496563</v>
      </c>
      <c r="X40" s="84">
        <f t="shared" ca="1" si="206"/>
        <v>31216146.459789276</v>
      </c>
      <c r="Y40" s="84">
        <f t="shared" ca="1" si="206"/>
        <v>133418850.23434067</v>
      </c>
      <c r="Z40" s="84">
        <f t="shared" ca="1" si="206"/>
        <v>-337062225.32540703</v>
      </c>
      <c r="AA40" s="84">
        <f t="shared" ca="1" si="206"/>
        <v>-153560604.06283951</v>
      </c>
      <c r="AB40" s="84">
        <f t="shared" ca="1" si="206"/>
        <v>-227377208.07666779</v>
      </c>
      <c r="AC40" s="84">
        <f t="shared" ca="1" si="206"/>
        <v>-7147605016.4599972</v>
      </c>
      <c r="AE40" s="369">
        <f>AE27+AE31+AE35-AE36-AE38-AE39</f>
        <v>1962748878.7778015</v>
      </c>
      <c r="AF40" s="84">
        <f t="shared" ref="AF40:AQ40" si="207">AF27+AF31+AF35-AF36-AF38-AF39</f>
        <v>-2236797896.9307747</v>
      </c>
      <c r="AG40" s="84">
        <f t="shared" si="207"/>
        <v>6284384892.0766468</v>
      </c>
      <c r="AH40" s="84">
        <f t="shared" si="207"/>
        <v>4402773911.8815784</v>
      </c>
      <c r="AI40" s="84">
        <f t="shared" si="207"/>
        <v>4579162738.2105122</v>
      </c>
      <c r="AJ40" s="84">
        <f t="shared" si="207"/>
        <v>3915137530.4528866</v>
      </c>
      <c r="AK40" s="84">
        <f t="shared" si="207"/>
        <v>9755076049.3622189</v>
      </c>
      <c r="AL40" s="84">
        <f t="shared" si="207"/>
        <v>8807098381.7239838</v>
      </c>
      <c r="AM40" s="84">
        <f t="shared" si="207"/>
        <v>8099165994.9424706</v>
      </c>
      <c r="AN40" s="84">
        <f t="shared" si="207"/>
        <v>9359725244.8772659</v>
      </c>
      <c r="AO40" s="84">
        <f t="shared" si="207"/>
        <v>9733535488.5695114</v>
      </c>
      <c r="AP40" s="84">
        <f t="shared" si="207"/>
        <v>7546734329.4529037</v>
      </c>
      <c r="AQ40" s="370">
        <f t="shared" si="207"/>
        <v>72208745543.396942</v>
      </c>
      <c r="AS40" s="84">
        <f>AS27+AS31+AS35-AS36-AS38-AS39</f>
        <v>2334994374.7063351</v>
      </c>
      <c r="AT40" s="84">
        <f t="shared" ref="AT40:BE40" si="208">AT27+AT31+AT35-AT36-AT38-AT39</f>
        <v>-891478642.64979839</v>
      </c>
      <c r="AU40" s="84">
        <f t="shared" si="208"/>
        <v>6431823854.38412</v>
      </c>
      <c r="AV40" s="84">
        <f t="shared" si="208"/>
        <v>4168359670.0697536</v>
      </c>
      <c r="AW40" s="84">
        <f t="shared" si="208"/>
        <v>4346489854.7306442</v>
      </c>
      <c r="AX40" s="84">
        <f t="shared" si="208"/>
        <v>3973340800.7311525</v>
      </c>
      <c r="AY40" s="84">
        <f t="shared" si="208"/>
        <v>9621503003.9794807</v>
      </c>
      <c r="AZ40" s="84">
        <f t="shared" si="208"/>
        <v>8836135025.017807</v>
      </c>
      <c r="BA40" s="84">
        <f t="shared" si="208"/>
        <v>8070185356.4676476</v>
      </c>
      <c r="BB40" s="84">
        <f t="shared" si="208"/>
        <v>8765703474.6883202</v>
      </c>
      <c r="BC40" s="84">
        <f t="shared" si="208"/>
        <v>9336972412.2696571</v>
      </c>
      <c r="BD40" s="84">
        <f t="shared" si="208"/>
        <v>7047936259.3445015</v>
      </c>
      <c r="BE40" s="84">
        <f t="shared" si="208"/>
        <v>72041965443.739609</v>
      </c>
      <c r="BG40" s="84">
        <f>BG27+BG31+BG35-BG36-BG38-BG39</f>
        <v>-367266307.03964305</v>
      </c>
      <c r="BH40" s="84">
        <f t="shared" ref="BH40:BS40" si="209">BH27+BH31+BH35-BH36-BH38-BH39</f>
        <v>-1340740065.3920875</v>
      </c>
      <c r="BI40" s="84">
        <f t="shared" si="209"/>
        <v>-142859773.4185853</v>
      </c>
      <c r="BJ40" s="84">
        <f t="shared" si="209"/>
        <v>239393430.70071363</v>
      </c>
      <c r="BK40" s="84">
        <f t="shared" si="209"/>
        <v>237252072.36875868</v>
      </c>
      <c r="BL40" s="84">
        <f t="shared" si="209"/>
        <v>-53624081.389373779</v>
      </c>
      <c r="BM40" s="84">
        <f t="shared" si="209"/>
        <v>138152234.2716248</v>
      </c>
      <c r="BN40" s="84">
        <f t="shared" si="209"/>
        <v>-24057454.404931545</v>
      </c>
      <c r="BO40" s="84">
        <f t="shared" si="209"/>
        <v>33559827.363711596</v>
      </c>
      <c r="BP40" s="84">
        <f t="shared" si="209"/>
        <v>598600959.07783556</v>
      </c>
      <c r="BQ40" s="84">
        <f t="shared" si="209"/>
        <v>401542265.18874407</v>
      </c>
      <c r="BR40" s="84">
        <f t="shared" si="209"/>
        <v>503377258.99729204</v>
      </c>
      <c r="BS40" s="84">
        <f t="shared" si="209"/>
        <v>223330366.32402992</v>
      </c>
      <c r="BU40" s="84">
        <f>BU27+BU31+BU35-BU36-BU38-BU39</f>
        <v>425648686.98440266</v>
      </c>
      <c r="BV40" s="84">
        <f t="shared" ref="BV40:CG40" si="210">BV27+BV31+BV35-BV36-BV38-BV39</f>
        <v>-57733714.869803429</v>
      </c>
      <c r="BW40" s="84">
        <f t="shared" si="210"/>
        <v>288830674.14476395</v>
      </c>
      <c r="BX40" s="84">
        <f t="shared" si="210"/>
        <v>152444821.72399521</v>
      </c>
      <c r="BY40" s="84">
        <f t="shared" si="210"/>
        <v>114898892.57554054</v>
      </c>
      <c r="BZ40" s="84">
        <f t="shared" si="210"/>
        <v>66153608.094058394</v>
      </c>
      <c r="CA40" s="84">
        <f t="shared" si="210"/>
        <v>122430228.57130182</v>
      </c>
      <c r="CB40" s="84">
        <f t="shared" si="210"/>
        <v>13734722.611409545</v>
      </c>
      <c r="CC40" s="84">
        <f t="shared" si="210"/>
        <v>28055370.012963653</v>
      </c>
      <c r="CD40" s="84">
        <f t="shared" si="210"/>
        <v>167488832.03474939</v>
      </c>
      <c r="CE40" s="84">
        <f t="shared" si="210"/>
        <v>44116089.368741393</v>
      </c>
      <c r="CF40" s="84">
        <f t="shared" si="210"/>
        <v>133638468.90463388</v>
      </c>
      <c r="CG40" s="84">
        <f t="shared" si="210"/>
        <v>1499706680.1567497</v>
      </c>
      <c r="CI40" s="84">
        <f>CI27+CI31+CI35-CI36-CI38-CI39</f>
        <v>-13487537.813614845</v>
      </c>
      <c r="CJ40" s="84">
        <f t="shared" ref="CJ40:CU40" si="211">CJ27+CJ31+CJ35-CJ36-CJ38-CJ39</f>
        <v>-349003777.9449861</v>
      </c>
      <c r="CK40" s="84">
        <f t="shared" si="211"/>
        <v>153985417.22647077</v>
      </c>
      <c r="CL40" s="84">
        <f t="shared" si="211"/>
        <v>217630316.46933579</v>
      </c>
      <c r="CM40" s="84">
        <f t="shared" si="211"/>
        <v>255480237.26933599</v>
      </c>
      <c r="CN40" s="84">
        <f t="shared" si="211"/>
        <v>215449755.00266957</v>
      </c>
      <c r="CO40" s="84">
        <f t="shared" si="211"/>
        <v>202542519.13600278</v>
      </c>
      <c r="CP40" s="84">
        <f t="shared" si="211"/>
        <v>186654358.55266881</v>
      </c>
      <c r="CQ40" s="84">
        <f t="shared" si="211"/>
        <v>197894696.43600202</v>
      </c>
      <c r="CR40" s="84">
        <f t="shared" si="211"/>
        <v>259433459.102669</v>
      </c>
      <c r="CS40" s="84">
        <f t="shared" si="211"/>
        <v>240452839.80266881</v>
      </c>
      <c r="CT40" s="84">
        <f t="shared" si="211"/>
        <v>234907060.00266957</v>
      </c>
      <c r="CU40" s="84">
        <f t="shared" si="211"/>
        <v>1801939343.2418804</v>
      </c>
      <c r="CW40" s="84">
        <f>CW27+CW31+CW35-CW36-CW38-CW39</f>
        <v>-779427456.21043384</v>
      </c>
      <c r="CX40" s="84">
        <f t="shared" ref="CX40:DI40" si="212">CX27+CX31+CX35-CX36-CX38-CX39</f>
        <v>-934002572.57729888</v>
      </c>
      <c r="CY40" s="84">
        <f t="shared" si="212"/>
        <v>-585675864.78982008</v>
      </c>
      <c r="CZ40" s="84">
        <f t="shared" si="212"/>
        <v>-130681707.4926194</v>
      </c>
      <c r="DA40" s="84">
        <f t="shared" si="212"/>
        <v>-133127057.47611511</v>
      </c>
      <c r="DB40" s="84">
        <f t="shared" si="212"/>
        <v>-335227444.48610651</v>
      </c>
      <c r="DC40" s="84">
        <f t="shared" si="212"/>
        <v>-186820513.43567878</v>
      </c>
      <c r="DD40" s="84">
        <f t="shared" si="212"/>
        <v>-224446535.56901276</v>
      </c>
      <c r="DE40" s="84">
        <f t="shared" si="212"/>
        <v>-192390239.08525115</v>
      </c>
      <c r="DF40" s="84">
        <f t="shared" si="212"/>
        <v>171678667.94041348</v>
      </c>
      <c r="DG40" s="84">
        <f t="shared" si="212"/>
        <v>116973336.01733685</v>
      </c>
      <c r="DH40" s="84">
        <f t="shared" si="212"/>
        <v>134831730.08998775</v>
      </c>
      <c r="DI40" s="84">
        <f t="shared" si="212"/>
        <v>-3078315657.0746012</v>
      </c>
      <c r="DK40" s="84">
        <f>DK27+DK31+DK35-DK36-DK38-DK39</f>
        <v>-4979188.888888889</v>
      </c>
      <c r="DL40" s="84">
        <f t="shared" ref="DL40:DW40" si="213">DL27+DL31+DL35-DL36-DL38-DL39</f>
        <v>-4579188.888888889</v>
      </c>
      <c r="DM40" s="84">
        <f t="shared" si="213"/>
        <v>-4579188.888888889</v>
      </c>
      <c r="DN40" s="84">
        <f t="shared" si="213"/>
        <v>-4979188.888888889</v>
      </c>
      <c r="DO40" s="84">
        <f t="shared" si="213"/>
        <v>-4579188.888888889</v>
      </c>
      <c r="DP40" s="84">
        <f t="shared" si="213"/>
        <v>-4579188.888888889</v>
      </c>
      <c r="DQ40" s="84">
        <f t="shared" si="213"/>
        <v>-4579188.888888889</v>
      </c>
      <c r="DR40" s="84">
        <f t="shared" si="213"/>
        <v>-4979188.888888889</v>
      </c>
      <c r="DS40" s="84">
        <f t="shared" si="213"/>
        <v>-4579188.888888889</v>
      </c>
      <c r="DT40" s="84">
        <f t="shared" si="213"/>
        <v>-4579188.888888889</v>
      </c>
      <c r="DU40" s="84">
        <f t="shared" si="213"/>
        <v>-4979188.888888889</v>
      </c>
      <c r="DV40" s="84">
        <f t="shared" si="213"/>
        <v>-4579188.888888889</v>
      </c>
      <c r="DW40" s="84">
        <f t="shared" si="213"/>
        <v>-56550266.666666664</v>
      </c>
      <c r="DY40" s="84">
        <f>DY27+DY31+DY35-DY36-DY38-DY39</f>
        <v>0</v>
      </c>
      <c r="DZ40" s="84">
        <f t="shared" ref="DZ40:EK40" si="214">DZ27+DZ31+DZ35-DZ36-DZ38-DZ39</f>
        <v>0</v>
      </c>
      <c r="EA40" s="84">
        <f t="shared" si="214"/>
        <v>0</v>
      </c>
      <c r="EB40" s="84">
        <f t="shared" si="214"/>
        <v>0</v>
      </c>
      <c r="EC40" s="84">
        <f t="shared" si="214"/>
        <v>0</v>
      </c>
      <c r="ED40" s="84">
        <f t="shared" si="214"/>
        <v>0</v>
      </c>
      <c r="EE40" s="84">
        <f t="shared" si="214"/>
        <v>0</v>
      </c>
      <c r="EF40" s="84">
        <f t="shared" si="214"/>
        <v>0</v>
      </c>
      <c r="EG40" s="84">
        <f t="shared" si="214"/>
        <v>0</v>
      </c>
      <c r="EH40" s="84">
        <f t="shared" si="214"/>
        <v>0</v>
      </c>
      <c r="EI40" s="84">
        <f t="shared" si="214"/>
        <v>0</v>
      </c>
      <c r="EJ40" s="84">
        <f t="shared" si="214"/>
        <v>0</v>
      </c>
      <c r="EK40" s="84">
        <f t="shared" si="214"/>
        <v>0</v>
      </c>
    </row>
    <row r="41" spans="1:141" s="79" customFormat="1">
      <c r="A41" s="77">
        <v>14</v>
      </c>
      <c r="B41" s="78" t="s">
        <v>32</v>
      </c>
      <c r="C41" s="371">
        <f t="shared" ref="C41:N42" si="215">Q41+AE41</f>
        <v>0</v>
      </c>
      <c r="D41" s="83">
        <f t="shared" si="215"/>
        <v>0</v>
      </c>
      <c r="E41" s="83">
        <f t="shared" si="215"/>
        <v>0</v>
      </c>
      <c r="F41" s="83">
        <f t="shared" si="215"/>
        <v>0</v>
      </c>
      <c r="G41" s="83">
        <f t="shared" si="215"/>
        <v>0</v>
      </c>
      <c r="H41" s="83">
        <f t="shared" si="215"/>
        <v>0</v>
      </c>
      <c r="I41" s="83">
        <f t="shared" si="215"/>
        <v>0</v>
      </c>
      <c r="J41" s="83">
        <f t="shared" si="215"/>
        <v>0</v>
      </c>
      <c r="K41" s="83">
        <f t="shared" si="215"/>
        <v>0</v>
      </c>
      <c r="L41" s="83">
        <f t="shared" si="215"/>
        <v>0</v>
      </c>
      <c r="M41" s="83">
        <f t="shared" si="215"/>
        <v>0</v>
      </c>
      <c r="N41" s="83">
        <f t="shared" si="215"/>
        <v>0</v>
      </c>
      <c r="O41" s="372">
        <f t="shared" si="193"/>
        <v>0</v>
      </c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>
        <f t="shared" ref="AC41:AC42" si="216">SUM(Q41:AB41)</f>
        <v>0</v>
      </c>
      <c r="AE41" s="373">
        <f t="shared" ref="AE41:AP42" si="217">AS41+BU41+CI41+CW41+DK41</f>
        <v>0</v>
      </c>
      <c r="AF41" s="83">
        <f t="shared" si="217"/>
        <v>0</v>
      </c>
      <c r="AG41" s="83">
        <f t="shared" si="217"/>
        <v>0</v>
      </c>
      <c r="AH41" s="83">
        <f t="shared" si="217"/>
        <v>0</v>
      </c>
      <c r="AI41" s="83">
        <f t="shared" si="217"/>
        <v>0</v>
      </c>
      <c r="AJ41" s="83">
        <f t="shared" si="217"/>
        <v>0</v>
      </c>
      <c r="AK41" s="83">
        <f t="shared" si="217"/>
        <v>0</v>
      </c>
      <c r="AL41" s="83">
        <f t="shared" si="217"/>
        <v>0</v>
      </c>
      <c r="AM41" s="83">
        <f t="shared" si="217"/>
        <v>0</v>
      </c>
      <c r="AN41" s="83">
        <f t="shared" si="217"/>
        <v>0</v>
      </c>
      <c r="AO41" s="83">
        <f t="shared" si="217"/>
        <v>0</v>
      </c>
      <c r="AP41" s="83">
        <f t="shared" si="217"/>
        <v>0</v>
      </c>
      <c r="AQ41" s="374">
        <f t="shared" ref="AQ41:AQ42" si="218">SUM(AE41:AP41)</f>
        <v>0</v>
      </c>
      <c r="AS41" s="83">
        <f>'PL-KH26-DTR'!BL17</f>
        <v>0</v>
      </c>
      <c r="AT41" s="83">
        <f>'PL-KH26-DTR'!BM17</f>
        <v>0</v>
      </c>
      <c r="AU41" s="83">
        <f>'PL-KH26-DTR'!BN17</f>
        <v>0</v>
      </c>
      <c r="AV41" s="83">
        <f>'PL-KH26-DTR'!BO17</f>
        <v>0</v>
      </c>
      <c r="AW41" s="83">
        <f>'PL-KH26-DTR'!BP17</f>
        <v>0</v>
      </c>
      <c r="AX41" s="83">
        <f>'PL-KH26-DTR'!BQ17</f>
        <v>0</v>
      </c>
      <c r="AY41" s="83">
        <f>'PL-KH26-DTR'!BR17</f>
        <v>0</v>
      </c>
      <c r="AZ41" s="83">
        <f>'PL-KH26-DTR'!BS17</f>
        <v>0</v>
      </c>
      <c r="BA41" s="83">
        <f>'PL-KH26-DTR'!BT17</f>
        <v>0</v>
      </c>
      <c r="BB41" s="83">
        <f>'PL-KH26-DTR'!BU17</f>
        <v>0</v>
      </c>
      <c r="BC41" s="83">
        <f>'PL-KH26-DTR'!BV17</f>
        <v>0</v>
      </c>
      <c r="BD41" s="83">
        <f>'PL-KH26-DTR'!BW17</f>
        <v>0</v>
      </c>
      <c r="BE41" s="83">
        <f t="shared" ref="BE41:BE42" si="219">SUM(AS41:BD41)</f>
        <v>0</v>
      </c>
      <c r="BG41" s="83">
        <f t="shared" ref="BG41:BR42" si="220">BU41+CI41+CW41</f>
        <v>0</v>
      </c>
      <c r="BH41" s="83">
        <f t="shared" si="220"/>
        <v>0</v>
      </c>
      <c r="BI41" s="83">
        <f t="shared" si="220"/>
        <v>0</v>
      </c>
      <c r="BJ41" s="83">
        <f t="shared" si="220"/>
        <v>0</v>
      </c>
      <c r="BK41" s="83">
        <f t="shared" si="220"/>
        <v>0</v>
      </c>
      <c r="BL41" s="83">
        <f t="shared" si="220"/>
        <v>0</v>
      </c>
      <c r="BM41" s="83">
        <f t="shared" si="220"/>
        <v>0</v>
      </c>
      <c r="BN41" s="83">
        <f t="shared" si="220"/>
        <v>0</v>
      </c>
      <c r="BO41" s="83">
        <f t="shared" si="220"/>
        <v>0</v>
      </c>
      <c r="BP41" s="83">
        <f t="shared" si="220"/>
        <v>0</v>
      </c>
      <c r="BQ41" s="83">
        <f t="shared" si="220"/>
        <v>0</v>
      </c>
      <c r="BR41" s="83">
        <f t="shared" si="220"/>
        <v>0</v>
      </c>
      <c r="BS41" s="83">
        <f t="shared" ref="BS41:BS42" si="221">SUM(BG41:BR41)</f>
        <v>0</v>
      </c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>
        <f t="shared" ref="CG41:CG42" si="222">SUM(BU41:CF41)</f>
        <v>0</v>
      </c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>
        <f t="shared" ref="CU41:CU42" si="223">SUM(CI41:CT41)</f>
        <v>0</v>
      </c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>
        <f t="shared" ref="DI41:DI42" si="224">SUM(CW41:DH41)</f>
        <v>0</v>
      </c>
      <c r="DK41" s="83">
        <f>'PL-KH26-TanDaiPhat'!B16</f>
        <v>0</v>
      </c>
      <c r="DL41" s="83">
        <f>'PL-KH26-TanDaiPhat'!C16</f>
        <v>0</v>
      </c>
      <c r="DM41" s="83">
        <f>'PL-KH26-TanDaiPhat'!D16</f>
        <v>0</v>
      </c>
      <c r="DN41" s="83">
        <f>'PL-KH26-TanDaiPhat'!E16</f>
        <v>0</v>
      </c>
      <c r="DO41" s="83">
        <f>'PL-KH26-TanDaiPhat'!F16</f>
        <v>0</v>
      </c>
      <c r="DP41" s="83">
        <f>'PL-KH26-TanDaiPhat'!G16</f>
        <v>0</v>
      </c>
      <c r="DQ41" s="83">
        <f>'PL-KH26-TanDaiPhat'!H16</f>
        <v>0</v>
      </c>
      <c r="DR41" s="83">
        <f>'PL-KH26-TanDaiPhat'!I16</f>
        <v>0</v>
      </c>
      <c r="DS41" s="83">
        <f>'PL-KH26-TanDaiPhat'!J16</f>
        <v>0</v>
      </c>
      <c r="DT41" s="83">
        <f>'PL-KH26-TanDaiPhat'!K16</f>
        <v>0</v>
      </c>
      <c r="DU41" s="83">
        <f>'PL-KH26-TanDaiPhat'!L16</f>
        <v>0</v>
      </c>
      <c r="DV41" s="83">
        <f>'PL-KH26-TanDaiPhat'!M16</f>
        <v>0</v>
      </c>
      <c r="DW41" s="83">
        <f t="shared" ref="DW41:DW42" si="225">SUM(DK41:DV41)</f>
        <v>0</v>
      </c>
      <c r="DY41" s="83"/>
      <c r="DZ41" s="83"/>
      <c r="EA41" s="83"/>
      <c r="EB41" s="83"/>
      <c r="EC41" s="83"/>
      <c r="ED41" s="83"/>
      <c r="EE41" s="83"/>
      <c r="EF41" s="83"/>
      <c r="EG41" s="83"/>
      <c r="EH41" s="83"/>
      <c r="EI41" s="83"/>
      <c r="EJ41" s="83"/>
      <c r="EK41" s="83">
        <f t="shared" ref="EK41:EK42" si="226">SUM(DY41:EJ41)</f>
        <v>0</v>
      </c>
    </row>
    <row r="42" spans="1:141" s="79" customFormat="1">
      <c r="A42" s="80">
        <v>15</v>
      </c>
      <c r="B42" s="81" t="s">
        <v>33</v>
      </c>
      <c r="C42" s="375">
        <f t="shared" si="215"/>
        <v>433624999.99999994</v>
      </c>
      <c r="D42" s="82">
        <f t="shared" si="215"/>
        <v>433624999.99999994</v>
      </c>
      <c r="E42" s="82">
        <f t="shared" si="215"/>
        <v>433624999.99999994</v>
      </c>
      <c r="F42" s="82">
        <f t="shared" si="215"/>
        <v>433624999.99999994</v>
      </c>
      <c r="G42" s="82">
        <f t="shared" si="215"/>
        <v>433624999.99999994</v>
      </c>
      <c r="H42" s="82">
        <f t="shared" si="215"/>
        <v>433624999.99999994</v>
      </c>
      <c r="I42" s="82">
        <f t="shared" si="215"/>
        <v>433624999.99999994</v>
      </c>
      <c r="J42" s="82">
        <f t="shared" si="215"/>
        <v>433624999.99999994</v>
      </c>
      <c r="K42" s="82">
        <f t="shared" si="215"/>
        <v>433624999.99999994</v>
      </c>
      <c r="L42" s="82">
        <f t="shared" si="215"/>
        <v>433624999.99999994</v>
      </c>
      <c r="M42" s="82">
        <f t="shared" si="215"/>
        <v>433624999.99999994</v>
      </c>
      <c r="N42" s="82">
        <f t="shared" si="215"/>
        <v>433624999.99999994</v>
      </c>
      <c r="O42" s="376">
        <f t="shared" si="193"/>
        <v>5203499999.999999</v>
      </c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>
        <f t="shared" si="216"/>
        <v>0</v>
      </c>
      <c r="AE42" s="377">
        <f t="shared" si="217"/>
        <v>433624999.99999994</v>
      </c>
      <c r="AF42" s="82">
        <f t="shared" si="217"/>
        <v>433624999.99999994</v>
      </c>
      <c r="AG42" s="82">
        <f t="shared" si="217"/>
        <v>433624999.99999994</v>
      </c>
      <c r="AH42" s="82">
        <f t="shared" si="217"/>
        <v>433624999.99999994</v>
      </c>
      <c r="AI42" s="82">
        <f t="shared" si="217"/>
        <v>433624999.99999994</v>
      </c>
      <c r="AJ42" s="82">
        <f t="shared" si="217"/>
        <v>433624999.99999994</v>
      </c>
      <c r="AK42" s="82">
        <f t="shared" si="217"/>
        <v>433624999.99999994</v>
      </c>
      <c r="AL42" s="82">
        <f t="shared" si="217"/>
        <v>433624999.99999994</v>
      </c>
      <c r="AM42" s="82">
        <f t="shared" si="217"/>
        <v>433624999.99999994</v>
      </c>
      <c r="AN42" s="82">
        <f t="shared" si="217"/>
        <v>433624999.99999994</v>
      </c>
      <c r="AO42" s="82">
        <f t="shared" si="217"/>
        <v>433624999.99999994</v>
      </c>
      <c r="AP42" s="82">
        <f t="shared" si="217"/>
        <v>433624999.99999994</v>
      </c>
      <c r="AQ42" s="378">
        <f t="shared" si="218"/>
        <v>5203499999.999999</v>
      </c>
      <c r="AS42" s="82">
        <f>'PL-KH26-DTR'!BL18</f>
        <v>433624999.99999994</v>
      </c>
      <c r="AT42" s="82">
        <f>'PL-KH26-DTR'!BM18</f>
        <v>433624999.99999994</v>
      </c>
      <c r="AU42" s="82">
        <f>'PL-KH26-DTR'!BN18</f>
        <v>433624999.99999994</v>
      </c>
      <c r="AV42" s="82">
        <f>'PL-KH26-DTR'!BO18</f>
        <v>433624999.99999994</v>
      </c>
      <c r="AW42" s="82">
        <f>'PL-KH26-DTR'!BP18</f>
        <v>433624999.99999994</v>
      </c>
      <c r="AX42" s="82">
        <f>'PL-KH26-DTR'!BQ18</f>
        <v>433624999.99999994</v>
      </c>
      <c r="AY42" s="82">
        <f>'PL-KH26-DTR'!BR18</f>
        <v>433624999.99999994</v>
      </c>
      <c r="AZ42" s="82">
        <f>'PL-KH26-DTR'!BS18</f>
        <v>433624999.99999994</v>
      </c>
      <c r="BA42" s="82">
        <f>'PL-KH26-DTR'!BT18</f>
        <v>433624999.99999994</v>
      </c>
      <c r="BB42" s="82">
        <f>'PL-KH26-DTR'!BU18</f>
        <v>433624999.99999994</v>
      </c>
      <c r="BC42" s="82">
        <f>'PL-KH26-DTR'!BV18</f>
        <v>433624999.99999994</v>
      </c>
      <c r="BD42" s="82">
        <f>'PL-KH26-DTR'!BW18</f>
        <v>433624999.99999994</v>
      </c>
      <c r="BE42" s="82">
        <f t="shared" si="219"/>
        <v>5203499999.999999</v>
      </c>
      <c r="BG42" s="82">
        <f t="shared" si="220"/>
        <v>0</v>
      </c>
      <c r="BH42" s="82">
        <f t="shared" si="220"/>
        <v>0</v>
      </c>
      <c r="BI42" s="82">
        <f t="shared" si="220"/>
        <v>0</v>
      </c>
      <c r="BJ42" s="82">
        <f t="shared" si="220"/>
        <v>0</v>
      </c>
      <c r="BK42" s="82">
        <f t="shared" si="220"/>
        <v>0</v>
      </c>
      <c r="BL42" s="82">
        <f t="shared" si="220"/>
        <v>0</v>
      </c>
      <c r="BM42" s="82">
        <f t="shared" si="220"/>
        <v>0</v>
      </c>
      <c r="BN42" s="82">
        <f t="shared" si="220"/>
        <v>0</v>
      </c>
      <c r="BO42" s="82">
        <f t="shared" si="220"/>
        <v>0</v>
      </c>
      <c r="BP42" s="82">
        <f t="shared" si="220"/>
        <v>0</v>
      </c>
      <c r="BQ42" s="82">
        <f t="shared" si="220"/>
        <v>0</v>
      </c>
      <c r="BR42" s="82">
        <f t="shared" si="220"/>
        <v>0</v>
      </c>
      <c r="BS42" s="82">
        <f t="shared" si="221"/>
        <v>0</v>
      </c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>
        <f t="shared" si="222"/>
        <v>0</v>
      </c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>
        <f t="shared" si="223"/>
        <v>0</v>
      </c>
      <c r="CW42" s="82"/>
      <c r="CX42" s="82"/>
      <c r="CY42" s="82"/>
      <c r="CZ42" s="82"/>
      <c r="DA42" s="82"/>
      <c r="DB42" s="82"/>
      <c r="DC42" s="82"/>
      <c r="DD42" s="82"/>
      <c r="DE42" s="82"/>
      <c r="DF42" s="82"/>
      <c r="DG42" s="82"/>
      <c r="DH42" s="82"/>
      <c r="DI42" s="82">
        <f t="shared" si="224"/>
        <v>0</v>
      </c>
      <c r="DK42" s="82">
        <f>'PL-KH26-TanDaiPhat'!B17</f>
        <v>0</v>
      </c>
      <c r="DL42" s="82">
        <f>'PL-KH26-TanDaiPhat'!C17</f>
        <v>0</v>
      </c>
      <c r="DM42" s="82">
        <f>'PL-KH26-TanDaiPhat'!D17</f>
        <v>0</v>
      </c>
      <c r="DN42" s="82">
        <f>'PL-KH26-TanDaiPhat'!E17</f>
        <v>0</v>
      </c>
      <c r="DO42" s="82">
        <f>'PL-KH26-TanDaiPhat'!F17</f>
        <v>0</v>
      </c>
      <c r="DP42" s="82">
        <f>'PL-KH26-TanDaiPhat'!G17</f>
        <v>0</v>
      </c>
      <c r="DQ42" s="82">
        <f>'PL-KH26-TanDaiPhat'!H17</f>
        <v>0</v>
      </c>
      <c r="DR42" s="82">
        <f>'PL-KH26-TanDaiPhat'!I17</f>
        <v>0</v>
      </c>
      <c r="DS42" s="82">
        <f>'PL-KH26-TanDaiPhat'!J17</f>
        <v>0</v>
      </c>
      <c r="DT42" s="82">
        <f>'PL-KH26-TanDaiPhat'!K17</f>
        <v>0</v>
      </c>
      <c r="DU42" s="82">
        <f>'PL-KH26-TanDaiPhat'!L17</f>
        <v>0</v>
      </c>
      <c r="DV42" s="82">
        <f>'PL-KH26-TanDaiPhat'!M17</f>
        <v>0</v>
      </c>
      <c r="DW42" s="82">
        <f t="shared" si="225"/>
        <v>0</v>
      </c>
      <c r="DY42" s="82"/>
      <c r="DZ42" s="82"/>
      <c r="EA42" s="82"/>
      <c r="EB42" s="82"/>
      <c r="EC42" s="82"/>
      <c r="ED42" s="82"/>
      <c r="EE42" s="82"/>
      <c r="EF42" s="82"/>
      <c r="EG42" s="82"/>
      <c r="EH42" s="82"/>
      <c r="EI42" s="82"/>
      <c r="EJ42" s="82"/>
      <c r="EK42" s="82">
        <f t="shared" si="226"/>
        <v>0</v>
      </c>
    </row>
    <row r="43" spans="1:141">
      <c r="A43" s="69">
        <v>16</v>
      </c>
      <c r="B43" s="70" t="s">
        <v>34</v>
      </c>
      <c r="C43" s="379">
        <f>C41-C42</f>
        <v>-433624999.99999994</v>
      </c>
      <c r="D43" s="85">
        <f t="shared" ref="D43:O43" si="227">D41-D42</f>
        <v>-433624999.99999994</v>
      </c>
      <c r="E43" s="85">
        <f t="shared" si="227"/>
        <v>-433624999.99999994</v>
      </c>
      <c r="F43" s="85">
        <f t="shared" si="227"/>
        <v>-433624999.99999994</v>
      </c>
      <c r="G43" s="85">
        <f t="shared" si="227"/>
        <v>-433624999.99999994</v>
      </c>
      <c r="H43" s="85">
        <f t="shared" si="227"/>
        <v>-433624999.99999994</v>
      </c>
      <c r="I43" s="85">
        <f t="shared" si="227"/>
        <v>-433624999.99999994</v>
      </c>
      <c r="J43" s="85">
        <f t="shared" si="227"/>
        <v>-433624999.99999994</v>
      </c>
      <c r="K43" s="85">
        <f t="shared" si="227"/>
        <v>-433624999.99999994</v>
      </c>
      <c r="L43" s="85">
        <f t="shared" si="227"/>
        <v>-433624999.99999994</v>
      </c>
      <c r="M43" s="85">
        <f t="shared" si="227"/>
        <v>-433624999.99999994</v>
      </c>
      <c r="N43" s="85">
        <f t="shared" si="227"/>
        <v>-433624999.99999994</v>
      </c>
      <c r="O43" s="380">
        <f t="shared" si="227"/>
        <v>-5203499999.999999</v>
      </c>
      <c r="Q43" s="85">
        <f>Q41-Q42</f>
        <v>0</v>
      </c>
      <c r="R43" s="85">
        <f t="shared" ref="R43:AC43" si="228">R41-R42</f>
        <v>0</v>
      </c>
      <c r="S43" s="85">
        <f t="shared" si="228"/>
        <v>0</v>
      </c>
      <c r="T43" s="85">
        <f t="shared" si="228"/>
        <v>0</v>
      </c>
      <c r="U43" s="85">
        <f t="shared" si="228"/>
        <v>0</v>
      </c>
      <c r="V43" s="85">
        <f t="shared" si="228"/>
        <v>0</v>
      </c>
      <c r="W43" s="85">
        <f t="shared" si="228"/>
        <v>0</v>
      </c>
      <c r="X43" s="85">
        <f t="shared" si="228"/>
        <v>0</v>
      </c>
      <c r="Y43" s="85">
        <f t="shared" si="228"/>
        <v>0</v>
      </c>
      <c r="Z43" s="85">
        <f t="shared" si="228"/>
        <v>0</v>
      </c>
      <c r="AA43" s="85">
        <f t="shared" si="228"/>
        <v>0</v>
      </c>
      <c r="AB43" s="85">
        <f t="shared" si="228"/>
        <v>0</v>
      </c>
      <c r="AC43" s="85">
        <f t="shared" si="228"/>
        <v>0</v>
      </c>
      <c r="AE43" s="381">
        <f>AE41-AE42</f>
        <v>-433624999.99999994</v>
      </c>
      <c r="AF43" s="85">
        <f t="shared" ref="AF43:AQ43" si="229">AF41-AF42</f>
        <v>-433624999.99999994</v>
      </c>
      <c r="AG43" s="85">
        <f t="shared" si="229"/>
        <v>-433624999.99999994</v>
      </c>
      <c r="AH43" s="85">
        <f t="shared" si="229"/>
        <v>-433624999.99999994</v>
      </c>
      <c r="AI43" s="85">
        <f t="shared" si="229"/>
        <v>-433624999.99999994</v>
      </c>
      <c r="AJ43" s="85">
        <f t="shared" si="229"/>
        <v>-433624999.99999994</v>
      </c>
      <c r="AK43" s="85">
        <f t="shared" si="229"/>
        <v>-433624999.99999994</v>
      </c>
      <c r="AL43" s="85">
        <f t="shared" si="229"/>
        <v>-433624999.99999994</v>
      </c>
      <c r="AM43" s="85">
        <f t="shared" si="229"/>
        <v>-433624999.99999994</v>
      </c>
      <c r="AN43" s="85">
        <f t="shared" si="229"/>
        <v>-433624999.99999994</v>
      </c>
      <c r="AO43" s="85">
        <f t="shared" si="229"/>
        <v>-433624999.99999994</v>
      </c>
      <c r="AP43" s="85">
        <f t="shared" si="229"/>
        <v>-433624999.99999994</v>
      </c>
      <c r="AQ43" s="382">
        <f t="shared" si="229"/>
        <v>-5203499999.999999</v>
      </c>
      <c r="AS43" s="85">
        <f>AS41-AS42</f>
        <v>-433624999.99999994</v>
      </c>
      <c r="AT43" s="85">
        <f t="shared" ref="AT43:BE43" si="230">AT41-AT42</f>
        <v>-433624999.99999994</v>
      </c>
      <c r="AU43" s="85">
        <f t="shared" si="230"/>
        <v>-433624999.99999994</v>
      </c>
      <c r="AV43" s="85">
        <f t="shared" si="230"/>
        <v>-433624999.99999994</v>
      </c>
      <c r="AW43" s="85">
        <f t="shared" si="230"/>
        <v>-433624999.99999994</v>
      </c>
      <c r="AX43" s="85">
        <f t="shared" si="230"/>
        <v>-433624999.99999994</v>
      </c>
      <c r="AY43" s="85">
        <f t="shared" si="230"/>
        <v>-433624999.99999994</v>
      </c>
      <c r="AZ43" s="85">
        <f t="shared" si="230"/>
        <v>-433624999.99999994</v>
      </c>
      <c r="BA43" s="85">
        <f t="shared" si="230"/>
        <v>-433624999.99999994</v>
      </c>
      <c r="BB43" s="85">
        <f t="shared" si="230"/>
        <v>-433624999.99999994</v>
      </c>
      <c r="BC43" s="85">
        <f t="shared" si="230"/>
        <v>-433624999.99999994</v>
      </c>
      <c r="BD43" s="85">
        <f t="shared" si="230"/>
        <v>-433624999.99999994</v>
      </c>
      <c r="BE43" s="85">
        <f t="shared" si="230"/>
        <v>-5203499999.999999</v>
      </c>
      <c r="BG43" s="85">
        <f>BG41-BG42</f>
        <v>0</v>
      </c>
      <c r="BH43" s="85">
        <f t="shared" ref="BH43:BS43" si="231">BH41-BH42</f>
        <v>0</v>
      </c>
      <c r="BI43" s="85">
        <f t="shared" si="231"/>
        <v>0</v>
      </c>
      <c r="BJ43" s="85">
        <f t="shared" si="231"/>
        <v>0</v>
      </c>
      <c r="BK43" s="85">
        <f t="shared" si="231"/>
        <v>0</v>
      </c>
      <c r="BL43" s="85">
        <f t="shared" si="231"/>
        <v>0</v>
      </c>
      <c r="BM43" s="85">
        <f t="shared" si="231"/>
        <v>0</v>
      </c>
      <c r="BN43" s="85">
        <f t="shared" si="231"/>
        <v>0</v>
      </c>
      <c r="BO43" s="85">
        <f t="shared" si="231"/>
        <v>0</v>
      </c>
      <c r="BP43" s="85">
        <f t="shared" si="231"/>
        <v>0</v>
      </c>
      <c r="BQ43" s="85">
        <f t="shared" si="231"/>
        <v>0</v>
      </c>
      <c r="BR43" s="85">
        <f t="shared" si="231"/>
        <v>0</v>
      </c>
      <c r="BS43" s="85">
        <f t="shared" si="231"/>
        <v>0</v>
      </c>
      <c r="BU43" s="85">
        <f>BU41-BU42</f>
        <v>0</v>
      </c>
      <c r="BV43" s="85">
        <f t="shared" ref="BV43:CG43" si="232">BV41-BV42</f>
        <v>0</v>
      </c>
      <c r="BW43" s="85">
        <f t="shared" si="232"/>
        <v>0</v>
      </c>
      <c r="BX43" s="85">
        <f t="shared" si="232"/>
        <v>0</v>
      </c>
      <c r="BY43" s="85">
        <f t="shared" si="232"/>
        <v>0</v>
      </c>
      <c r="BZ43" s="85">
        <f t="shared" si="232"/>
        <v>0</v>
      </c>
      <c r="CA43" s="85">
        <f t="shared" si="232"/>
        <v>0</v>
      </c>
      <c r="CB43" s="85">
        <f t="shared" si="232"/>
        <v>0</v>
      </c>
      <c r="CC43" s="85">
        <f t="shared" si="232"/>
        <v>0</v>
      </c>
      <c r="CD43" s="85">
        <f t="shared" si="232"/>
        <v>0</v>
      </c>
      <c r="CE43" s="85">
        <f t="shared" si="232"/>
        <v>0</v>
      </c>
      <c r="CF43" s="85">
        <f t="shared" si="232"/>
        <v>0</v>
      </c>
      <c r="CG43" s="85">
        <f t="shared" si="232"/>
        <v>0</v>
      </c>
      <c r="CI43" s="85">
        <f>CI41-CI42</f>
        <v>0</v>
      </c>
      <c r="CJ43" s="85">
        <f t="shared" ref="CJ43:CU43" si="233">CJ41-CJ42</f>
        <v>0</v>
      </c>
      <c r="CK43" s="85">
        <f t="shared" si="233"/>
        <v>0</v>
      </c>
      <c r="CL43" s="85">
        <f t="shared" si="233"/>
        <v>0</v>
      </c>
      <c r="CM43" s="85">
        <f t="shared" si="233"/>
        <v>0</v>
      </c>
      <c r="CN43" s="85">
        <f t="shared" si="233"/>
        <v>0</v>
      </c>
      <c r="CO43" s="85">
        <f t="shared" si="233"/>
        <v>0</v>
      </c>
      <c r="CP43" s="85">
        <f t="shared" si="233"/>
        <v>0</v>
      </c>
      <c r="CQ43" s="85">
        <f t="shared" si="233"/>
        <v>0</v>
      </c>
      <c r="CR43" s="85">
        <f t="shared" si="233"/>
        <v>0</v>
      </c>
      <c r="CS43" s="85">
        <f t="shared" si="233"/>
        <v>0</v>
      </c>
      <c r="CT43" s="85">
        <f t="shared" si="233"/>
        <v>0</v>
      </c>
      <c r="CU43" s="85">
        <f t="shared" si="233"/>
        <v>0</v>
      </c>
      <c r="CW43" s="85">
        <f>CW41-CW42</f>
        <v>0</v>
      </c>
      <c r="CX43" s="85">
        <f t="shared" ref="CX43:DI43" si="234">CX41-CX42</f>
        <v>0</v>
      </c>
      <c r="CY43" s="85">
        <f t="shared" si="234"/>
        <v>0</v>
      </c>
      <c r="CZ43" s="85">
        <f t="shared" si="234"/>
        <v>0</v>
      </c>
      <c r="DA43" s="85">
        <f t="shared" si="234"/>
        <v>0</v>
      </c>
      <c r="DB43" s="85">
        <f t="shared" si="234"/>
        <v>0</v>
      </c>
      <c r="DC43" s="85">
        <f t="shared" si="234"/>
        <v>0</v>
      </c>
      <c r="DD43" s="85">
        <f t="shared" si="234"/>
        <v>0</v>
      </c>
      <c r="DE43" s="85">
        <f t="shared" si="234"/>
        <v>0</v>
      </c>
      <c r="DF43" s="85">
        <f t="shared" si="234"/>
        <v>0</v>
      </c>
      <c r="DG43" s="85">
        <f t="shared" si="234"/>
        <v>0</v>
      </c>
      <c r="DH43" s="85">
        <f t="shared" si="234"/>
        <v>0</v>
      </c>
      <c r="DI43" s="85">
        <f t="shared" si="234"/>
        <v>0</v>
      </c>
      <c r="DK43" s="85">
        <f>DK41-DK42</f>
        <v>0</v>
      </c>
      <c r="DL43" s="85">
        <f t="shared" ref="DL43:DW43" si="235">DL41-DL42</f>
        <v>0</v>
      </c>
      <c r="DM43" s="85">
        <f t="shared" si="235"/>
        <v>0</v>
      </c>
      <c r="DN43" s="85">
        <f t="shared" si="235"/>
        <v>0</v>
      </c>
      <c r="DO43" s="85">
        <f t="shared" si="235"/>
        <v>0</v>
      </c>
      <c r="DP43" s="85">
        <f t="shared" si="235"/>
        <v>0</v>
      </c>
      <c r="DQ43" s="85">
        <f t="shared" si="235"/>
        <v>0</v>
      </c>
      <c r="DR43" s="85">
        <f t="shared" si="235"/>
        <v>0</v>
      </c>
      <c r="DS43" s="85">
        <f t="shared" si="235"/>
        <v>0</v>
      </c>
      <c r="DT43" s="85">
        <f t="shared" si="235"/>
        <v>0</v>
      </c>
      <c r="DU43" s="85">
        <f t="shared" si="235"/>
        <v>0</v>
      </c>
      <c r="DV43" s="85">
        <f t="shared" si="235"/>
        <v>0</v>
      </c>
      <c r="DW43" s="85">
        <f t="shared" si="235"/>
        <v>0</v>
      </c>
      <c r="DY43" s="85">
        <f>DY41-DY42</f>
        <v>0</v>
      </c>
      <c r="DZ43" s="85">
        <f t="shared" ref="DZ43:EK43" si="236">DZ41-DZ42</f>
        <v>0</v>
      </c>
      <c r="EA43" s="85">
        <f t="shared" si="236"/>
        <v>0</v>
      </c>
      <c r="EB43" s="85">
        <f t="shared" si="236"/>
        <v>0</v>
      </c>
      <c r="EC43" s="85">
        <f t="shared" si="236"/>
        <v>0</v>
      </c>
      <c r="ED43" s="85">
        <f t="shared" si="236"/>
        <v>0</v>
      </c>
      <c r="EE43" s="85">
        <f t="shared" si="236"/>
        <v>0</v>
      </c>
      <c r="EF43" s="85">
        <f t="shared" si="236"/>
        <v>0</v>
      </c>
      <c r="EG43" s="85">
        <f t="shared" si="236"/>
        <v>0</v>
      </c>
      <c r="EH43" s="85">
        <f t="shared" si="236"/>
        <v>0</v>
      </c>
      <c r="EI43" s="85">
        <f t="shared" si="236"/>
        <v>0</v>
      </c>
      <c r="EJ43" s="85">
        <f t="shared" si="236"/>
        <v>0</v>
      </c>
      <c r="EK43" s="85">
        <f t="shared" si="236"/>
        <v>0</v>
      </c>
    </row>
    <row r="44" spans="1:141">
      <c r="A44" s="71">
        <v>17</v>
      </c>
      <c r="B44" s="68" t="s">
        <v>35</v>
      </c>
      <c r="C44" s="367">
        <f ca="1">C40+C43</f>
        <v>447470325.88600928</v>
      </c>
      <c r="D44" s="84">
        <f t="shared" ref="D44:O44" ca="1" si="237">D40+D43</f>
        <v>-2876783527.5726547</v>
      </c>
      <c r="E44" s="84">
        <f t="shared" ca="1" si="237"/>
        <v>4539571197.8377552</v>
      </c>
      <c r="F44" s="84">
        <f t="shared" ca="1" si="237"/>
        <v>2279644475.6906605</v>
      </c>
      <c r="G44" s="84">
        <f t="shared" ca="1" si="237"/>
        <v>3545075192.5353489</v>
      </c>
      <c r="H44" s="84">
        <f t="shared" ca="1" si="237"/>
        <v>2094719330.5519695</v>
      </c>
      <c r="I44" s="84">
        <f t="shared" ca="1" si="237"/>
        <v>9003174133.2125645</v>
      </c>
      <c r="J44" s="84">
        <f t="shared" ca="1" si="237"/>
        <v>8404689528.1837769</v>
      </c>
      <c r="K44" s="84">
        <f t="shared" ca="1" si="237"/>
        <v>7798959845.1768112</v>
      </c>
      <c r="L44" s="84">
        <f t="shared" ca="1" si="237"/>
        <v>8589038019.551857</v>
      </c>
      <c r="M44" s="84">
        <f t="shared" ca="1" si="237"/>
        <v>9146349884.5066681</v>
      </c>
      <c r="N44" s="84">
        <f t="shared" ca="1" si="237"/>
        <v>6885732121.376236</v>
      </c>
      <c r="O44" s="368">
        <f t="shared" ca="1" si="237"/>
        <v>59857640526.936981</v>
      </c>
      <c r="Q44" s="84">
        <f ca="1">Q40+Q43</f>
        <v>-1081653552.8917923</v>
      </c>
      <c r="R44" s="84">
        <f t="shared" ref="R44:AC44" ca="1" si="238">R40+R43</f>
        <v>-206360630.64188004</v>
      </c>
      <c r="S44" s="84">
        <f t="shared" ca="1" si="238"/>
        <v>-1311188694.2388897</v>
      </c>
      <c r="T44" s="84">
        <f t="shared" ca="1" si="238"/>
        <v>-1689504436.190918</v>
      </c>
      <c r="U44" s="84">
        <f t="shared" ca="1" si="238"/>
        <v>-600462545.67515945</v>
      </c>
      <c r="V44" s="84">
        <f t="shared" ca="1" si="238"/>
        <v>-1386793199.9009171</v>
      </c>
      <c r="W44" s="84">
        <f t="shared" ca="1" si="238"/>
        <v>-318276916.1496563</v>
      </c>
      <c r="X44" s="84">
        <f t="shared" ca="1" si="238"/>
        <v>31216146.459789276</v>
      </c>
      <c r="Y44" s="84">
        <f t="shared" ca="1" si="238"/>
        <v>133418850.23434067</v>
      </c>
      <c r="Z44" s="84">
        <f t="shared" ca="1" si="238"/>
        <v>-337062225.32540703</v>
      </c>
      <c r="AA44" s="84">
        <f t="shared" ca="1" si="238"/>
        <v>-153560604.06283951</v>
      </c>
      <c r="AB44" s="84">
        <f t="shared" ca="1" si="238"/>
        <v>-227377208.07666779</v>
      </c>
      <c r="AC44" s="84">
        <f t="shared" ca="1" si="238"/>
        <v>-7147605016.4599972</v>
      </c>
      <c r="AE44" s="369">
        <f>AE40+AE43</f>
        <v>1529123878.7778015</v>
      </c>
      <c r="AF44" s="84">
        <f t="shared" ref="AF44:AQ44" si="239">AF40+AF43</f>
        <v>-2670422896.9307747</v>
      </c>
      <c r="AG44" s="84">
        <f t="shared" si="239"/>
        <v>5850759892.0766468</v>
      </c>
      <c r="AH44" s="84">
        <f t="shared" si="239"/>
        <v>3969148911.8815784</v>
      </c>
      <c r="AI44" s="84">
        <f t="shared" si="239"/>
        <v>4145537738.2105122</v>
      </c>
      <c r="AJ44" s="84">
        <f t="shared" si="239"/>
        <v>3481512530.4528866</v>
      </c>
      <c r="AK44" s="84">
        <f t="shared" si="239"/>
        <v>9321451049.3622189</v>
      </c>
      <c r="AL44" s="84">
        <f t="shared" si="239"/>
        <v>8373473381.7239838</v>
      </c>
      <c r="AM44" s="84">
        <f t="shared" si="239"/>
        <v>7665540994.9424706</v>
      </c>
      <c r="AN44" s="84">
        <f t="shared" si="239"/>
        <v>8926100244.8772659</v>
      </c>
      <c r="AO44" s="84">
        <f t="shared" si="239"/>
        <v>9299910488.5695114</v>
      </c>
      <c r="AP44" s="84">
        <f t="shared" si="239"/>
        <v>7113109329.4529037</v>
      </c>
      <c r="AQ44" s="370">
        <f t="shared" si="239"/>
        <v>67005245543.396942</v>
      </c>
      <c r="AS44" s="84">
        <f>AS40+AS43</f>
        <v>1901369374.7063351</v>
      </c>
      <c r="AT44" s="84">
        <f t="shared" ref="AT44:BE44" si="240">AT40+AT43</f>
        <v>-1325103642.6497984</v>
      </c>
      <c r="AU44" s="84">
        <f t="shared" si="240"/>
        <v>5998198854.38412</v>
      </c>
      <c r="AV44" s="84">
        <f t="shared" si="240"/>
        <v>3734734670.0697536</v>
      </c>
      <c r="AW44" s="84">
        <f t="shared" si="240"/>
        <v>3912864854.7306442</v>
      </c>
      <c r="AX44" s="84">
        <f t="shared" si="240"/>
        <v>3539715800.7311525</v>
      </c>
      <c r="AY44" s="84">
        <f t="shared" si="240"/>
        <v>9187878003.9794807</v>
      </c>
      <c r="AZ44" s="84">
        <f t="shared" si="240"/>
        <v>8402510025.017807</v>
      </c>
      <c r="BA44" s="84">
        <f t="shared" si="240"/>
        <v>7636560356.4676476</v>
      </c>
      <c r="BB44" s="84">
        <f t="shared" si="240"/>
        <v>8332078474.6883202</v>
      </c>
      <c r="BC44" s="84">
        <f t="shared" si="240"/>
        <v>8903347412.2696571</v>
      </c>
      <c r="BD44" s="84">
        <f t="shared" si="240"/>
        <v>6614311259.3445015</v>
      </c>
      <c r="BE44" s="84">
        <f t="shared" si="240"/>
        <v>66838465443.739609</v>
      </c>
      <c r="BG44" s="84">
        <f>BG40+BG43</f>
        <v>-367266307.03964305</v>
      </c>
      <c r="BH44" s="84">
        <f t="shared" ref="BH44:BS44" si="241">BH40+BH43</f>
        <v>-1340740065.3920875</v>
      </c>
      <c r="BI44" s="84">
        <f t="shared" si="241"/>
        <v>-142859773.4185853</v>
      </c>
      <c r="BJ44" s="84">
        <f t="shared" si="241"/>
        <v>239393430.70071363</v>
      </c>
      <c r="BK44" s="84">
        <f t="shared" si="241"/>
        <v>237252072.36875868</v>
      </c>
      <c r="BL44" s="84">
        <f t="shared" si="241"/>
        <v>-53624081.389373779</v>
      </c>
      <c r="BM44" s="84">
        <f t="shared" si="241"/>
        <v>138152234.2716248</v>
      </c>
      <c r="BN44" s="84">
        <f t="shared" si="241"/>
        <v>-24057454.404931545</v>
      </c>
      <c r="BO44" s="84">
        <f t="shared" si="241"/>
        <v>33559827.363711596</v>
      </c>
      <c r="BP44" s="84">
        <f t="shared" si="241"/>
        <v>598600959.07783556</v>
      </c>
      <c r="BQ44" s="84">
        <f t="shared" si="241"/>
        <v>401542265.18874407</v>
      </c>
      <c r="BR44" s="84">
        <f t="shared" si="241"/>
        <v>503377258.99729204</v>
      </c>
      <c r="BS44" s="84">
        <f t="shared" si="241"/>
        <v>223330366.32402992</v>
      </c>
      <c r="BU44" s="84">
        <f>BU40+BU43</f>
        <v>425648686.98440266</v>
      </c>
      <c r="BV44" s="84">
        <f t="shared" ref="BV44:CG44" si="242">BV40+BV43</f>
        <v>-57733714.869803429</v>
      </c>
      <c r="BW44" s="84">
        <f t="shared" si="242"/>
        <v>288830674.14476395</v>
      </c>
      <c r="BX44" s="84">
        <f t="shared" si="242"/>
        <v>152444821.72399521</v>
      </c>
      <c r="BY44" s="84">
        <f t="shared" si="242"/>
        <v>114898892.57554054</v>
      </c>
      <c r="BZ44" s="84">
        <f t="shared" si="242"/>
        <v>66153608.094058394</v>
      </c>
      <c r="CA44" s="84">
        <f t="shared" si="242"/>
        <v>122430228.57130182</v>
      </c>
      <c r="CB44" s="84">
        <f t="shared" si="242"/>
        <v>13734722.611409545</v>
      </c>
      <c r="CC44" s="84">
        <f t="shared" si="242"/>
        <v>28055370.012963653</v>
      </c>
      <c r="CD44" s="84">
        <f t="shared" si="242"/>
        <v>167488832.03474939</v>
      </c>
      <c r="CE44" s="84">
        <f t="shared" si="242"/>
        <v>44116089.368741393</v>
      </c>
      <c r="CF44" s="84">
        <f t="shared" si="242"/>
        <v>133638468.90463388</v>
      </c>
      <c r="CG44" s="84">
        <f t="shared" si="242"/>
        <v>1499706680.1567497</v>
      </c>
      <c r="CI44" s="84">
        <f>CI40+CI43</f>
        <v>-13487537.813614845</v>
      </c>
      <c r="CJ44" s="84">
        <f t="shared" ref="CJ44:CU44" si="243">CJ40+CJ43</f>
        <v>-349003777.9449861</v>
      </c>
      <c r="CK44" s="84">
        <f t="shared" si="243"/>
        <v>153985417.22647077</v>
      </c>
      <c r="CL44" s="84">
        <f t="shared" si="243"/>
        <v>217630316.46933579</v>
      </c>
      <c r="CM44" s="84">
        <f t="shared" si="243"/>
        <v>255480237.26933599</v>
      </c>
      <c r="CN44" s="84">
        <f t="shared" si="243"/>
        <v>215449755.00266957</v>
      </c>
      <c r="CO44" s="84">
        <f t="shared" si="243"/>
        <v>202542519.13600278</v>
      </c>
      <c r="CP44" s="84">
        <f t="shared" si="243"/>
        <v>186654358.55266881</v>
      </c>
      <c r="CQ44" s="84">
        <f t="shared" si="243"/>
        <v>197894696.43600202</v>
      </c>
      <c r="CR44" s="84">
        <f t="shared" si="243"/>
        <v>259433459.102669</v>
      </c>
      <c r="CS44" s="84">
        <f t="shared" si="243"/>
        <v>240452839.80266881</v>
      </c>
      <c r="CT44" s="84">
        <f t="shared" si="243"/>
        <v>234907060.00266957</v>
      </c>
      <c r="CU44" s="84">
        <f t="shared" si="243"/>
        <v>1801939343.2418804</v>
      </c>
      <c r="CW44" s="84">
        <f>CW40+CW43</f>
        <v>-779427456.21043384</v>
      </c>
      <c r="CX44" s="84">
        <f t="shared" ref="CX44:DI44" si="244">CX40+CX43</f>
        <v>-934002572.57729888</v>
      </c>
      <c r="CY44" s="84">
        <f t="shared" si="244"/>
        <v>-585675864.78982008</v>
      </c>
      <c r="CZ44" s="84">
        <f t="shared" si="244"/>
        <v>-130681707.4926194</v>
      </c>
      <c r="DA44" s="84">
        <f t="shared" si="244"/>
        <v>-133127057.47611511</v>
      </c>
      <c r="DB44" s="84">
        <f t="shared" si="244"/>
        <v>-335227444.48610651</v>
      </c>
      <c r="DC44" s="84">
        <f t="shared" si="244"/>
        <v>-186820513.43567878</v>
      </c>
      <c r="DD44" s="84">
        <f t="shared" si="244"/>
        <v>-224446535.56901276</v>
      </c>
      <c r="DE44" s="84">
        <f t="shared" si="244"/>
        <v>-192390239.08525115</v>
      </c>
      <c r="DF44" s="84">
        <f t="shared" si="244"/>
        <v>171678667.94041348</v>
      </c>
      <c r="DG44" s="84">
        <f t="shared" si="244"/>
        <v>116973336.01733685</v>
      </c>
      <c r="DH44" s="84">
        <f t="shared" si="244"/>
        <v>134831730.08998775</v>
      </c>
      <c r="DI44" s="84">
        <f t="shared" si="244"/>
        <v>-3078315657.0746012</v>
      </c>
      <c r="DK44" s="84">
        <f>DK40+DK43</f>
        <v>-4979188.888888889</v>
      </c>
      <c r="DL44" s="84">
        <f t="shared" ref="DL44:DW44" si="245">DL40+DL43</f>
        <v>-4579188.888888889</v>
      </c>
      <c r="DM44" s="84">
        <f t="shared" si="245"/>
        <v>-4579188.888888889</v>
      </c>
      <c r="DN44" s="84">
        <f t="shared" si="245"/>
        <v>-4979188.888888889</v>
      </c>
      <c r="DO44" s="84">
        <f t="shared" si="245"/>
        <v>-4579188.888888889</v>
      </c>
      <c r="DP44" s="84">
        <f t="shared" si="245"/>
        <v>-4579188.888888889</v>
      </c>
      <c r="DQ44" s="84">
        <f t="shared" si="245"/>
        <v>-4579188.888888889</v>
      </c>
      <c r="DR44" s="84">
        <f t="shared" si="245"/>
        <v>-4979188.888888889</v>
      </c>
      <c r="DS44" s="84">
        <f t="shared" si="245"/>
        <v>-4579188.888888889</v>
      </c>
      <c r="DT44" s="84">
        <f t="shared" si="245"/>
        <v>-4579188.888888889</v>
      </c>
      <c r="DU44" s="84">
        <f t="shared" si="245"/>
        <v>-4979188.888888889</v>
      </c>
      <c r="DV44" s="84">
        <f t="shared" si="245"/>
        <v>-4579188.888888889</v>
      </c>
      <c r="DW44" s="84">
        <f t="shared" si="245"/>
        <v>-56550266.666666664</v>
      </c>
      <c r="DY44" s="84">
        <f>DY40+DY43</f>
        <v>0</v>
      </c>
      <c r="DZ44" s="84">
        <f t="shared" ref="DZ44:EK44" si="246">DZ40+DZ43</f>
        <v>0</v>
      </c>
      <c r="EA44" s="84">
        <f t="shared" si="246"/>
        <v>0</v>
      </c>
      <c r="EB44" s="84">
        <f t="shared" si="246"/>
        <v>0</v>
      </c>
      <c r="EC44" s="84">
        <f t="shared" si="246"/>
        <v>0</v>
      </c>
      <c r="ED44" s="84">
        <f t="shared" si="246"/>
        <v>0</v>
      </c>
      <c r="EE44" s="84">
        <f t="shared" si="246"/>
        <v>0</v>
      </c>
      <c r="EF44" s="84">
        <f t="shared" si="246"/>
        <v>0</v>
      </c>
      <c r="EG44" s="84">
        <f t="shared" si="246"/>
        <v>0</v>
      </c>
      <c r="EH44" s="84">
        <f t="shared" si="246"/>
        <v>0</v>
      </c>
      <c r="EI44" s="84">
        <f t="shared" si="246"/>
        <v>0</v>
      </c>
      <c r="EJ44" s="84">
        <f t="shared" si="246"/>
        <v>0</v>
      </c>
      <c r="EK44" s="84">
        <f t="shared" si="246"/>
        <v>0</v>
      </c>
    </row>
    <row r="45" spans="1:141" s="29" customFormat="1">
      <c r="A45" s="87">
        <v>18</v>
      </c>
      <c r="B45" s="88" t="s">
        <v>36</v>
      </c>
      <c r="C45" s="383">
        <f t="shared" ref="C45:N46" si="247">Q45+AE45</f>
        <v>380273874.94127083</v>
      </c>
      <c r="D45" s="286">
        <f t="shared" si="247"/>
        <v>0</v>
      </c>
      <c r="E45" s="286">
        <f t="shared" si="247"/>
        <v>934619042.34686375</v>
      </c>
      <c r="F45" s="286">
        <f t="shared" si="247"/>
        <v>746946934.01394844</v>
      </c>
      <c r="G45" s="286">
        <f t="shared" si="247"/>
        <v>782572970.9461298</v>
      </c>
      <c r="H45" s="286">
        <f t="shared" si="247"/>
        <v>707943160.14623451</v>
      </c>
      <c r="I45" s="286">
        <f t="shared" si="247"/>
        <v>1837575600.7959003</v>
      </c>
      <c r="J45" s="286">
        <f t="shared" si="247"/>
        <v>1680502005.0035582</v>
      </c>
      <c r="K45" s="286">
        <f t="shared" si="247"/>
        <v>1527312071.2935266</v>
      </c>
      <c r="L45" s="286">
        <f t="shared" si="247"/>
        <v>1666415694.9376678</v>
      </c>
      <c r="M45" s="286">
        <f t="shared" si="247"/>
        <v>1780669482.453928</v>
      </c>
      <c r="N45" s="286">
        <f t="shared" si="247"/>
        <v>1322862251.8688984</v>
      </c>
      <c r="O45" s="384">
        <f t="shared" ref="O45:O46" si="248">SUM(C45:N45)</f>
        <v>13367693088.747927</v>
      </c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>
        <f t="shared" ref="AC45:AC46" si="249">SUM(Q45:AB45)</f>
        <v>0</v>
      </c>
      <c r="AE45" s="385">
        <f t="shared" ref="AE45:AP46" si="250">AS45+BU45+CI45+CW45+DK45</f>
        <v>380273874.94127083</v>
      </c>
      <c r="AF45" s="286">
        <f t="shared" si="250"/>
        <v>0</v>
      </c>
      <c r="AG45" s="286">
        <f t="shared" si="250"/>
        <v>934619042.34686375</v>
      </c>
      <c r="AH45" s="286">
        <f t="shared" si="250"/>
        <v>746946934.01394844</v>
      </c>
      <c r="AI45" s="286">
        <f t="shared" si="250"/>
        <v>782572970.9461298</v>
      </c>
      <c r="AJ45" s="286">
        <f t="shared" si="250"/>
        <v>707943160.14623451</v>
      </c>
      <c r="AK45" s="286">
        <f t="shared" si="250"/>
        <v>1837575600.7959003</v>
      </c>
      <c r="AL45" s="286">
        <f t="shared" si="250"/>
        <v>1680502005.0035582</v>
      </c>
      <c r="AM45" s="286">
        <f t="shared" si="250"/>
        <v>1527312071.2935266</v>
      </c>
      <c r="AN45" s="286">
        <f t="shared" si="250"/>
        <v>1666415694.9376678</v>
      </c>
      <c r="AO45" s="286">
        <f t="shared" si="250"/>
        <v>1780669482.453928</v>
      </c>
      <c r="AP45" s="286">
        <f t="shared" si="250"/>
        <v>1322862251.8688984</v>
      </c>
      <c r="AQ45" s="386">
        <f t="shared" ref="AQ45:AQ46" si="251">SUM(AE45:AP45)</f>
        <v>13367693088.747927</v>
      </c>
      <c r="AS45" s="286">
        <f>'PL-KH26-DTR'!BL21</f>
        <v>380273874.94127083</v>
      </c>
      <c r="AT45" s="286">
        <f>'PL-KH26-DTR'!BM21</f>
        <v>0</v>
      </c>
      <c r="AU45" s="286">
        <f>'PL-KH26-DTR'!BN21</f>
        <v>934619042.34686375</v>
      </c>
      <c r="AV45" s="286">
        <f>'PL-KH26-DTR'!BO21</f>
        <v>746946934.01394844</v>
      </c>
      <c r="AW45" s="286">
        <f>'PL-KH26-DTR'!BP21</f>
        <v>782572970.9461298</v>
      </c>
      <c r="AX45" s="286">
        <f>'PL-KH26-DTR'!BQ21</f>
        <v>707943160.14623451</v>
      </c>
      <c r="AY45" s="286">
        <f>'PL-KH26-DTR'!BR21</f>
        <v>1837575600.7959003</v>
      </c>
      <c r="AZ45" s="286">
        <f>'PL-KH26-DTR'!BS21</f>
        <v>1680502005.0035582</v>
      </c>
      <c r="BA45" s="286">
        <f>'PL-KH26-DTR'!BT21</f>
        <v>1527312071.2935266</v>
      </c>
      <c r="BB45" s="286">
        <f>'PL-KH26-DTR'!BU21</f>
        <v>1666415694.9376678</v>
      </c>
      <c r="BC45" s="286">
        <f>'PL-KH26-DTR'!BV21</f>
        <v>1780669482.453928</v>
      </c>
      <c r="BD45" s="286">
        <f>'PL-KH26-DTR'!BW21</f>
        <v>1322862251.8688984</v>
      </c>
      <c r="BE45" s="286">
        <f t="shared" ref="BE45:BE46" si="252">SUM(AS45:BD45)</f>
        <v>13367693088.747927</v>
      </c>
      <c r="BG45" s="286">
        <f t="shared" ref="BG45:BR46" si="253">BU45+CI45+CW45</f>
        <v>0</v>
      </c>
      <c r="BH45" s="286">
        <f t="shared" si="253"/>
        <v>0</v>
      </c>
      <c r="BI45" s="286">
        <f t="shared" si="253"/>
        <v>0</v>
      </c>
      <c r="BJ45" s="286">
        <f t="shared" si="253"/>
        <v>0</v>
      </c>
      <c r="BK45" s="286">
        <f t="shared" si="253"/>
        <v>0</v>
      </c>
      <c r="BL45" s="286">
        <f t="shared" si="253"/>
        <v>0</v>
      </c>
      <c r="BM45" s="286">
        <f t="shared" si="253"/>
        <v>0</v>
      </c>
      <c r="BN45" s="286">
        <f t="shared" si="253"/>
        <v>0</v>
      </c>
      <c r="BO45" s="286">
        <f t="shared" si="253"/>
        <v>0</v>
      </c>
      <c r="BP45" s="286">
        <f t="shared" si="253"/>
        <v>0</v>
      </c>
      <c r="BQ45" s="286">
        <f t="shared" si="253"/>
        <v>0</v>
      </c>
      <c r="BR45" s="286">
        <f t="shared" si="253"/>
        <v>0</v>
      </c>
      <c r="BS45" s="286">
        <f t="shared" ref="BS45:BS46" si="254">SUM(BG45:BR45)</f>
        <v>0</v>
      </c>
      <c r="BU45" s="286">
        <f>'PL-KH26-DongLam'!G49</f>
        <v>0</v>
      </c>
      <c r="BV45" s="286">
        <f>'PL-KH26-DongLam'!H49</f>
        <v>0</v>
      </c>
      <c r="BW45" s="286">
        <f>'PL-KH26-DongLam'!I49</f>
        <v>0</v>
      </c>
      <c r="BX45" s="286">
        <f>'PL-KH26-DongLam'!J49</f>
        <v>0</v>
      </c>
      <c r="BY45" s="286">
        <f>'PL-KH26-DongLam'!K49</f>
        <v>0</v>
      </c>
      <c r="BZ45" s="286">
        <f>'PL-KH26-DongLam'!L49</f>
        <v>0</v>
      </c>
      <c r="CA45" s="286">
        <f>'PL-KH26-DongLam'!M49</f>
        <v>0</v>
      </c>
      <c r="CB45" s="286">
        <f>'PL-KH26-DongLam'!N49</f>
        <v>0</v>
      </c>
      <c r="CC45" s="286">
        <f>'PL-KH26-DongLam'!O49</f>
        <v>0</v>
      </c>
      <c r="CD45" s="286">
        <f>'PL-KH26-DongLam'!P49</f>
        <v>0</v>
      </c>
      <c r="CE45" s="286">
        <f>'PL-KH26-DongLam'!Q49</f>
        <v>0</v>
      </c>
      <c r="CF45" s="286">
        <f>'PL-KH26-DongLam'!R49</f>
        <v>0</v>
      </c>
      <c r="CG45" s="286">
        <f t="shared" ref="CG45:CG46" si="255">SUM(BU45:CF45)</f>
        <v>0</v>
      </c>
      <c r="CI45" s="286">
        <f>'PL-KH26-KhanhNga'!G48</f>
        <v>0</v>
      </c>
      <c r="CJ45" s="286">
        <f>'PL-KH26-KhanhNga'!H48</f>
        <v>0</v>
      </c>
      <c r="CK45" s="286">
        <f>'PL-KH26-KhanhNga'!I48</f>
        <v>0</v>
      </c>
      <c r="CL45" s="286">
        <f>'PL-KH26-KhanhNga'!J48</f>
        <v>0</v>
      </c>
      <c r="CM45" s="286">
        <f>'PL-KH26-KhanhNga'!K48</f>
        <v>0</v>
      </c>
      <c r="CN45" s="286">
        <f>'PL-KH26-KhanhNga'!L48</f>
        <v>0</v>
      </c>
      <c r="CO45" s="286">
        <f>'PL-KH26-KhanhNga'!M48</f>
        <v>0</v>
      </c>
      <c r="CP45" s="286">
        <f>'PL-KH26-KhanhNga'!N48</f>
        <v>0</v>
      </c>
      <c r="CQ45" s="286">
        <f>'PL-KH26-KhanhNga'!O48</f>
        <v>0</v>
      </c>
      <c r="CR45" s="286">
        <f>'PL-KH26-KhanhNga'!P48</f>
        <v>0</v>
      </c>
      <c r="CS45" s="286">
        <f>'PL-KH26-KhanhNga'!Q48</f>
        <v>0</v>
      </c>
      <c r="CT45" s="286">
        <f>'PL-KH26-KhanhNga'!R48</f>
        <v>0</v>
      </c>
      <c r="CU45" s="286">
        <f t="shared" ref="CU45:CU46" si="256">SUM(CI45:CT45)</f>
        <v>0</v>
      </c>
      <c r="CW45" s="286">
        <f>'PL-KH26-DaiLoc'!F50</f>
        <v>0</v>
      </c>
      <c r="CX45" s="286">
        <f>'PL-KH26-DaiLoc'!G50</f>
        <v>0</v>
      </c>
      <c r="CY45" s="286">
        <f>'PL-KH26-DaiLoc'!H50</f>
        <v>0</v>
      </c>
      <c r="CZ45" s="286">
        <f>'PL-KH26-DaiLoc'!I50</f>
        <v>0</v>
      </c>
      <c r="DA45" s="286">
        <f>'PL-KH26-DaiLoc'!J50</f>
        <v>0</v>
      </c>
      <c r="DB45" s="286">
        <f>'PL-KH26-DaiLoc'!K50</f>
        <v>0</v>
      </c>
      <c r="DC45" s="286">
        <f>'PL-KH26-DaiLoc'!L50</f>
        <v>0</v>
      </c>
      <c r="DD45" s="286">
        <f>'PL-KH26-DaiLoc'!M50</f>
        <v>0</v>
      </c>
      <c r="DE45" s="286">
        <f>'PL-KH26-DaiLoc'!N50</f>
        <v>0</v>
      </c>
      <c r="DF45" s="286">
        <f>'PL-KH26-DaiLoc'!O50</f>
        <v>0</v>
      </c>
      <c r="DG45" s="286">
        <f>'PL-KH26-DaiLoc'!P50</f>
        <v>0</v>
      </c>
      <c r="DH45" s="286">
        <f>'PL-KH26-DaiLoc'!Q50</f>
        <v>0</v>
      </c>
      <c r="DI45" s="286">
        <f t="shared" ref="DI45:DI46" si="257">SUM(CW45:DH45)</f>
        <v>0</v>
      </c>
      <c r="DK45" s="286">
        <f>'PL-KH26-TanDaiPhat'!B20</f>
        <v>0</v>
      </c>
      <c r="DL45" s="286">
        <f>'PL-KH26-TanDaiPhat'!C20</f>
        <v>0</v>
      </c>
      <c r="DM45" s="286">
        <f>'PL-KH26-TanDaiPhat'!D20</f>
        <v>0</v>
      </c>
      <c r="DN45" s="286">
        <f>'PL-KH26-TanDaiPhat'!E20</f>
        <v>0</v>
      </c>
      <c r="DO45" s="286">
        <f>'PL-KH26-TanDaiPhat'!F20</f>
        <v>0</v>
      </c>
      <c r="DP45" s="286">
        <f>'PL-KH26-TanDaiPhat'!G20</f>
        <v>0</v>
      </c>
      <c r="DQ45" s="286">
        <f>'PL-KH26-TanDaiPhat'!H20</f>
        <v>0</v>
      </c>
      <c r="DR45" s="286">
        <f>'PL-KH26-TanDaiPhat'!I20</f>
        <v>0</v>
      </c>
      <c r="DS45" s="286">
        <f>'PL-KH26-TanDaiPhat'!J20</f>
        <v>0</v>
      </c>
      <c r="DT45" s="286">
        <f>'PL-KH26-TanDaiPhat'!K20</f>
        <v>0</v>
      </c>
      <c r="DU45" s="286">
        <f>'PL-KH26-TanDaiPhat'!L20</f>
        <v>0</v>
      </c>
      <c r="DV45" s="286">
        <f>'PL-KH26-TanDaiPhat'!M20</f>
        <v>0</v>
      </c>
      <c r="DW45" s="286">
        <f t="shared" ref="DW45:DW46" si="258">SUM(DK45:DV45)</f>
        <v>0</v>
      </c>
      <c r="DY45" s="286"/>
      <c r="DZ45" s="286"/>
      <c r="EA45" s="286"/>
      <c r="EB45" s="286"/>
      <c r="EC45" s="286"/>
      <c r="ED45" s="286"/>
      <c r="EE45" s="286"/>
      <c r="EF45" s="286"/>
      <c r="EG45" s="286"/>
      <c r="EH45" s="286"/>
      <c r="EI45" s="286"/>
      <c r="EJ45" s="286"/>
      <c r="EK45" s="286">
        <f t="shared" ref="EK45:EK46" si="259">SUM(DY45:EJ45)</f>
        <v>0</v>
      </c>
    </row>
    <row r="46" spans="1:141" s="29" customFormat="1">
      <c r="A46" s="89">
        <v>19</v>
      </c>
      <c r="B46" s="90" t="s">
        <v>37</v>
      </c>
      <c r="C46" s="379">
        <f t="shared" si="247"/>
        <v>0</v>
      </c>
      <c r="D46" s="85">
        <f t="shared" si="247"/>
        <v>0</v>
      </c>
      <c r="E46" s="85">
        <f t="shared" si="247"/>
        <v>0</v>
      </c>
      <c r="F46" s="85">
        <f t="shared" si="247"/>
        <v>0</v>
      </c>
      <c r="G46" s="85">
        <f t="shared" si="247"/>
        <v>0</v>
      </c>
      <c r="H46" s="85">
        <f t="shared" si="247"/>
        <v>0</v>
      </c>
      <c r="I46" s="85">
        <f t="shared" si="247"/>
        <v>0</v>
      </c>
      <c r="J46" s="85">
        <f t="shared" si="247"/>
        <v>0</v>
      </c>
      <c r="K46" s="85">
        <f t="shared" si="247"/>
        <v>0</v>
      </c>
      <c r="L46" s="85">
        <f t="shared" si="247"/>
        <v>0</v>
      </c>
      <c r="M46" s="85">
        <f t="shared" si="247"/>
        <v>0</v>
      </c>
      <c r="N46" s="85">
        <f t="shared" si="247"/>
        <v>0</v>
      </c>
      <c r="O46" s="380">
        <f t="shared" si="248"/>
        <v>0</v>
      </c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>
        <f t="shared" si="249"/>
        <v>0</v>
      </c>
      <c r="AE46" s="381">
        <f t="shared" si="250"/>
        <v>0</v>
      </c>
      <c r="AF46" s="85">
        <f t="shared" si="250"/>
        <v>0</v>
      </c>
      <c r="AG46" s="85">
        <f t="shared" si="250"/>
        <v>0</v>
      </c>
      <c r="AH46" s="85">
        <f t="shared" si="250"/>
        <v>0</v>
      </c>
      <c r="AI46" s="85">
        <f t="shared" si="250"/>
        <v>0</v>
      </c>
      <c r="AJ46" s="85">
        <f t="shared" si="250"/>
        <v>0</v>
      </c>
      <c r="AK46" s="85">
        <f t="shared" si="250"/>
        <v>0</v>
      </c>
      <c r="AL46" s="85">
        <f t="shared" si="250"/>
        <v>0</v>
      </c>
      <c r="AM46" s="85">
        <f t="shared" si="250"/>
        <v>0</v>
      </c>
      <c r="AN46" s="85">
        <f t="shared" si="250"/>
        <v>0</v>
      </c>
      <c r="AO46" s="85">
        <f t="shared" si="250"/>
        <v>0</v>
      </c>
      <c r="AP46" s="85">
        <f t="shared" si="250"/>
        <v>0</v>
      </c>
      <c r="AQ46" s="382">
        <f t="shared" si="251"/>
        <v>0</v>
      </c>
      <c r="AS46" s="85">
        <f>'PL-KH26-DTR'!BL22</f>
        <v>0</v>
      </c>
      <c r="AT46" s="85">
        <f>'PL-KH26-DTR'!BM22</f>
        <v>0</v>
      </c>
      <c r="AU46" s="85">
        <f>'PL-KH26-DTR'!BN22</f>
        <v>0</v>
      </c>
      <c r="AV46" s="85">
        <f>'PL-KH26-DTR'!BO22</f>
        <v>0</v>
      </c>
      <c r="AW46" s="85">
        <f>'PL-KH26-DTR'!BP22</f>
        <v>0</v>
      </c>
      <c r="AX46" s="85">
        <f>'PL-KH26-DTR'!BQ22</f>
        <v>0</v>
      </c>
      <c r="AY46" s="85">
        <f>'PL-KH26-DTR'!BR22</f>
        <v>0</v>
      </c>
      <c r="AZ46" s="85">
        <f>'PL-KH26-DTR'!BS22</f>
        <v>0</v>
      </c>
      <c r="BA46" s="85">
        <f>'PL-KH26-DTR'!BT22</f>
        <v>0</v>
      </c>
      <c r="BB46" s="85">
        <f>'PL-KH26-DTR'!BU22</f>
        <v>0</v>
      </c>
      <c r="BC46" s="85">
        <f>'PL-KH26-DTR'!BV22</f>
        <v>0</v>
      </c>
      <c r="BD46" s="85">
        <f>'PL-KH26-DTR'!BW22</f>
        <v>0</v>
      </c>
      <c r="BE46" s="85">
        <f t="shared" si="252"/>
        <v>0</v>
      </c>
      <c r="BG46" s="85">
        <f t="shared" si="253"/>
        <v>0</v>
      </c>
      <c r="BH46" s="85">
        <f t="shared" si="253"/>
        <v>0</v>
      </c>
      <c r="BI46" s="85">
        <f t="shared" si="253"/>
        <v>0</v>
      </c>
      <c r="BJ46" s="85">
        <f t="shared" si="253"/>
        <v>0</v>
      </c>
      <c r="BK46" s="85">
        <f t="shared" si="253"/>
        <v>0</v>
      </c>
      <c r="BL46" s="85">
        <f t="shared" si="253"/>
        <v>0</v>
      </c>
      <c r="BM46" s="85">
        <f t="shared" si="253"/>
        <v>0</v>
      </c>
      <c r="BN46" s="85">
        <f t="shared" si="253"/>
        <v>0</v>
      </c>
      <c r="BO46" s="85">
        <f t="shared" si="253"/>
        <v>0</v>
      </c>
      <c r="BP46" s="85">
        <f t="shared" si="253"/>
        <v>0</v>
      </c>
      <c r="BQ46" s="85">
        <f t="shared" si="253"/>
        <v>0</v>
      </c>
      <c r="BR46" s="85">
        <f t="shared" si="253"/>
        <v>0</v>
      </c>
      <c r="BS46" s="85">
        <f t="shared" si="254"/>
        <v>0</v>
      </c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>
        <f t="shared" si="255"/>
        <v>0</v>
      </c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>
        <f t="shared" si="256"/>
        <v>0</v>
      </c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>
        <f t="shared" si="257"/>
        <v>0</v>
      </c>
      <c r="DK46" s="85">
        <f>'PL-KH26-TanDaiPhat'!B21</f>
        <v>0</v>
      </c>
      <c r="DL46" s="85">
        <f>'PL-KH26-TanDaiPhat'!C21</f>
        <v>0</v>
      </c>
      <c r="DM46" s="85">
        <f>'PL-KH26-TanDaiPhat'!D21</f>
        <v>0</v>
      </c>
      <c r="DN46" s="85">
        <f>'PL-KH26-TanDaiPhat'!E21</f>
        <v>0</v>
      </c>
      <c r="DO46" s="85">
        <f>'PL-KH26-TanDaiPhat'!F21</f>
        <v>0</v>
      </c>
      <c r="DP46" s="85">
        <f>'PL-KH26-TanDaiPhat'!G21</f>
        <v>0</v>
      </c>
      <c r="DQ46" s="85">
        <f>'PL-KH26-TanDaiPhat'!H21</f>
        <v>0</v>
      </c>
      <c r="DR46" s="85">
        <f>'PL-KH26-TanDaiPhat'!I21</f>
        <v>0</v>
      </c>
      <c r="DS46" s="85">
        <f>'PL-KH26-TanDaiPhat'!J21</f>
        <v>0</v>
      </c>
      <c r="DT46" s="85">
        <f>'PL-KH26-TanDaiPhat'!K21</f>
        <v>0</v>
      </c>
      <c r="DU46" s="85">
        <f>'PL-KH26-TanDaiPhat'!L21</f>
        <v>0</v>
      </c>
      <c r="DV46" s="85">
        <f>'PL-KH26-TanDaiPhat'!M21</f>
        <v>0</v>
      </c>
      <c r="DW46" s="85">
        <f t="shared" si="258"/>
        <v>0</v>
      </c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>
        <f t="shared" si="259"/>
        <v>0</v>
      </c>
    </row>
    <row r="47" spans="1:141" s="51" customFormat="1">
      <c r="A47" s="72">
        <v>20</v>
      </c>
      <c r="B47" s="68" t="s">
        <v>38</v>
      </c>
      <c r="C47" s="387">
        <f ca="1">C44-C45-C46</f>
        <v>67196450.944738448</v>
      </c>
      <c r="D47" s="86">
        <f t="shared" ref="D47:O47" ca="1" si="260">D44-D45-D46</f>
        <v>-2876783527.5726547</v>
      </c>
      <c r="E47" s="86">
        <f t="shared" ca="1" si="260"/>
        <v>3604952155.4908915</v>
      </c>
      <c r="F47" s="86">
        <f t="shared" ca="1" si="260"/>
        <v>1532697541.676712</v>
      </c>
      <c r="G47" s="86">
        <f t="shared" ca="1" si="260"/>
        <v>2762502221.5892191</v>
      </c>
      <c r="H47" s="86">
        <f t="shared" ca="1" si="260"/>
        <v>1386776170.405735</v>
      </c>
      <c r="I47" s="86">
        <f t="shared" ca="1" si="260"/>
        <v>7165598532.4166641</v>
      </c>
      <c r="J47" s="86">
        <f t="shared" ca="1" si="260"/>
        <v>6724187523.1802187</v>
      </c>
      <c r="K47" s="86">
        <f t="shared" ca="1" si="260"/>
        <v>6271647773.8832846</v>
      </c>
      <c r="L47" s="86">
        <f t="shared" ca="1" si="260"/>
        <v>6922622324.6141891</v>
      </c>
      <c r="M47" s="86">
        <f t="shared" ca="1" si="260"/>
        <v>7365680402.0527401</v>
      </c>
      <c r="N47" s="86">
        <f t="shared" ca="1" si="260"/>
        <v>5562869869.5073376</v>
      </c>
      <c r="O47" s="388">
        <f t="shared" ca="1" si="260"/>
        <v>46489947438.189056</v>
      </c>
      <c r="Q47" s="86">
        <f ca="1">Q44-Q45-Q46</f>
        <v>-1081653552.8917923</v>
      </c>
      <c r="R47" s="86">
        <f t="shared" ref="R47:AC47" ca="1" si="261">R44-R45-R46</f>
        <v>-206360630.64188004</v>
      </c>
      <c r="S47" s="86">
        <f t="shared" ca="1" si="261"/>
        <v>-1311188694.2388897</v>
      </c>
      <c r="T47" s="86">
        <f t="shared" ca="1" si="261"/>
        <v>-1689504436.190918</v>
      </c>
      <c r="U47" s="86">
        <f t="shared" ca="1" si="261"/>
        <v>-600462545.67515945</v>
      </c>
      <c r="V47" s="86">
        <f t="shared" ca="1" si="261"/>
        <v>-1386793199.9009171</v>
      </c>
      <c r="W47" s="86">
        <f t="shared" ca="1" si="261"/>
        <v>-318276916.1496563</v>
      </c>
      <c r="X47" s="86">
        <f t="shared" ca="1" si="261"/>
        <v>31216146.459789276</v>
      </c>
      <c r="Y47" s="86">
        <f t="shared" ca="1" si="261"/>
        <v>133418850.23434067</v>
      </c>
      <c r="Z47" s="86">
        <f t="shared" ca="1" si="261"/>
        <v>-337062225.32540703</v>
      </c>
      <c r="AA47" s="86">
        <f t="shared" ca="1" si="261"/>
        <v>-153560604.06283951</v>
      </c>
      <c r="AB47" s="86">
        <f t="shared" ca="1" si="261"/>
        <v>-227377208.07666779</v>
      </c>
      <c r="AC47" s="86">
        <f t="shared" ca="1" si="261"/>
        <v>-7147605016.4599972</v>
      </c>
      <c r="AE47" s="389">
        <f>AE44-AE45-AE46</f>
        <v>1148850003.8365307</v>
      </c>
      <c r="AF47" s="86">
        <f t="shared" ref="AF47:AQ47" si="262">AF44-AF45-AF46</f>
        <v>-2670422896.9307747</v>
      </c>
      <c r="AG47" s="86">
        <f t="shared" si="262"/>
        <v>4916140849.7297831</v>
      </c>
      <c r="AH47" s="86">
        <f t="shared" si="262"/>
        <v>3222201977.86763</v>
      </c>
      <c r="AI47" s="86">
        <f t="shared" si="262"/>
        <v>3362964767.2643824</v>
      </c>
      <c r="AJ47" s="86">
        <f t="shared" si="262"/>
        <v>2773569370.3066521</v>
      </c>
      <c r="AK47" s="86">
        <f t="shared" si="262"/>
        <v>7483875448.5663185</v>
      </c>
      <c r="AL47" s="86">
        <f t="shared" si="262"/>
        <v>6692971376.7204256</v>
      </c>
      <c r="AM47" s="86">
        <f t="shared" si="262"/>
        <v>6138228923.6489439</v>
      </c>
      <c r="AN47" s="86">
        <f t="shared" si="262"/>
        <v>7259684549.9395981</v>
      </c>
      <c r="AO47" s="86">
        <f t="shared" si="262"/>
        <v>7519241006.1155834</v>
      </c>
      <c r="AP47" s="86">
        <f t="shared" si="262"/>
        <v>5790247077.5840054</v>
      </c>
      <c r="AQ47" s="390">
        <f t="shared" si="262"/>
        <v>53637552454.649017</v>
      </c>
      <c r="AS47" s="86">
        <f>AS44-AS45-AS46</f>
        <v>1521095499.7650642</v>
      </c>
      <c r="AT47" s="86">
        <f t="shared" ref="AT47:BE47" si="263">AT44-AT45-AT46</f>
        <v>-1325103642.6497984</v>
      </c>
      <c r="AU47" s="86">
        <f t="shared" si="263"/>
        <v>5063579812.0372562</v>
      </c>
      <c r="AV47" s="86">
        <f t="shared" si="263"/>
        <v>2987787736.0558052</v>
      </c>
      <c r="AW47" s="86">
        <f t="shared" si="263"/>
        <v>3130291883.7845144</v>
      </c>
      <c r="AX47" s="86">
        <f t="shared" si="263"/>
        <v>2831772640.584918</v>
      </c>
      <c r="AY47" s="86">
        <f t="shared" si="263"/>
        <v>7350302403.1835804</v>
      </c>
      <c r="AZ47" s="86">
        <f t="shared" si="263"/>
        <v>6722008020.0142488</v>
      </c>
      <c r="BA47" s="86">
        <f t="shared" si="263"/>
        <v>6109248285.1741209</v>
      </c>
      <c r="BB47" s="86">
        <f t="shared" si="263"/>
        <v>6665662779.7506523</v>
      </c>
      <c r="BC47" s="86">
        <f t="shared" si="263"/>
        <v>7122677929.8157291</v>
      </c>
      <c r="BD47" s="86">
        <f t="shared" si="263"/>
        <v>5291449007.4756031</v>
      </c>
      <c r="BE47" s="86">
        <f t="shared" si="263"/>
        <v>53470772354.991684</v>
      </c>
      <c r="BG47" s="86">
        <f t="shared" ref="BG47:BS47" si="264">BG44-BG45-BG46</f>
        <v>-367266307.03964305</v>
      </c>
      <c r="BH47" s="86">
        <f t="shared" si="264"/>
        <v>-1340740065.3920875</v>
      </c>
      <c r="BI47" s="86">
        <f t="shared" si="264"/>
        <v>-142859773.4185853</v>
      </c>
      <c r="BJ47" s="86">
        <f t="shared" si="264"/>
        <v>239393430.70071363</v>
      </c>
      <c r="BK47" s="86">
        <f t="shared" si="264"/>
        <v>237252072.36875868</v>
      </c>
      <c r="BL47" s="86">
        <f t="shared" si="264"/>
        <v>-53624081.389373779</v>
      </c>
      <c r="BM47" s="86">
        <f t="shared" si="264"/>
        <v>138152234.2716248</v>
      </c>
      <c r="BN47" s="86">
        <f t="shared" si="264"/>
        <v>-24057454.404931545</v>
      </c>
      <c r="BO47" s="86">
        <f t="shared" si="264"/>
        <v>33559827.363711596</v>
      </c>
      <c r="BP47" s="86">
        <f t="shared" si="264"/>
        <v>598600959.07783556</v>
      </c>
      <c r="BQ47" s="86">
        <f t="shared" si="264"/>
        <v>401542265.18874407</v>
      </c>
      <c r="BR47" s="86">
        <f t="shared" si="264"/>
        <v>503377258.99729204</v>
      </c>
      <c r="BS47" s="86">
        <f t="shared" si="264"/>
        <v>223330366.32402992</v>
      </c>
      <c r="BU47" s="86">
        <f>BU44-BU45-BU46</f>
        <v>425648686.98440266</v>
      </c>
      <c r="BV47" s="86">
        <f t="shared" ref="BV47:CG47" si="265">BV44-BV45-BV46</f>
        <v>-57733714.869803429</v>
      </c>
      <c r="BW47" s="86">
        <f t="shared" si="265"/>
        <v>288830674.14476395</v>
      </c>
      <c r="BX47" s="86">
        <f t="shared" si="265"/>
        <v>152444821.72399521</v>
      </c>
      <c r="BY47" s="86">
        <f t="shared" si="265"/>
        <v>114898892.57554054</v>
      </c>
      <c r="BZ47" s="86">
        <f t="shared" si="265"/>
        <v>66153608.094058394</v>
      </c>
      <c r="CA47" s="86">
        <f t="shared" si="265"/>
        <v>122430228.57130182</v>
      </c>
      <c r="CB47" s="86">
        <f t="shared" si="265"/>
        <v>13734722.611409545</v>
      </c>
      <c r="CC47" s="86">
        <f t="shared" si="265"/>
        <v>28055370.012963653</v>
      </c>
      <c r="CD47" s="86">
        <f t="shared" si="265"/>
        <v>167488832.03474939</v>
      </c>
      <c r="CE47" s="86">
        <f t="shared" si="265"/>
        <v>44116089.368741393</v>
      </c>
      <c r="CF47" s="86">
        <f t="shared" si="265"/>
        <v>133638468.90463388</v>
      </c>
      <c r="CG47" s="86">
        <f t="shared" si="265"/>
        <v>1499706680.1567497</v>
      </c>
      <c r="CI47" s="86">
        <f>CI44-CI45-CI46</f>
        <v>-13487537.813614845</v>
      </c>
      <c r="CJ47" s="86">
        <f t="shared" ref="CJ47:CU47" si="266">CJ44-CJ45-CJ46</f>
        <v>-349003777.9449861</v>
      </c>
      <c r="CK47" s="86">
        <f t="shared" si="266"/>
        <v>153985417.22647077</v>
      </c>
      <c r="CL47" s="86">
        <f t="shared" si="266"/>
        <v>217630316.46933579</v>
      </c>
      <c r="CM47" s="86">
        <f t="shared" si="266"/>
        <v>255480237.26933599</v>
      </c>
      <c r="CN47" s="86">
        <f t="shared" si="266"/>
        <v>215449755.00266957</v>
      </c>
      <c r="CO47" s="86">
        <f t="shared" si="266"/>
        <v>202542519.13600278</v>
      </c>
      <c r="CP47" s="86">
        <f t="shared" si="266"/>
        <v>186654358.55266881</v>
      </c>
      <c r="CQ47" s="86">
        <f t="shared" si="266"/>
        <v>197894696.43600202</v>
      </c>
      <c r="CR47" s="86">
        <f t="shared" si="266"/>
        <v>259433459.102669</v>
      </c>
      <c r="CS47" s="86">
        <f t="shared" si="266"/>
        <v>240452839.80266881</v>
      </c>
      <c r="CT47" s="86">
        <f t="shared" si="266"/>
        <v>234907060.00266957</v>
      </c>
      <c r="CU47" s="86">
        <f t="shared" si="266"/>
        <v>1801939343.2418804</v>
      </c>
      <c r="CW47" s="86">
        <f>CW44-CW45-CW46</f>
        <v>-779427456.21043384</v>
      </c>
      <c r="CX47" s="86">
        <f t="shared" ref="CX47:DI47" si="267">CX44-CX45-CX46</f>
        <v>-934002572.57729888</v>
      </c>
      <c r="CY47" s="86">
        <f t="shared" si="267"/>
        <v>-585675864.78982008</v>
      </c>
      <c r="CZ47" s="86">
        <f t="shared" si="267"/>
        <v>-130681707.4926194</v>
      </c>
      <c r="DA47" s="86">
        <f t="shared" si="267"/>
        <v>-133127057.47611511</v>
      </c>
      <c r="DB47" s="86">
        <f t="shared" si="267"/>
        <v>-335227444.48610651</v>
      </c>
      <c r="DC47" s="86">
        <f t="shared" si="267"/>
        <v>-186820513.43567878</v>
      </c>
      <c r="DD47" s="86">
        <f t="shared" si="267"/>
        <v>-224446535.56901276</v>
      </c>
      <c r="DE47" s="86">
        <f t="shared" si="267"/>
        <v>-192390239.08525115</v>
      </c>
      <c r="DF47" s="86">
        <f t="shared" si="267"/>
        <v>171678667.94041348</v>
      </c>
      <c r="DG47" s="86">
        <f t="shared" si="267"/>
        <v>116973336.01733685</v>
      </c>
      <c r="DH47" s="86">
        <f t="shared" si="267"/>
        <v>134831730.08998775</v>
      </c>
      <c r="DI47" s="86">
        <f t="shared" si="267"/>
        <v>-3078315657.0746012</v>
      </c>
      <c r="DK47" s="86">
        <f>DK44-DK45-DK46</f>
        <v>-4979188.888888889</v>
      </c>
      <c r="DL47" s="86">
        <f t="shared" ref="DL47:DW47" si="268">DL44-DL45-DL46</f>
        <v>-4579188.888888889</v>
      </c>
      <c r="DM47" s="86">
        <f t="shared" si="268"/>
        <v>-4579188.888888889</v>
      </c>
      <c r="DN47" s="86">
        <f t="shared" si="268"/>
        <v>-4979188.888888889</v>
      </c>
      <c r="DO47" s="86">
        <f t="shared" si="268"/>
        <v>-4579188.888888889</v>
      </c>
      <c r="DP47" s="86">
        <f t="shared" si="268"/>
        <v>-4579188.888888889</v>
      </c>
      <c r="DQ47" s="86">
        <f t="shared" si="268"/>
        <v>-4579188.888888889</v>
      </c>
      <c r="DR47" s="86">
        <f t="shared" si="268"/>
        <v>-4979188.888888889</v>
      </c>
      <c r="DS47" s="86">
        <f t="shared" si="268"/>
        <v>-4579188.888888889</v>
      </c>
      <c r="DT47" s="86">
        <f t="shared" si="268"/>
        <v>-4579188.888888889</v>
      </c>
      <c r="DU47" s="86">
        <f t="shared" si="268"/>
        <v>-4979188.888888889</v>
      </c>
      <c r="DV47" s="86">
        <f t="shared" si="268"/>
        <v>-4579188.888888889</v>
      </c>
      <c r="DW47" s="86">
        <f t="shared" si="268"/>
        <v>-56550266.666666664</v>
      </c>
      <c r="DY47" s="86">
        <f t="shared" ref="DY47:EK47" si="269">DY44-DY45-DY46</f>
        <v>0</v>
      </c>
      <c r="DZ47" s="86">
        <f t="shared" si="269"/>
        <v>0</v>
      </c>
      <c r="EA47" s="86">
        <f t="shared" si="269"/>
        <v>0</v>
      </c>
      <c r="EB47" s="86">
        <f t="shared" si="269"/>
        <v>0</v>
      </c>
      <c r="EC47" s="86">
        <f t="shared" si="269"/>
        <v>0</v>
      </c>
      <c r="ED47" s="86">
        <f t="shared" si="269"/>
        <v>0</v>
      </c>
      <c r="EE47" s="86">
        <f t="shared" si="269"/>
        <v>0</v>
      </c>
      <c r="EF47" s="86">
        <f t="shared" si="269"/>
        <v>0</v>
      </c>
      <c r="EG47" s="86">
        <f t="shared" si="269"/>
        <v>0</v>
      </c>
      <c r="EH47" s="86">
        <f t="shared" si="269"/>
        <v>0</v>
      </c>
      <c r="EI47" s="86">
        <f t="shared" si="269"/>
        <v>0</v>
      </c>
      <c r="EJ47" s="86">
        <f t="shared" si="269"/>
        <v>0</v>
      </c>
      <c r="EK47" s="86">
        <f t="shared" si="269"/>
        <v>0</v>
      </c>
    </row>
    <row r="48" spans="1:141" s="17" customFormat="1" ht="14.5" thickBot="1">
      <c r="B48" s="17" t="s">
        <v>18</v>
      </c>
      <c r="C48" s="391"/>
      <c r="D48" s="392"/>
      <c r="E48" s="392"/>
      <c r="F48" s="392"/>
      <c r="G48" s="392"/>
      <c r="H48" s="392"/>
      <c r="I48" s="392"/>
      <c r="J48" s="392"/>
      <c r="K48" s="392"/>
      <c r="L48" s="392"/>
      <c r="M48" s="392"/>
      <c r="N48" s="392"/>
      <c r="O48" s="393">
        <f ca="1">O47-SUM(C47:N47)</f>
        <v>0</v>
      </c>
      <c r="AE48" s="394"/>
      <c r="AF48" s="395"/>
      <c r="AG48" s="395"/>
      <c r="AH48" s="395"/>
      <c r="AI48" s="395"/>
      <c r="AJ48" s="395"/>
      <c r="AK48" s="395"/>
      <c r="AL48" s="395"/>
      <c r="AM48" s="395"/>
      <c r="AN48" s="395"/>
      <c r="AO48" s="395"/>
      <c r="AP48" s="395"/>
      <c r="AQ48" s="396"/>
      <c r="BS48" s="258">
        <f>BS47-(CG47+CU47+DI47)</f>
        <v>9.5367431640625E-7</v>
      </c>
      <c r="CG48" s="258">
        <f>CG47-'PL-KH26-DongLam'!S50</f>
        <v>-1.33514404296875E-5</v>
      </c>
      <c r="CU48" s="258">
        <f>CU47-'PL-KH26-KhanhNga'!S49</f>
        <v>-7.8678131103515625E-6</v>
      </c>
      <c r="DI48" s="258">
        <f>DI47-'PL-KH26-DaiLoc'!R51</f>
        <v>-4.291534423828125E-6</v>
      </c>
      <c r="DW48" s="18">
        <f>DW47-'PL-KH26-TanDaiPhat'!N22</f>
        <v>0</v>
      </c>
    </row>
    <row r="49" spans="2:127" ht="14.5" thickTop="1"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spans="2:127" s="96" customFormat="1">
      <c r="B50" s="17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8"/>
      <c r="N50" s="658"/>
    </row>
    <row r="51" spans="2:127">
      <c r="B51" s="7" t="s">
        <v>546</v>
      </c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AS51" s="291">
        <v>5303490060.9208145</v>
      </c>
      <c r="AT51" s="291">
        <v>5687882012.9208145</v>
      </c>
      <c r="AU51" s="291">
        <v>5775901232.9208145</v>
      </c>
      <c r="AV51" s="291">
        <v>5810141510.9208145</v>
      </c>
      <c r="AW51" s="291">
        <v>5826094566.9208145</v>
      </c>
      <c r="AX51" s="291">
        <v>5968069704.9208145</v>
      </c>
      <c r="AY51" s="291">
        <v>5968069704.9208145</v>
      </c>
      <c r="AZ51" s="291">
        <v>5968069704.9208145</v>
      </c>
      <c r="BA51" s="291">
        <v>5968069704.9208145</v>
      </c>
      <c r="BB51" s="291">
        <v>5980889137.9208145</v>
      </c>
      <c r="BC51" s="291">
        <v>5980889137.9208145</v>
      </c>
      <c r="BD51" s="291">
        <v>5993164137.9208145</v>
      </c>
      <c r="BE51" s="825">
        <f>SUM(AS51:BD51)</f>
        <v>70230730618.049774</v>
      </c>
      <c r="BG51" s="291">
        <f t="shared" ref="BG51" si="270">BU51+CI51+CW51</f>
        <v>689082523.48940516</v>
      </c>
      <c r="BH51" s="291">
        <f t="shared" ref="BH51" si="271">BV51+CJ51+CX51</f>
        <v>683417989.10589266</v>
      </c>
      <c r="BI51" s="291">
        <f t="shared" ref="BI51" si="272">BW51+CK51+CY51</f>
        <v>703055213.32094646</v>
      </c>
      <c r="BJ51" s="291">
        <f t="shared" ref="BJ51" si="273">BX51+CL51+CZ51</f>
        <v>744049872.81915426</v>
      </c>
      <c r="BK51" s="291">
        <f t="shared" ref="BK51" si="274">BY51+CM51+DA51</f>
        <v>744049872.81915426</v>
      </c>
      <c r="BL51" s="291">
        <f t="shared" ref="BL51" si="275">BZ51+CN51+DB51</f>
        <v>744049872.81915426</v>
      </c>
      <c r="BM51" s="291">
        <f t="shared" ref="BM51" si="276">CA51+CO51+DC51</f>
        <v>744049872.81915426</v>
      </c>
      <c r="BN51" s="291">
        <f t="shared" ref="BN51" si="277">CB51+CP51+DD51</f>
        <v>744049872.81915426</v>
      </c>
      <c r="BO51" s="291">
        <f t="shared" ref="BO51" si="278">CC51+CQ51+DE51</f>
        <v>744049872.81915426</v>
      </c>
      <c r="BP51" s="291">
        <f t="shared" ref="BP51" si="279">CD51+CR51+DF51</f>
        <v>761410983.93026543</v>
      </c>
      <c r="BQ51" s="291">
        <f t="shared" ref="BQ51" si="280">CE51+CS51+DG51</f>
        <v>761410983.93026543</v>
      </c>
      <c r="BR51" s="291">
        <f t="shared" ref="BR51" si="281">CF51+CT51+DH51</f>
        <v>755299872.93026543</v>
      </c>
      <c r="BS51" s="825">
        <f t="shared" ref="BS51" si="282">SUM(BG51:BR51)</f>
        <v>8817976803.6219673</v>
      </c>
      <c r="BU51" s="291">
        <f>'PL-KH26-DongLam'!G52</f>
        <v>198196426.46666667</v>
      </c>
      <c r="BV51" s="291">
        <f>'PL-KH26-DongLam'!H52</f>
        <v>198557537.24444446</v>
      </c>
      <c r="BW51" s="291">
        <f>'PL-KH26-DongLam'!I52</f>
        <v>212724203.91111115</v>
      </c>
      <c r="BX51" s="291">
        <f>'PL-KH26-DongLam'!J52</f>
        <v>251710315.02222228</v>
      </c>
      <c r="BY51" s="291">
        <f>'PL-KH26-DongLam'!K52</f>
        <v>251710315.02222228</v>
      </c>
      <c r="BZ51" s="291">
        <f>'PL-KH26-DongLam'!L52</f>
        <v>251710315.02222228</v>
      </c>
      <c r="CA51" s="291">
        <f>'PL-KH26-DongLam'!M52</f>
        <v>251710315.02222228</v>
      </c>
      <c r="CB51" s="291">
        <f>'PL-KH26-DongLam'!N52</f>
        <v>251710315.02222228</v>
      </c>
      <c r="CC51" s="291">
        <f>'PL-KH26-DongLam'!O52</f>
        <v>251710315.02222228</v>
      </c>
      <c r="CD51" s="291">
        <f>'PL-KH26-DongLam'!P52</f>
        <v>251710315.02222228</v>
      </c>
      <c r="CE51" s="291">
        <f>'PL-KH26-DongLam'!Q52</f>
        <v>251710315.02222228</v>
      </c>
      <c r="CF51" s="291">
        <f>'PL-KH26-DongLam'!R52</f>
        <v>245599204.02222228</v>
      </c>
      <c r="CG51" s="825">
        <f t="shared" ref="CG51" si="283">SUM(BU51:CF51)</f>
        <v>2868759891.8222237</v>
      </c>
      <c r="CI51" s="291">
        <f>'PL-KH26-KhanhNga'!G51</f>
        <v>110758018.74238349</v>
      </c>
      <c r="CJ51" s="291">
        <f>'PL-KH26-KhanhNga'!H51</f>
        <v>104732373.58109318</v>
      </c>
      <c r="CK51" s="291">
        <f>'PL-KH26-KhanhNga'!I51</f>
        <v>112766567.12948027</v>
      </c>
      <c r="CL51" s="291">
        <f>'PL-KH26-KhanhNga'!J51</f>
        <v>114775115.51657705</v>
      </c>
      <c r="CM51" s="291">
        <f>'PL-KH26-KhanhNga'!K51</f>
        <v>114775115.51657705</v>
      </c>
      <c r="CN51" s="291">
        <f>'PL-KH26-KhanhNga'!L51</f>
        <v>114775115.51657705</v>
      </c>
      <c r="CO51" s="291">
        <f>'PL-KH26-KhanhNga'!M51</f>
        <v>114775115.51657705</v>
      </c>
      <c r="CP51" s="291">
        <f>'PL-KH26-KhanhNga'!N51</f>
        <v>114775115.51657705</v>
      </c>
      <c r="CQ51" s="291">
        <f>'PL-KH26-KhanhNga'!O51</f>
        <v>114775115.51657705</v>
      </c>
      <c r="CR51" s="291">
        <f>'PL-KH26-KhanhNga'!P51</f>
        <v>114775115.51657705</v>
      </c>
      <c r="CS51" s="291">
        <f>'PL-KH26-KhanhNga'!Q51</f>
        <v>114775115.51657705</v>
      </c>
      <c r="CT51" s="291">
        <f>'PL-KH26-KhanhNga'!R51</f>
        <v>114775115.51657705</v>
      </c>
      <c r="CU51" s="825">
        <f t="shared" ref="CU51" si="284">SUM(CI51:CT51)</f>
        <v>1361232999.1021502</v>
      </c>
      <c r="CW51" s="291">
        <f>'PL-KH26-DaiLoc'!F53</f>
        <v>380128078.28035498</v>
      </c>
      <c r="CX51" s="291">
        <f>'PL-KH26-DaiLoc'!G53</f>
        <v>380128078.28035498</v>
      </c>
      <c r="CY51" s="291">
        <f>'PL-KH26-DaiLoc'!H53</f>
        <v>377564442.28035498</v>
      </c>
      <c r="CZ51" s="291">
        <f>'PL-KH26-DaiLoc'!I53</f>
        <v>377564442.28035498</v>
      </c>
      <c r="DA51" s="291">
        <f>'PL-KH26-DaiLoc'!J53</f>
        <v>377564442.28035498</v>
      </c>
      <c r="DB51" s="291">
        <f>'PL-KH26-DaiLoc'!K53</f>
        <v>377564442.28035498</v>
      </c>
      <c r="DC51" s="291">
        <f>'PL-KH26-DaiLoc'!L53</f>
        <v>377564442.28035498</v>
      </c>
      <c r="DD51" s="291">
        <f>'PL-KH26-DaiLoc'!M53</f>
        <v>377564442.28035498</v>
      </c>
      <c r="DE51" s="291">
        <f>'PL-KH26-DaiLoc'!N53</f>
        <v>377564442.28035498</v>
      </c>
      <c r="DF51" s="291">
        <f>'PL-KH26-DaiLoc'!O53</f>
        <v>394925553.39146608</v>
      </c>
      <c r="DG51" s="291">
        <f>'PL-KH26-DaiLoc'!P53</f>
        <v>394925553.39146608</v>
      </c>
      <c r="DH51" s="291">
        <f>'PL-KH26-DaiLoc'!Q53</f>
        <v>394925553.39146608</v>
      </c>
      <c r="DI51" s="825">
        <f t="shared" ref="DI51" si="285">SUM(CW51:DH51)</f>
        <v>4587983912.6975927</v>
      </c>
      <c r="DW51" s="825">
        <f t="shared" ref="DW51" si="286">SUM(DK51:DV51)</f>
        <v>0</v>
      </c>
    </row>
    <row r="52" spans="2:127" s="96" customFormat="1">
      <c r="B52" s="17"/>
      <c r="C52" s="29"/>
      <c r="D52" s="29"/>
      <c r="E52" s="29"/>
      <c r="F52" s="29"/>
      <c r="G52" s="29"/>
      <c r="H52" s="29"/>
      <c r="I52" s="29"/>
      <c r="J52" s="29"/>
      <c r="K52" s="29"/>
      <c r="L52" s="29"/>
    </row>
    <row r="53" spans="2:127" s="17" customFormat="1"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2:127">
      <c r="C54" s="29"/>
      <c r="D54" s="29"/>
      <c r="E54" s="29"/>
      <c r="F54" s="29"/>
      <c r="G54" s="29"/>
      <c r="H54" s="29"/>
      <c r="I54" s="29"/>
      <c r="J54" s="29"/>
      <c r="K54" s="29"/>
      <c r="L54" s="29"/>
    </row>
  </sheetData>
  <mergeCells count="12">
    <mergeCell ref="DY3:EK3"/>
    <mergeCell ref="DK3:DW3"/>
    <mergeCell ref="A3:A4"/>
    <mergeCell ref="B3:B4"/>
    <mergeCell ref="Q3:AC3"/>
    <mergeCell ref="AE3:AQ3"/>
    <mergeCell ref="AS3:BE3"/>
    <mergeCell ref="BG3:BS3"/>
    <mergeCell ref="BU3:CG3"/>
    <mergeCell ref="CI3:CU3"/>
    <mergeCell ref="CW3:DI3"/>
    <mergeCell ref="C3:O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CEE1-00AB-48DB-B14D-6BF90203BEB8}">
  <sheetPr>
    <tabColor theme="6" tint="0.79998168889431442"/>
  </sheetPr>
  <dimension ref="A1:BW23"/>
  <sheetViews>
    <sheetView showGridLines="0" zoomScale="85" zoomScaleNormal="85" workbookViewId="0">
      <pane xSplit="3" ySplit="2" topLeftCell="BL8" activePane="bottomRight" state="frozen"/>
      <selection activeCell="BP52" sqref="BP52"/>
      <selection pane="topRight" activeCell="BP52" sqref="BP52"/>
      <selection pane="bottomLeft" activeCell="BP52" sqref="BP52"/>
      <selection pane="bottomRight" activeCell="BN21" sqref="BN21"/>
    </sheetView>
  </sheetViews>
  <sheetFormatPr defaultRowHeight="14.5"/>
  <cols>
    <col min="1" max="1" width="6.08203125" customWidth="1"/>
    <col min="2" max="2" width="49" bestFit="1" customWidth="1"/>
    <col min="3" max="3" width="10.58203125" customWidth="1"/>
    <col min="4" max="10" width="13.58203125" hidden="1" customWidth="1"/>
    <col min="11" max="11" width="14.25" hidden="1" customWidth="1"/>
    <col min="12" max="14" width="13.58203125" hidden="1" customWidth="1"/>
    <col min="15" max="15" width="14.58203125" hidden="1" customWidth="1"/>
    <col min="16" max="16" width="13.58203125" hidden="1" customWidth="1"/>
    <col min="17" max="17" width="14.25" hidden="1" customWidth="1"/>
    <col min="18" max="44" width="14.58203125" hidden="1" customWidth="1"/>
    <col min="45" max="46" width="15.25" hidden="1" customWidth="1"/>
    <col min="47" max="49" width="15.75" hidden="1" customWidth="1"/>
    <col min="50" max="50" width="14.58203125" hidden="1" customWidth="1"/>
    <col min="51" max="51" width="15.75" hidden="1" customWidth="1"/>
    <col min="52" max="52" width="14.58203125" hidden="1" customWidth="1"/>
    <col min="53" max="59" width="15.75" hidden="1" customWidth="1"/>
    <col min="60" max="60" width="15.25" hidden="1" customWidth="1"/>
    <col min="61" max="63" width="14.58203125" hidden="1" customWidth="1"/>
    <col min="64" max="64" width="18.33203125" bestFit="1" customWidth="1"/>
    <col min="65" max="65" width="16.33203125" bestFit="1" customWidth="1"/>
    <col min="66" max="66" width="17.25" customWidth="1"/>
    <col min="67" max="75" width="16.33203125" bestFit="1" customWidth="1"/>
  </cols>
  <sheetData>
    <row r="1" spans="1:75" ht="17.5">
      <c r="B1" s="19" t="s">
        <v>41</v>
      </c>
      <c r="BL1" s="103">
        <v>1000</v>
      </c>
    </row>
    <row r="2" spans="1:75">
      <c r="B2" s="20" t="s">
        <v>11</v>
      </c>
    </row>
    <row r="3" spans="1:75" ht="28">
      <c r="A3" s="6" t="s">
        <v>39</v>
      </c>
      <c r="B3" s="2" t="s">
        <v>19</v>
      </c>
      <c r="C3" s="6" t="s">
        <v>42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 t="s">
        <v>43</v>
      </c>
      <c r="BM3" s="6" t="s">
        <v>44</v>
      </c>
      <c r="BN3" s="6" t="s">
        <v>45</v>
      </c>
      <c r="BO3" s="6" t="s">
        <v>46</v>
      </c>
      <c r="BP3" s="6" t="s">
        <v>47</v>
      </c>
      <c r="BQ3" s="6" t="s">
        <v>48</v>
      </c>
      <c r="BR3" s="6" t="s">
        <v>49</v>
      </c>
      <c r="BS3" s="6" t="s">
        <v>50</v>
      </c>
      <c r="BT3" s="6" t="s">
        <v>51</v>
      </c>
      <c r="BU3" s="6" t="s">
        <v>52</v>
      </c>
      <c r="BV3" s="6" t="s">
        <v>53</v>
      </c>
      <c r="BW3" s="6" t="s">
        <v>54</v>
      </c>
    </row>
    <row r="4" spans="1:75">
      <c r="A4" s="22">
        <v>1</v>
      </c>
      <c r="B4" s="23" t="s">
        <v>55</v>
      </c>
      <c r="C4" s="22">
        <v>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>
        <v>4318.222932676138</v>
      </c>
      <c r="BM4" s="10">
        <v>4253.3145678240335</v>
      </c>
      <c r="BN4" s="10">
        <v>4678.5574034757401</v>
      </c>
      <c r="BO4" s="10">
        <v>4394.2315186767219</v>
      </c>
      <c r="BP4" s="10">
        <v>4663.4364391825357</v>
      </c>
      <c r="BQ4" s="10">
        <v>4691.9521822275938</v>
      </c>
      <c r="BR4" s="10">
        <v>4689.4225169732681</v>
      </c>
      <c r="BS4" s="10">
        <v>4562.8494989087403</v>
      </c>
      <c r="BT4" s="10">
        <v>4774.6231018888848</v>
      </c>
      <c r="BU4" s="10">
        <v>4468.6262974285746</v>
      </c>
      <c r="BV4" s="10">
        <v>4720.2431243544625</v>
      </c>
      <c r="BW4" s="10">
        <v>4784.5204185700313</v>
      </c>
    </row>
    <row r="5" spans="1:75">
      <c r="A5" s="1">
        <v>2</v>
      </c>
      <c r="B5" s="24" t="s">
        <v>20</v>
      </c>
      <c r="C5" s="1">
        <v>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14">
        <v>129505341136.8568</v>
      </c>
      <c r="BM5" s="14">
        <v>127974441177.86678</v>
      </c>
      <c r="BN5" s="14">
        <v>141599491827.82724</v>
      </c>
      <c r="BO5" s="14">
        <v>131782266518.60179</v>
      </c>
      <c r="BP5" s="14">
        <v>140244307484.73706</v>
      </c>
      <c r="BQ5" s="14">
        <v>141409300219.24365</v>
      </c>
      <c r="BR5" s="14">
        <v>145404057387.95996</v>
      </c>
      <c r="BS5" s="14">
        <v>141276361518.14462</v>
      </c>
      <c r="BT5" s="14">
        <v>148196499542.28259</v>
      </c>
      <c r="BU5" s="14">
        <v>137984481243.16364</v>
      </c>
      <c r="BV5" s="14">
        <v>145929060338.8269</v>
      </c>
      <c r="BW5" s="14">
        <v>147442013746.17145</v>
      </c>
    </row>
    <row r="6" spans="1:75">
      <c r="A6" s="21">
        <v>3</v>
      </c>
      <c r="B6" s="3" t="s">
        <v>21</v>
      </c>
      <c r="C6" s="21">
        <v>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</row>
    <row r="7" spans="1:75">
      <c r="A7" s="25">
        <v>4</v>
      </c>
      <c r="B7" s="24" t="s">
        <v>22</v>
      </c>
      <c r="C7" s="25">
        <v>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04">
        <v>129505341136.8568</v>
      </c>
      <c r="BM7" s="104">
        <v>127974441177.86678</v>
      </c>
      <c r="BN7" s="104">
        <v>141599491827.82724</v>
      </c>
      <c r="BO7" s="104">
        <v>131782266518.60179</v>
      </c>
      <c r="BP7" s="104">
        <v>140244307484.73706</v>
      </c>
      <c r="BQ7" s="104">
        <v>141409300219.24365</v>
      </c>
      <c r="BR7" s="104">
        <v>145404057387.95996</v>
      </c>
      <c r="BS7" s="104">
        <v>141276361518.14462</v>
      </c>
      <c r="BT7" s="104">
        <v>148196499542.28259</v>
      </c>
      <c r="BU7" s="104">
        <v>137984481243.16364</v>
      </c>
      <c r="BV7" s="104">
        <v>145929060338.8269</v>
      </c>
      <c r="BW7" s="104">
        <v>147442013746.17145</v>
      </c>
    </row>
    <row r="8" spans="1:75">
      <c r="A8" s="26">
        <v>5</v>
      </c>
      <c r="B8" s="3" t="s">
        <v>23</v>
      </c>
      <c r="C8" s="26">
        <v>5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05">
        <v>111573152812.80542</v>
      </c>
      <c r="BM8" s="105">
        <v>114942222906.7661</v>
      </c>
      <c r="BN8" s="105">
        <v>120213688326.59052</v>
      </c>
      <c r="BO8" s="105">
        <v>113297880731.08926</v>
      </c>
      <c r="BP8" s="105">
        <v>119515804418.96034</v>
      </c>
      <c r="BQ8" s="105">
        <v>121320057022.57965</v>
      </c>
      <c r="BR8" s="105">
        <v>119663072666.45052</v>
      </c>
      <c r="BS8" s="105">
        <v>116065893729.5943</v>
      </c>
      <c r="BT8" s="105">
        <v>122487196346.25676</v>
      </c>
      <c r="BU8" s="105">
        <v>113826945063.91806</v>
      </c>
      <c r="BV8" s="105">
        <v>120726874069.98517</v>
      </c>
      <c r="BW8" s="105">
        <v>122409403433.51817</v>
      </c>
    </row>
    <row r="9" spans="1:75">
      <c r="A9" s="27">
        <v>6</v>
      </c>
      <c r="B9" s="24" t="s">
        <v>24</v>
      </c>
      <c r="C9" s="27">
        <v>5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6">
        <f>BL7-BL8</f>
        <v>17932188324.051376</v>
      </c>
      <c r="BM9" s="16">
        <f t="shared" ref="BM9:BW9" si="0">BM7-BM8</f>
        <v>13032218271.100677</v>
      </c>
      <c r="BN9" s="16">
        <f t="shared" si="0"/>
        <v>21385803501.236725</v>
      </c>
      <c r="BO9" s="16">
        <f t="shared" si="0"/>
        <v>18484385787.512527</v>
      </c>
      <c r="BP9" s="16">
        <f t="shared" si="0"/>
        <v>20728503065.776718</v>
      </c>
      <c r="BQ9" s="16">
        <f t="shared" si="0"/>
        <v>20089243196.664001</v>
      </c>
      <c r="BR9" s="16">
        <f t="shared" si="0"/>
        <v>25740984721.509445</v>
      </c>
      <c r="BS9" s="16">
        <f t="shared" si="0"/>
        <v>25210467788.550323</v>
      </c>
      <c r="BT9" s="16">
        <f t="shared" si="0"/>
        <v>25709303196.025833</v>
      </c>
      <c r="BU9" s="16">
        <f t="shared" si="0"/>
        <v>24157536179.245575</v>
      </c>
      <c r="BV9" s="16">
        <f t="shared" si="0"/>
        <v>25202186268.841736</v>
      </c>
      <c r="BW9" s="16">
        <f t="shared" si="0"/>
        <v>25032610312.653275</v>
      </c>
    </row>
    <row r="10" spans="1:75">
      <c r="A10" s="27">
        <v>7</v>
      </c>
      <c r="B10" s="24" t="s">
        <v>25</v>
      </c>
      <c r="C10" s="27">
        <v>5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</row>
    <row r="11" spans="1:75">
      <c r="A11" s="21">
        <v>8</v>
      </c>
      <c r="B11" s="3" t="s">
        <v>26</v>
      </c>
      <c r="C11" s="21">
        <v>5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</row>
    <row r="12" spans="1:75">
      <c r="A12" s="1">
        <v>9</v>
      </c>
      <c r="B12" s="24" t="s">
        <v>27</v>
      </c>
      <c r="C12" s="1">
        <v>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14">
        <v>1440729191.0893345</v>
      </c>
      <c r="BM12" s="14">
        <v>2314401491.6227865</v>
      </c>
      <c r="BN12" s="14">
        <v>2754845108.8531456</v>
      </c>
      <c r="BO12" s="14">
        <v>2658973977.945015</v>
      </c>
      <c r="BP12" s="14">
        <v>2984563857.6971397</v>
      </c>
      <c r="BQ12" s="14">
        <v>3083765892.6644506</v>
      </c>
      <c r="BR12" s="14">
        <v>3139619158.6549101</v>
      </c>
      <c r="BS12" s="14">
        <v>3321581053.7279758</v>
      </c>
      <c r="BT12" s="14">
        <v>3248341883.5147653</v>
      </c>
      <c r="BU12" s="14">
        <v>3254733184.6761322</v>
      </c>
      <c r="BV12" s="14">
        <v>3261994460.9206567</v>
      </c>
      <c r="BW12" s="14">
        <v>3102355062.0342402</v>
      </c>
    </row>
    <row r="13" spans="1:75">
      <c r="A13" s="21">
        <v>10</v>
      </c>
      <c r="B13" s="4" t="s">
        <v>28</v>
      </c>
      <c r="C13" s="21">
        <v>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15">
        <v>1440729191.0893345</v>
      </c>
      <c r="BM13" s="15">
        <v>2314401491.6227865</v>
      </c>
      <c r="BN13" s="15">
        <v>2754845108.8531456</v>
      </c>
      <c r="BO13" s="15">
        <v>2658973977.945015</v>
      </c>
      <c r="BP13" s="15">
        <v>2984563857.6971397</v>
      </c>
      <c r="BQ13" s="15">
        <v>3083765892.6644506</v>
      </c>
      <c r="BR13" s="15">
        <v>3139619158.6549101</v>
      </c>
      <c r="BS13" s="15">
        <v>3321581053.7279758</v>
      </c>
      <c r="BT13" s="15">
        <v>3248341883.5147653</v>
      </c>
      <c r="BU13" s="15">
        <v>3254733184.6761322</v>
      </c>
      <c r="BV13" s="15">
        <v>3261994460.9206567</v>
      </c>
      <c r="BW13" s="15">
        <v>3102355062.0342402</v>
      </c>
    </row>
    <row r="14" spans="1:75">
      <c r="A14" s="21">
        <v>11</v>
      </c>
      <c r="B14" s="3" t="s">
        <v>29</v>
      </c>
      <c r="C14" s="21">
        <v>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15">
        <v>5085051683.2684879</v>
      </c>
      <c r="BM14" s="15">
        <v>4093196981.7930779</v>
      </c>
      <c r="BN14" s="15">
        <v>4600864865.7930784</v>
      </c>
      <c r="BO14" s="15">
        <v>3968860918.7165751</v>
      </c>
      <c r="BP14" s="15">
        <v>5549018826.1701279</v>
      </c>
      <c r="BQ14" s="15">
        <v>4908280870.2522898</v>
      </c>
      <c r="BR14" s="15">
        <v>4272047108.8742466</v>
      </c>
      <c r="BS14" s="15">
        <v>4169382223.6283445</v>
      </c>
      <c r="BT14" s="15">
        <v>6178684666.8742466</v>
      </c>
      <c r="BU14" s="15">
        <v>4321867491.3478346</v>
      </c>
      <c r="BV14" s="15">
        <v>4663039255.763135</v>
      </c>
      <c r="BW14" s="15">
        <v>4745480246.724884</v>
      </c>
    </row>
    <row r="15" spans="1:75">
      <c r="A15" s="21">
        <v>12</v>
      </c>
      <c r="B15" s="3" t="s">
        <v>30</v>
      </c>
      <c r="C15" s="21">
        <v>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15">
        <v>9071413074.9872189</v>
      </c>
      <c r="BM15" s="15">
        <v>7516098440.3346109</v>
      </c>
      <c r="BN15" s="15">
        <v>7598269672.2063799</v>
      </c>
      <c r="BO15" s="15">
        <v>7688191220.7811832</v>
      </c>
      <c r="BP15" s="15">
        <v>7848430527.1788063</v>
      </c>
      <c r="BQ15" s="15">
        <v>8123855633.0161085</v>
      </c>
      <c r="BR15" s="15">
        <v>8707815450.0008049</v>
      </c>
      <c r="BS15" s="15">
        <v>8883369486.1761971</v>
      </c>
      <c r="BT15" s="15">
        <v>8212091289.1691723</v>
      </c>
      <c r="BU15" s="15">
        <v>7815232028.533287</v>
      </c>
      <c r="BV15" s="15">
        <v>7940180139.8882866</v>
      </c>
      <c r="BW15" s="15">
        <v>10136838744.549648</v>
      </c>
    </row>
    <row r="16" spans="1:75">
      <c r="A16" s="1">
        <v>13</v>
      </c>
      <c r="B16" s="24" t="s">
        <v>31</v>
      </c>
      <c r="C16" s="1">
        <v>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14">
        <f>BL9+BL10+BL11-BL12-BL14-BL15</f>
        <v>2334994374.7063351</v>
      </c>
      <c r="BM16" s="14">
        <f t="shared" ref="BM16:BW16" si="1">BM9+BM10+BM11-BM12-BM14-BM15</f>
        <v>-891478642.64979839</v>
      </c>
      <c r="BN16" s="14">
        <f t="shared" si="1"/>
        <v>6431823854.38412</v>
      </c>
      <c r="BO16" s="14">
        <f t="shared" si="1"/>
        <v>4168359670.0697536</v>
      </c>
      <c r="BP16" s="14">
        <f t="shared" si="1"/>
        <v>4346489854.7306442</v>
      </c>
      <c r="BQ16" s="14">
        <f t="shared" si="1"/>
        <v>3973340800.7311525</v>
      </c>
      <c r="BR16" s="14">
        <f t="shared" si="1"/>
        <v>9621503003.9794807</v>
      </c>
      <c r="BS16" s="14">
        <f t="shared" si="1"/>
        <v>8836135025.017807</v>
      </c>
      <c r="BT16" s="14">
        <f t="shared" si="1"/>
        <v>8070185356.4676476</v>
      </c>
      <c r="BU16" s="14">
        <f t="shared" si="1"/>
        <v>8765703474.6883202</v>
      </c>
      <c r="BV16" s="14">
        <f t="shared" si="1"/>
        <v>9336972412.2696571</v>
      </c>
      <c r="BW16" s="14">
        <f t="shared" si="1"/>
        <v>7047936259.3445015</v>
      </c>
    </row>
    <row r="17" spans="1:75">
      <c r="A17" s="21">
        <v>14</v>
      </c>
      <c r="B17" s="3" t="s">
        <v>32</v>
      </c>
      <c r="C17" s="21">
        <v>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</row>
    <row r="18" spans="1:75">
      <c r="A18" s="21">
        <v>15</v>
      </c>
      <c r="B18" s="3" t="s">
        <v>33</v>
      </c>
      <c r="C18" s="21">
        <v>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15">
        <v>433624999.99999994</v>
      </c>
      <c r="BM18" s="15">
        <v>433624999.99999994</v>
      </c>
      <c r="BN18" s="15">
        <v>433624999.99999994</v>
      </c>
      <c r="BO18" s="15">
        <v>433624999.99999994</v>
      </c>
      <c r="BP18" s="15">
        <v>433624999.99999994</v>
      </c>
      <c r="BQ18" s="15">
        <v>433624999.99999994</v>
      </c>
      <c r="BR18" s="15">
        <v>433624999.99999994</v>
      </c>
      <c r="BS18" s="15">
        <v>433624999.99999994</v>
      </c>
      <c r="BT18" s="15">
        <v>433624999.99999994</v>
      </c>
      <c r="BU18" s="15">
        <v>433624999.99999994</v>
      </c>
      <c r="BV18" s="15">
        <v>433624999.99999994</v>
      </c>
      <c r="BW18" s="15">
        <v>433624999.99999994</v>
      </c>
    </row>
    <row r="19" spans="1:75">
      <c r="A19" s="1">
        <v>16</v>
      </c>
      <c r="B19" s="24" t="s">
        <v>34</v>
      </c>
      <c r="C19" s="1">
        <v>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14">
        <f>BL17-BL18</f>
        <v>-433624999.99999994</v>
      </c>
      <c r="BM19" s="14">
        <f t="shared" ref="BM19:BW19" si="2">BM17-BM18</f>
        <v>-433624999.99999994</v>
      </c>
      <c r="BN19" s="14">
        <f t="shared" si="2"/>
        <v>-433624999.99999994</v>
      </c>
      <c r="BO19" s="14">
        <f t="shared" si="2"/>
        <v>-433624999.99999994</v>
      </c>
      <c r="BP19" s="14">
        <f t="shared" si="2"/>
        <v>-433624999.99999994</v>
      </c>
      <c r="BQ19" s="14">
        <f t="shared" si="2"/>
        <v>-433624999.99999994</v>
      </c>
      <c r="BR19" s="14">
        <f t="shared" si="2"/>
        <v>-433624999.99999994</v>
      </c>
      <c r="BS19" s="14">
        <f t="shared" si="2"/>
        <v>-433624999.99999994</v>
      </c>
      <c r="BT19" s="14">
        <f t="shared" si="2"/>
        <v>-433624999.99999994</v>
      </c>
      <c r="BU19" s="14">
        <f t="shared" si="2"/>
        <v>-433624999.99999994</v>
      </c>
      <c r="BV19" s="14">
        <f t="shared" si="2"/>
        <v>-433624999.99999994</v>
      </c>
      <c r="BW19" s="14">
        <f t="shared" si="2"/>
        <v>-433624999.99999994</v>
      </c>
    </row>
    <row r="20" spans="1:75">
      <c r="A20" s="25">
        <v>17</v>
      </c>
      <c r="B20" s="24" t="s">
        <v>35</v>
      </c>
      <c r="C20" s="25">
        <v>5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04">
        <f>BL16+BL19</f>
        <v>1901369374.7063351</v>
      </c>
      <c r="BM20" s="104">
        <f t="shared" ref="BM20:BW20" si="3">BM16+BM19</f>
        <v>-1325103642.6497984</v>
      </c>
      <c r="BN20" s="104">
        <f t="shared" si="3"/>
        <v>5998198854.38412</v>
      </c>
      <c r="BO20" s="104">
        <f t="shared" si="3"/>
        <v>3734734670.0697536</v>
      </c>
      <c r="BP20" s="104">
        <f t="shared" si="3"/>
        <v>3912864854.7306442</v>
      </c>
      <c r="BQ20" s="104">
        <f t="shared" si="3"/>
        <v>3539715800.7311525</v>
      </c>
      <c r="BR20" s="104">
        <f t="shared" si="3"/>
        <v>9187878003.9794807</v>
      </c>
      <c r="BS20" s="104">
        <f t="shared" si="3"/>
        <v>8402510025.017807</v>
      </c>
      <c r="BT20" s="104">
        <f t="shared" si="3"/>
        <v>7636560356.4676476</v>
      </c>
      <c r="BU20" s="104">
        <f t="shared" si="3"/>
        <v>8332078474.6883202</v>
      </c>
      <c r="BV20" s="104">
        <f t="shared" si="3"/>
        <v>8903347412.2696571</v>
      </c>
      <c r="BW20" s="104">
        <f t="shared" si="3"/>
        <v>6614311259.3445015</v>
      </c>
    </row>
    <row r="21" spans="1:75">
      <c r="A21" s="21">
        <v>18</v>
      </c>
      <c r="B21" s="5" t="s">
        <v>36</v>
      </c>
      <c r="C21" s="21">
        <v>5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106">
        <v>380273874.94127083</v>
      </c>
      <c r="BM21" s="15">
        <v>0</v>
      </c>
      <c r="BN21" s="15">
        <v>934619042.34686375</v>
      </c>
      <c r="BO21" s="15">
        <v>746946934.01394844</v>
      </c>
      <c r="BP21" s="15">
        <v>782572970.9461298</v>
      </c>
      <c r="BQ21" s="15">
        <v>707943160.14623451</v>
      </c>
      <c r="BR21" s="15">
        <v>1837575600.7959003</v>
      </c>
      <c r="BS21" s="15">
        <v>1680502005.0035582</v>
      </c>
      <c r="BT21" s="15">
        <v>1527312071.2935266</v>
      </c>
      <c r="BU21" s="15">
        <v>1666415694.9376678</v>
      </c>
      <c r="BV21" s="15">
        <v>1780669482.453928</v>
      </c>
      <c r="BW21" s="15">
        <v>1322862251.8688984</v>
      </c>
    </row>
    <row r="22" spans="1:75">
      <c r="A22" s="21">
        <v>19</v>
      </c>
      <c r="B22" s="3" t="s">
        <v>37</v>
      </c>
      <c r="C22" s="21">
        <v>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</row>
    <row r="23" spans="1:75">
      <c r="A23" s="27">
        <v>20</v>
      </c>
      <c r="B23" s="24" t="s">
        <v>38</v>
      </c>
      <c r="C23" s="27">
        <v>5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6">
        <f>BL20-BL21-BL22</f>
        <v>1521095499.7650642</v>
      </c>
      <c r="BM23" s="16">
        <f t="shared" ref="BM23:BW23" si="4">BM20-BM21-BM22</f>
        <v>-1325103642.6497984</v>
      </c>
      <c r="BN23" s="16">
        <f t="shared" si="4"/>
        <v>5063579812.0372562</v>
      </c>
      <c r="BO23" s="16">
        <f t="shared" si="4"/>
        <v>2987787736.0558052</v>
      </c>
      <c r="BP23" s="16">
        <f t="shared" si="4"/>
        <v>3130291883.7845144</v>
      </c>
      <c r="BQ23" s="16">
        <f t="shared" si="4"/>
        <v>2831772640.584918</v>
      </c>
      <c r="BR23" s="16">
        <f t="shared" si="4"/>
        <v>7350302403.1835804</v>
      </c>
      <c r="BS23" s="16">
        <f t="shared" si="4"/>
        <v>6722008020.0142488</v>
      </c>
      <c r="BT23" s="16">
        <f t="shared" si="4"/>
        <v>6109248285.1741209</v>
      </c>
      <c r="BU23" s="16">
        <f t="shared" si="4"/>
        <v>6665662779.7506523</v>
      </c>
      <c r="BV23" s="16">
        <f t="shared" si="4"/>
        <v>7122677929.8157291</v>
      </c>
      <c r="BW23" s="16">
        <f t="shared" si="4"/>
        <v>5291449007.4756031</v>
      </c>
    </row>
  </sheetData>
  <protectedRanges>
    <protectedRange sqref="D4:AY23 BN4:BW23" name="PL"/>
    <protectedRange sqref="AZ4:BK23 BM4:BM23 BL4:BL20 BL22:BL23" name="PL_1"/>
  </protectedRange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6C9C-E191-4B08-8E34-1B4B0CE52CC0}">
  <sheetPr>
    <tabColor theme="6" tint="0.79998168889431442"/>
  </sheetPr>
  <dimension ref="B3:W65"/>
  <sheetViews>
    <sheetView showGridLines="0" workbookViewId="0">
      <pane xSplit="6" ySplit="4" topLeftCell="G2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defaultColWidth="7.25" defaultRowHeight="12.5" outlineLevelRow="2" outlineLevelCol="1"/>
  <cols>
    <col min="1" max="1" width="3.25" style="111" customWidth="1"/>
    <col min="2" max="2" width="6.75" style="192" customWidth="1"/>
    <col min="3" max="3" width="40.75" style="108" customWidth="1"/>
    <col min="4" max="4" width="10.25" style="110" customWidth="1"/>
    <col min="5" max="5" width="10.08203125" style="110" customWidth="1"/>
    <col min="6" max="6" width="9.4140625" style="110" customWidth="1"/>
    <col min="7" max="18" width="7.58203125" style="110" customWidth="1" outlineLevel="1"/>
    <col min="19" max="19" width="11.58203125" style="110" customWidth="1"/>
    <col min="20" max="20" width="13.25" style="111" bestFit="1" customWidth="1"/>
    <col min="21" max="21" width="13.4140625" style="111" bestFit="1" customWidth="1"/>
    <col min="22" max="16384" width="7.25" style="111"/>
  </cols>
  <sheetData>
    <row r="3" spans="2:19" s="123" customFormat="1" ht="15.5">
      <c r="B3" s="116" t="s">
        <v>162</v>
      </c>
      <c r="C3" s="117"/>
      <c r="D3" s="193"/>
      <c r="E3" s="193"/>
      <c r="F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4" t="s">
        <v>79</v>
      </c>
    </row>
    <row r="4" spans="2:19" s="127" customFormat="1" ht="26">
      <c r="B4" s="195" t="s">
        <v>80</v>
      </c>
      <c r="C4" s="195" t="s">
        <v>81</v>
      </c>
      <c r="D4" s="196" t="s">
        <v>163</v>
      </c>
      <c r="E4" s="196" t="s">
        <v>82</v>
      </c>
      <c r="F4" s="196" t="s">
        <v>164</v>
      </c>
      <c r="G4" s="125" t="s">
        <v>76</v>
      </c>
      <c r="H4" s="125" t="s">
        <v>77</v>
      </c>
      <c r="I4" s="125" t="s">
        <v>84</v>
      </c>
      <c r="J4" s="125" t="s">
        <v>85</v>
      </c>
      <c r="K4" s="125" t="s">
        <v>86</v>
      </c>
      <c r="L4" s="125" t="s">
        <v>87</v>
      </c>
      <c r="M4" s="125" t="s">
        <v>88</v>
      </c>
      <c r="N4" s="125" t="s">
        <v>89</v>
      </c>
      <c r="O4" s="125" t="s">
        <v>90</v>
      </c>
      <c r="P4" s="125" t="s">
        <v>91</v>
      </c>
      <c r="Q4" s="125" t="s">
        <v>92</v>
      </c>
      <c r="R4" s="125" t="s">
        <v>93</v>
      </c>
      <c r="S4" s="197" t="s">
        <v>165</v>
      </c>
    </row>
    <row r="5" spans="2:19" s="132" customFormat="1" ht="13">
      <c r="B5" s="198"/>
      <c r="C5" s="199" t="s">
        <v>166</v>
      </c>
      <c r="D5" s="200">
        <v>3173</v>
      </c>
      <c r="E5" s="200">
        <v>4044</v>
      </c>
      <c r="F5" s="201">
        <v>6481062</v>
      </c>
      <c r="G5" s="201">
        <v>750000</v>
      </c>
      <c r="H5" s="201">
        <v>450000</v>
      </c>
      <c r="I5" s="201">
        <v>1000000</v>
      </c>
      <c r="J5" s="201">
        <v>1200000</v>
      </c>
      <c r="K5" s="201">
        <v>1250000</v>
      </c>
      <c r="L5" s="201">
        <v>1250000</v>
      </c>
      <c r="M5" s="201">
        <v>1300000</v>
      </c>
      <c r="N5" s="201">
        <v>1300000</v>
      </c>
      <c r="O5" s="201">
        <v>1250000</v>
      </c>
      <c r="P5" s="201">
        <v>1300000</v>
      </c>
      <c r="Q5" s="201">
        <v>1250000</v>
      </c>
      <c r="R5" s="201">
        <v>1300000</v>
      </c>
      <c r="S5" s="201">
        <v>13600000</v>
      </c>
    </row>
    <row r="6" spans="2:19" s="132" customFormat="1" ht="13">
      <c r="B6" s="198" t="s">
        <v>12</v>
      </c>
      <c r="C6" s="199" t="s">
        <v>95</v>
      </c>
      <c r="D6" s="201">
        <v>3125610.5</v>
      </c>
      <c r="E6" s="201">
        <v>4267466</v>
      </c>
      <c r="F6" s="201">
        <v>5702390</v>
      </c>
      <c r="G6" s="201">
        <v>667500</v>
      </c>
      <c r="H6" s="201">
        <v>400500</v>
      </c>
      <c r="I6" s="201">
        <v>884000</v>
      </c>
      <c r="J6" s="201">
        <v>984348</v>
      </c>
      <c r="K6" s="201">
        <v>1025362.5</v>
      </c>
      <c r="L6" s="201">
        <v>1025362.5</v>
      </c>
      <c r="M6" s="201">
        <v>1066377</v>
      </c>
      <c r="N6" s="201">
        <v>1067144</v>
      </c>
      <c r="O6" s="201">
        <v>1026100</v>
      </c>
      <c r="P6" s="201">
        <v>1066546</v>
      </c>
      <c r="Q6" s="201">
        <v>1025525</v>
      </c>
      <c r="R6" s="201">
        <v>1066377</v>
      </c>
      <c r="S6" s="201">
        <v>11305142</v>
      </c>
    </row>
    <row r="7" spans="2:19" s="137" customFormat="1" outlineLevel="1">
      <c r="B7" s="202" t="s">
        <v>96</v>
      </c>
      <c r="C7" s="203" t="s">
        <v>97</v>
      </c>
      <c r="D7" s="204">
        <v>2879091.5</v>
      </c>
      <c r="E7" s="204">
        <v>3867466</v>
      </c>
      <c r="F7" s="204">
        <v>5702390</v>
      </c>
      <c r="G7" s="204">
        <v>667500</v>
      </c>
      <c r="H7" s="204">
        <v>400500</v>
      </c>
      <c r="I7" s="204">
        <v>884000</v>
      </c>
      <c r="J7" s="204">
        <v>33900</v>
      </c>
      <c r="K7" s="204">
        <v>35312.5</v>
      </c>
      <c r="L7" s="204">
        <v>35312.5</v>
      </c>
      <c r="M7" s="204">
        <v>36725</v>
      </c>
      <c r="N7" s="204">
        <v>36400</v>
      </c>
      <c r="O7" s="204">
        <v>35000</v>
      </c>
      <c r="P7" s="204">
        <v>36725</v>
      </c>
      <c r="Q7" s="204">
        <v>35312.5</v>
      </c>
      <c r="R7" s="204">
        <v>36725</v>
      </c>
      <c r="S7" s="204">
        <v>2273412.5</v>
      </c>
    </row>
    <row r="8" spans="2:19" s="137" customFormat="1" outlineLevel="1">
      <c r="B8" s="202" t="s">
        <v>98</v>
      </c>
      <c r="C8" s="203" t="s">
        <v>15</v>
      </c>
      <c r="D8" s="204">
        <v>0</v>
      </c>
      <c r="E8" s="204">
        <v>400000</v>
      </c>
      <c r="F8" s="204">
        <v>0</v>
      </c>
      <c r="G8" s="204">
        <v>0</v>
      </c>
      <c r="H8" s="204">
        <v>0</v>
      </c>
      <c r="I8" s="204">
        <v>0</v>
      </c>
      <c r="J8" s="204">
        <v>950448</v>
      </c>
      <c r="K8" s="204">
        <v>990050</v>
      </c>
      <c r="L8" s="204">
        <v>990050</v>
      </c>
      <c r="M8" s="204">
        <v>1029652</v>
      </c>
      <c r="N8" s="204">
        <v>1030744</v>
      </c>
      <c r="O8" s="204">
        <v>991100</v>
      </c>
      <c r="P8" s="204">
        <v>1029821</v>
      </c>
      <c r="Q8" s="204">
        <v>990212.5</v>
      </c>
      <c r="R8" s="204">
        <v>1029652</v>
      </c>
      <c r="S8" s="204">
        <v>9031729.5</v>
      </c>
    </row>
    <row r="9" spans="2:19" s="137" customFormat="1" outlineLevel="1">
      <c r="B9" s="202" t="s">
        <v>99</v>
      </c>
      <c r="C9" s="203" t="s">
        <v>100</v>
      </c>
      <c r="D9" s="204">
        <v>246519</v>
      </c>
      <c r="E9" s="204">
        <v>0</v>
      </c>
      <c r="F9" s="204">
        <v>0</v>
      </c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>
        <v>0</v>
      </c>
    </row>
    <row r="10" spans="2:19" s="126" customFormat="1" ht="13">
      <c r="B10" s="205">
        <v>2</v>
      </c>
      <c r="C10" s="206" t="s">
        <v>102</v>
      </c>
      <c r="D10" s="207">
        <v>44482013609</v>
      </c>
      <c r="E10" s="207">
        <v>63950445550</v>
      </c>
      <c r="F10" s="207">
        <v>96184706621</v>
      </c>
      <c r="G10" s="207">
        <v>9420187500</v>
      </c>
      <c r="H10" s="207">
        <v>5652112500</v>
      </c>
      <c r="I10" s="207">
        <v>12443100000</v>
      </c>
      <c r="J10" s="207">
        <v>15779640000</v>
      </c>
      <c r="K10" s="207">
        <v>16437125000</v>
      </c>
      <c r="L10" s="207">
        <v>16437125000</v>
      </c>
      <c r="M10" s="207">
        <v>17094610000</v>
      </c>
      <c r="N10" s="207">
        <v>17118140000</v>
      </c>
      <c r="O10" s="207">
        <v>16459750000</v>
      </c>
      <c r="P10" s="207">
        <v>17105172500</v>
      </c>
      <c r="Q10" s="207">
        <v>16447281250</v>
      </c>
      <c r="R10" s="207">
        <v>17094610000</v>
      </c>
      <c r="S10" s="207">
        <v>177488853750</v>
      </c>
    </row>
    <row r="11" spans="2:19" outlineLevel="1">
      <c r="B11" s="208" t="s">
        <v>103</v>
      </c>
      <c r="C11" s="203" t="s">
        <v>97</v>
      </c>
      <c r="D11" s="209">
        <v>39992361315</v>
      </c>
      <c r="E11" s="209">
        <v>58441845550</v>
      </c>
      <c r="F11" s="209">
        <v>96184706621</v>
      </c>
      <c r="G11" s="209">
        <v>9420187500</v>
      </c>
      <c r="H11" s="209">
        <v>5652112500</v>
      </c>
      <c r="I11" s="209">
        <v>12443100000</v>
      </c>
      <c r="J11" s="209">
        <v>352980000</v>
      </c>
      <c r="K11" s="209">
        <v>367687500</v>
      </c>
      <c r="L11" s="209">
        <v>367687500</v>
      </c>
      <c r="M11" s="209">
        <v>382395000</v>
      </c>
      <c r="N11" s="209">
        <v>381030000</v>
      </c>
      <c r="O11" s="209">
        <v>366375000</v>
      </c>
      <c r="P11" s="209">
        <v>382395000</v>
      </c>
      <c r="Q11" s="209">
        <v>367687500</v>
      </c>
      <c r="R11" s="209">
        <v>382395000</v>
      </c>
      <c r="S11" s="209">
        <v>30866032500</v>
      </c>
    </row>
    <row r="12" spans="2:19" outlineLevel="1">
      <c r="B12" s="208" t="s">
        <v>104</v>
      </c>
      <c r="C12" s="203" t="s">
        <v>15</v>
      </c>
      <c r="D12" s="209">
        <v>0</v>
      </c>
      <c r="E12" s="209">
        <v>5508600000</v>
      </c>
      <c r="F12" s="209">
        <v>0</v>
      </c>
      <c r="G12" s="209">
        <v>0</v>
      </c>
      <c r="H12" s="209">
        <v>0</v>
      </c>
      <c r="I12" s="209">
        <v>0</v>
      </c>
      <c r="J12" s="209">
        <v>15426660000</v>
      </c>
      <c r="K12" s="209">
        <v>16069437500</v>
      </c>
      <c r="L12" s="209">
        <v>16069437500</v>
      </c>
      <c r="M12" s="209">
        <v>16712215000</v>
      </c>
      <c r="N12" s="209">
        <v>16737110000</v>
      </c>
      <c r="O12" s="209">
        <v>16093375000</v>
      </c>
      <c r="P12" s="209">
        <v>16722777500</v>
      </c>
      <c r="Q12" s="209">
        <v>16079593750</v>
      </c>
      <c r="R12" s="209">
        <v>16712215000</v>
      </c>
      <c r="S12" s="209">
        <v>146622821250</v>
      </c>
    </row>
    <row r="13" spans="2:19" outlineLevel="1">
      <c r="B13" s="208" t="s">
        <v>105</v>
      </c>
      <c r="C13" s="203" t="s">
        <v>100</v>
      </c>
      <c r="D13" s="209">
        <v>4489652294</v>
      </c>
      <c r="E13" s="209">
        <v>0</v>
      </c>
      <c r="F13" s="209">
        <v>0</v>
      </c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>
        <v>0</v>
      </c>
    </row>
    <row r="14" spans="2:19" outlineLevel="1">
      <c r="B14" s="208" t="s">
        <v>106</v>
      </c>
      <c r="C14" s="210" t="s">
        <v>107</v>
      </c>
      <c r="D14" s="209">
        <v>0</v>
      </c>
      <c r="E14" s="209">
        <v>0</v>
      </c>
      <c r="F14" s="209">
        <v>0</v>
      </c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>
        <v>0</v>
      </c>
    </row>
    <row r="15" spans="2:19" s="126" customFormat="1" ht="13">
      <c r="B15" s="211">
        <v>3</v>
      </c>
      <c r="C15" s="212" t="s">
        <v>108</v>
      </c>
      <c r="D15" s="213">
        <v>43469013386.523079</v>
      </c>
      <c r="E15" s="213">
        <v>60363389060</v>
      </c>
      <c r="F15" s="213">
        <v>85223230750</v>
      </c>
      <c r="G15" s="213">
        <v>8260253901.3822641</v>
      </c>
      <c r="H15" s="213">
        <v>4973930722.7993584</v>
      </c>
      <c r="I15" s="213">
        <v>11276461013.510792</v>
      </c>
      <c r="J15" s="213">
        <v>14211787683.364893</v>
      </c>
      <c r="K15" s="213">
        <v>14870271479.846682</v>
      </c>
      <c r="L15" s="213">
        <v>14884925465.846682</v>
      </c>
      <c r="M15" s="213">
        <v>15446931587.147217</v>
      </c>
      <c r="N15" s="213">
        <v>15405636308.107109</v>
      </c>
      <c r="O15" s="213">
        <v>14887893470.038887</v>
      </c>
      <c r="P15" s="213">
        <v>15434024040.017101</v>
      </c>
      <c r="Q15" s="213">
        <v>14883703166.683109</v>
      </c>
      <c r="R15" s="213">
        <v>15446059337.147217</v>
      </c>
      <c r="S15" s="213">
        <v>159981878175.89133</v>
      </c>
    </row>
    <row r="16" spans="2:19" s="126" customFormat="1" ht="13">
      <c r="B16" s="214" t="s">
        <v>167</v>
      </c>
      <c r="C16" s="215" t="s">
        <v>109</v>
      </c>
      <c r="D16" s="213">
        <v>42103863386.523079</v>
      </c>
      <c r="E16" s="213">
        <v>59322702660</v>
      </c>
      <c r="F16" s="213">
        <v>83097930750</v>
      </c>
      <c r="G16" s="213">
        <v>7993253901.3822641</v>
      </c>
      <c r="H16" s="213">
        <v>4813730722.7993584</v>
      </c>
      <c r="I16" s="213">
        <v>10922861013.510792</v>
      </c>
      <c r="J16" s="213">
        <v>13894084323.364893</v>
      </c>
      <c r="K16" s="213">
        <v>14539330479.846682</v>
      </c>
      <c r="L16" s="213">
        <v>14553984465.846682</v>
      </c>
      <c r="M16" s="213">
        <v>15102752947.147217</v>
      </c>
      <c r="N16" s="213">
        <v>15061238228.107109</v>
      </c>
      <c r="O16" s="213">
        <v>14556741470.038887</v>
      </c>
      <c r="P16" s="213">
        <v>15089791320.017101</v>
      </c>
      <c r="Q16" s="213">
        <v>14552710166.683109</v>
      </c>
      <c r="R16" s="213">
        <v>15101880697.147217</v>
      </c>
      <c r="S16" s="213">
        <v>156182359735.89133</v>
      </c>
    </row>
    <row r="17" spans="2:19" outlineLevel="1">
      <c r="B17" s="216" t="s">
        <v>110</v>
      </c>
      <c r="C17" s="217" t="s">
        <v>111</v>
      </c>
      <c r="D17" s="209">
        <v>38732631964</v>
      </c>
      <c r="E17" s="209">
        <v>56030510590</v>
      </c>
      <c r="F17" s="209">
        <v>78338746231</v>
      </c>
      <c r="G17" s="209">
        <v>7275000000</v>
      </c>
      <c r="H17" s="209">
        <v>4275000000</v>
      </c>
      <c r="I17" s="209">
        <v>10000000000</v>
      </c>
      <c r="J17" s="209">
        <v>12000000000</v>
      </c>
      <c r="K17" s="209">
        <v>12500000000</v>
      </c>
      <c r="L17" s="209">
        <v>12500000000</v>
      </c>
      <c r="M17" s="209">
        <v>13000000000</v>
      </c>
      <c r="N17" s="209">
        <v>13000000000</v>
      </c>
      <c r="O17" s="209">
        <v>12500000000</v>
      </c>
      <c r="P17" s="209">
        <v>13000000000</v>
      </c>
      <c r="Q17" s="209">
        <v>12500000000</v>
      </c>
      <c r="R17" s="209">
        <v>13000000000</v>
      </c>
      <c r="S17" s="209">
        <v>135550000000</v>
      </c>
    </row>
    <row r="18" spans="2:19" s="157" customFormat="1" ht="13" outlineLevel="2">
      <c r="B18" s="218" t="s">
        <v>112</v>
      </c>
      <c r="C18" s="219" t="s">
        <v>113</v>
      </c>
      <c r="D18" s="220">
        <v>2260066610</v>
      </c>
      <c r="E18" s="220">
        <v>4917236579</v>
      </c>
      <c r="F18" s="220">
        <v>8584125746</v>
      </c>
      <c r="G18" s="220">
        <v>800250000</v>
      </c>
      <c r="H18" s="220">
        <v>470250000</v>
      </c>
      <c r="I18" s="220">
        <v>1160000000</v>
      </c>
      <c r="J18" s="220">
        <v>1398000000</v>
      </c>
      <c r="K18" s="220">
        <v>1456250000</v>
      </c>
      <c r="L18" s="220">
        <v>1456250000</v>
      </c>
      <c r="M18" s="220">
        <v>1514500000</v>
      </c>
      <c r="N18" s="220">
        <v>1508000000</v>
      </c>
      <c r="O18" s="220">
        <v>1450000000</v>
      </c>
      <c r="P18" s="220">
        <v>1514500000</v>
      </c>
      <c r="Q18" s="220">
        <v>1456250000</v>
      </c>
      <c r="R18" s="220">
        <v>1514500000</v>
      </c>
      <c r="S18" s="220">
        <v>15698750000</v>
      </c>
    </row>
    <row r="19" spans="2:19" s="157" customFormat="1" ht="13" outlineLevel="2">
      <c r="B19" s="221"/>
      <c r="C19" s="219" t="s">
        <v>114</v>
      </c>
      <c r="D19" s="220"/>
      <c r="E19" s="220"/>
      <c r="F19" s="220"/>
      <c r="G19" s="220">
        <v>0</v>
      </c>
      <c r="H19" s="220">
        <v>0</v>
      </c>
      <c r="I19" s="220">
        <v>0</v>
      </c>
      <c r="J19" s="220">
        <v>758520000</v>
      </c>
      <c r="K19" s="220">
        <v>790125000</v>
      </c>
      <c r="L19" s="220">
        <v>790125000</v>
      </c>
      <c r="M19" s="220">
        <v>821730000</v>
      </c>
      <c r="N19" s="220">
        <v>820560000</v>
      </c>
      <c r="O19" s="220">
        <v>789000000</v>
      </c>
      <c r="P19" s="220">
        <v>820040000</v>
      </c>
      <c r="Q19" s="220">
        <v>788500000</v>
      </c>
      <c r="R19" s="220">
        <v>821730000</v>
      </c>
      <c r="S19" s="220">
        <v>7200330000</v>
      </c>
    </row>
    <row r="20" spans="2:19" s="163" customFormat="1" ht="13" outlineLevel="1">
      <c r="B20" s="222" t="s">
        <v>115</v>
      </c>
      <c r="C20" s="223" t="s">
        <v>116</v>
      </c>
      <c r="D20" s="224">
        <v>0.87074817036077856</v>
      </c>
      <c r="E20" s="224">
        <v>0.87615512461429601</v>
      </c>
      <c r="F20" s="224">
        <v>0.81446156029441286</v>
      </c>
      <c r="G20" s="224">
        <v>0.77227762186262217</v>
      </c>
      <c r="H20" s="224">
        <v>0.75635437192731036</v>
      </c>
      <c r="I20" s="224">
        <v>0.8036582523647644</v>
      </c>
      <c r="J20" s="224">
        <v>0.76047362297238719</v>
      </c>
      <c r="K20" s="224">
        <v>0.76047362297238719</v>
      </c>
      <c r="L20" s="224">
        <v>0.76047362297238719</v>
      </c>
      <c r="M20" s="224">
        <v>0.76047362297238719</v>
      </c>
      <c r="N20" s="224">
        <v>0.75942830237397285</v>
      </c>
      <c r="O20" s="224">
        <v>0.75942830237397285</v>
      </c>
      <c r="P20" s="224">
        <v>0.76000402802134848</v>
      </c>
      <c r="Q20" s="224">
        <v>0.76000402802134848</v>
      </c>
      <c r="R20" s="224">
        <v>0.76047362297238719</v>
      </c>
      <c r="S20" s="224">
        <v>0.76370992958762063</v>
      </c>
    </row>
    <row r="21" spans="2:19" ht="13" outlineLevel="1">
      <c r="B21" s="218" t="s">
        <v>117</v>
      </c>
      <c r="C21" s="217" t="s">
        <v>168</v>
      </c>
      <c r="D21" s="209">
        <v>638275817</v>
      </c>
      <c r="E21" s="209">
        <v>511506981</v>
      </c>
      <c r="F21" s="209">
        <v>995011960</v>
      </c>
      <c r="G21" s="209">
        <v>129058909.40044592</v>
      </c>
      <c r="H21" s="209">
        <v>106916439.39026757</v>
      </c>
      <c r="I21" s="209">
        <v>208945509.32208866</v>
      </c>
      <c r="J21" s="209">
        <v>725503672.80976701</v>
      </c>
      <c r="K21" s="209">
        <v>858790086.44898224</v>
      </c>
      <c r="L21" s="209">
        <v>858790086.44898224</v>
      </c>
      <c r="M21" s="209">
        <v>892821689.90694165</v>
      </c>
      <c r="N21" s="209">
        <v>893180131.36621368</v>
      </c>
      <c r="O21" s="209">
        <v>859134741.69828224</v>
      </c>
      <c r="P21" s="209">
        <v>892465834.73584342</v>
      </c>
      <c r="Q21" s="209">
        <v>858447918.01523399</v>
      </c>
      <c r="R21" s="209">
        <v>892821689.90694165</v>
      </c>
      <c r="S21" s="209">
        <v>8176876709.4499903</v>
      </c>
    </row>
    <row r="22" spans="2:19" ht="13" outlineLevel="1">
      <c r="B22" s="218" t="s">
        <v>119</v>
      </c>
      <c r="C22" s="217" t="s">
        <v>120</v>
      </c>
      <c r="D22" s="209">
        <v>160219300</v>
      </c>
      <c r="E22" s="209">
        <v>225768346</v>
      </c>
      <c r="F22" s="209">
        <v>424175130</v>
      </c>
      <c r="G22" s="209">
        <v>114415568.18181816</v>
      </c>
      <c r="H22" s="209">
        <v>68649340.909090891</v>
      </c>
      <c r="I22" s="209">
        <v>172928086.85537028</v>
      </c>
      <c r="J22" s="209">
        <v>446729492.22179139</v>
      </c>
      <c r="K22" s="209">
        <v>465343221.06436598</v>
      </c>
      <c r="L22" s="209">
        <v>465343221.06436598</v>
      </c>
      <c r="M22" s="209">
        <v>483956949.90694064</v>
      </c>
      <c r="N22" s="209">
        <v>484359080.40756238</v>
      </c>
      <c r="O22" s="209">
        <v>465729885.00727153</v>
      </c>
      <c r="P22" s="209">
        <v>483999505.94792342</v>
      </c>
      <c r="Q22" s="209">
        <v>465384140.33454174</v>
      </c>
      <c r="R22" s="209">
        <v>483956949.90694064</v>
      </c>
      <c r="S22" s="209">
        <v>4600795441.8079834</v>
      </c>
    </row>
    <row r="23" spans="2:19" ht="13" outlineLevel="1">
      <c r="B23" s="218" t="s">
        <v>121</v>
      </c>
      <c r="C23" s="217" t="s">
        <v>122</v>
      </c>
      <c r="D23" s="209">
        <v>2572736305.5230765</v>
      </c>
      <c r="E23" s="209">
        <v>2554916743</v>
      </c>
      <c r="F23" s="209">
        <v>3339997429</v>
      </c>
      <c r="G23" s="209">
        <v>474779423.80000001</v>
      </c>
      <c r="H23" s="209">
        <v>363164942.5</v>
      </c>
      <c r="I23" s="209">
        <v>540987417.33333337</v>
      </c>
      <c r="J23" s="209">
        <v>721851158.33333337</v>
      </c>
      <c r="K23" s="209">
        <v>715197172.33333337</v>
      </c>
      <c r="L23" s="209">
        <v>729851158.33333337</v>
      </c>
      <c r="M23" s="209">
        <v>725974307.33333337</v>
      </c>
      <c r="N23" s="209">
        <v>683699016.33333337</v>
      </c>
      <c r="O23" s="209">
        <v>731876843.33333337</v>
      </c>
      <c r="P23" s="209">
        <v>713325979.33333337</v>
      </c>
      <c r="Q23" s="209">
        <v>728878108.33333337</v>
      </c>
      <c r="R23" s="209">
        <v>725102057.33333337</v>
      </c>
      <c r="S23" s="209">
        <v>7854687584.6333323</v>
      </c>
    </row>
    <row r="24" spans="2:19" s="126" customFormat="1" ht="13">
      <c r="B24" s="214" t="s">
        <v>169</v>
      </c>
      <c r="C24" s="215" t="s">
        <v>123</v>
      </c>
      <c r="D24" s="213">
        <v>1365150000</v>
      </c>
      <c r="E24" s="213">
        <v>1040686400</v>
      </c>
      <c r="F24" s="213">
        <v>2125300000</v>
      </c>
      <c r="G24" s="213">
        <v>267000000</v>
      </c>
      <c r="H24" s="213">
        <v>160200000</v>
      </c>
      <c r="I24" s="213">
        <v>353600000</v>
      </c>
      <c r="J24" s="213">
        <v>317703360</v>
      </c>
      <c r="K24" s="213">
        <v>330941000</v>
      </c>
      <c r="L24" s="213">
        <v>330941000</v>
      </c>
      <c r="M24" s="213">
        <v>344178640</v>
      </c>
      <c r="N24" s="213">
        <v>344398080</v>
      </c>
      <c r="O24" s="213">
        <v>331152000</v>
      </c>
      <c r="P24" s="213">
        <v>344232720</v>
      </c>
      <c r="Q24" s="213">
        <v>330993000</v>
      </c>
      <c r="R24" s="213">
        <v>344178640</v>
      </c>
      <c r="S24" s="213">
        <v>3799518440</v>
      </c>
    </row>
    <row r="25" spans="2:19" outlineLevel="1" collapsed="1">
      <c r="B25" s="216"/>
      <c r="C25" s="217" t="s">
        <v>124</v>
      </c>
      <c r="D25" s="209">
        <v>1365150000</v>
      </c>
      <c r="E25" s="209">
        <v>1040686400</v>
      </c>
      <c r="F25" s="209">
        <v>2125300000</v>
      </c>
      <c r="G25" s="209">
        <v>267000000</v>
      </c>
      <c r="H25" s="209">
        <v>160200000</v>
      </c>
      <c r="I25" s="209">
        <v>353600000</v>
      </c>
      <c r="J25" s="209">
        <v>317703360</v>
      </c>
      <c r="K25" s="209">
        <v>330941000</v>
      </c>
      <c r="L25" s="209">
        <v>330941000</v>
      </c>
      <c r="M25" s="209">
        <v>344178640</v>
      </c>
      <c r="N25" s="209">
        <v>344398080</v>
      </c>
      <c r="O25" s="209">
        <v>331152000</v>
      </c>
      <c r="P25" s="209">
        <v>344232720</v>
      </c>
      <c r="Q25" s="209">
        <v>330993000</v>
      </c>
      <c r="R25" s="209">
        <v>344178640</v>
      </c>
      <c r="S25" s="209">
        <v>3799518440</v>
      </c>
    </row>
    <row r="26" spans="2:19" s="126" customFormat="1" ht="13">
      <c r="B26" s="205">
        <v>4</v>
      </c>
      <c r="C26" s="206" t="s">
        <v>125</v>
      </c>
      <c r="D26" s="207">
        <v>1013000222.4769211</v>
      </c>
      <c r="E26" s="207">
        <v>3587056490</v>
      </c>
      <c r="F26" s="207">
        <v>10961475871</v>
      </c>
      <c r="G26" s="207">
        <v>1159933598.6177359</v>
      </c>
      <c r="H26" s="207">
        <v>678181777.20064163</v>
      </c>
      <c r="I26" s="207">
        <v>1166638986.4892082</v>
      </c>
      <c r="J26" s="207">
        <v>1567852316.635107</v>
      </c>
      <c r="K26" s="207">
        <v>1566853520.1533184</v>
      </c>
      <c r="L26" s="207">
        <v>1552199534.1533184</v>
      </c>
      <c r="M26" s="207">
        <v>1647678412.8527832</v>
      </c>
      <c r="N26" s="207">
        <v>1712503691.8928909</v>
      </c>
      <c r="O26" s="207">
        <v>1571856529.961113</v>
      </c>
      <c r="P26" s="207">
        <v>1671148459.9828987</v>
      </c>
      <c r="Q26" s="207">
        <v>1563578083.3168907</v>
      </c>
      <c r="R26" s="207">
        <v>1648550662.8527832</v>
      </c>
      <c r="S26" s="207">
        <v>17506975574.108688</v>
      </c>
    </row>
    <row r="27" spans="2:19" s="163" customFormat="1" ht="13">
      <c r="B27" s="225" t="s">
        <v>126</v>
      </c>
      <c r="C27" s="223" t="s">
        <v>127</v>
      </c>
      <c r="D27" s="224">
        <v>2.2773254632338896E-2</v>
      </c>
      <c r="E27" s="224">
        <v>5.609118840611424E-2</v>
      </c>
      <c r="F27" s="224">
        <v>0.11396277283655801</v>
      </c>
      <c r="G27" s="224">
        <v>0.12313275066103894</v>
      </c>
      <c r="H27" s="224">
        <v>0.11998731044377507</v>
      </c>
      <c r="I27" s="224">
        <v>9.3757904902251707E-2</v>
      </c>
      <c r="J27" s="224">
        <v>9.9359194293095851E-2</v>
      </c>
      <c r="K27" s="224">
        <v>9.5324061851042585E-2</v>
      </c>
      <c r="L27" s="224">
        <v>9.4432544265090054E-2</v>
      </c>
      <c r="M27" s="224">
        <v>9.6385844008888374E-2</v>
      </c>
      <c r="N27" s="224">
        <v>0.10004029011872148</v>
      </c>
      <c r="O27" s="224">
        <v>9.5496986889904947E-2</v>
      </c>
      <c r="P27" s="224">
        <v>9.7698427769898177E-2</v>
      </c>
      <c r="Q27" s="224">
        <v>9.5066051315738934E-2</v>
      </c>
      <c r="R27" s="224">
        <v>9.6436868864091266E-2</v>
      </c>
      <c r="S27" s="224">
        <v>9.8637042294317523E-2</v>
      </c>
    </row>
    <row r="28" spans="2:19" s="126" customFormat="1" ht="13">
      <c r="B28" s="226">
        <v>5</v>
      </c>
      <c r="C28" s="215" t="s">
        <v>128</v>
      </c>
      <c r="D28" s="213">
        <v>509830218.47692376</v>
      </c>
      <c r="E28" s="213">
        <v>1164487071</v>
      </c>
      <c r="F28" s="213">
        <v>1910944639</v>
      </c>
      <c r="G28" s="213">
        <v>295220056.16666669</v>
      </c>
      <c r="H28" s="213">
        <v>231965518.82600001</v>
      </c>
      <c r="I28" s="213">
        <v>403904554.43333328</v>
      </c>
      <c r="J28" s="213">
        <v>833614266.88888884</v>
      </c>
      <c r="K28" s="213">
        <v>876294981.55555558</v>
      </c>
      <c r="L28" s="213">
        <v>896614561.88888884</v>
      </c>
      <c r="M28" s="213">
        <v>917048119.11111093</v>
      </c>
      <c r="N28" s="213">
        <v>918878932.11111093</v>
      </c>
      <c r="O28" s="213">
        <v>933458797.77777767</v>
      </c>
      <c r="P28" s="213">
        <v>911769290.77777767</v>
      </c>
      <c r="Q28" s="213">
        <v>930964934.77777767</v>
      </c>
      <c r="R28" s="213">
        <v>913767684.77777767</v>
      </c>
      <c r="S28" s="213">
        <v>9063501699.0926666</v>
      </c>
    </row>
    <row r="29" spans="2:19" outlineLevel="1" collapsed="1">
      <c r="B29" s="216" t="s">
        <v>170</v>
      </c>
      <c r="C29" s="210" t="s">
        <v>129</v>
      </c>
      <c r="D29" s="209">
        <v>398568332.47692329</v>
      </c>
      <c r="E29" s="209">
        <v>530657837</v>
      </c>
      <c r="F29" s="209">
        <v>1201415069</v>
      </c>
      <c r="G29" s="209">
        <v>193199593.5</v>
      </c>
      <c r="H29" s="209">
        <v>114974230.82600001</v>
      </c>
      <c r="I29" s="209">
        <v>207945144.09999999</v>
      </c>
      <c r="J29" s="209">
        <v>378400505</v>
      </c>
      <c r="K29" s="209">
        <v>365430740</v>
      </c>
      <c r="L29" s="209">
        <v>378400505</v>
      </c>
      <c r="M29" s="209">
        <v>368841683</v>
      </c>
      <c r="N29" s="209">
        <v>368646707</v>
      </c>
      <c r="O29" s="209">
        <v>380383257</v>
      </c>
      <c r="P29" s="209">
        <v>359087027</v>
      </c>
      <c r="Q29" s="209">
        <v>378092671</v>
      </c>
      <c r="R29" s="209">
        <v>368589849</v>
      </c>
      <c r="S29" s="209">
        <v>3861991912.4260001</v>
      </c>
    </row>
    <row r="30" spans="2:19" outlineLevel="1">
      <c r="B30" s="216" t="s">
        <v>171</v>
      </c>
      <c r="C30" s="210" t="s">
        <v>172</v>
      </c>
      <c r="D30" s="209"/>
      <c r="E30" s="209"/>
      <c r="F30" s="209"/>
      <c r="G30" s="209">
        <v>0</v>
      </c>
      <c r="H30" s="209">
        <v>0</v>
      </c>
      <c r="I30" s="209">
        <v>0</v>
      </c>
      <c r="J30" s="209">
        <v>192601388.8888889</v>
      </c>
      <c r="K30" s="209">
        <v>192601388.8888889</v>
      </c>
      <c r="L30" s="209">
        <v>192601388.8888889</v>
      </c>
      <c r="M30" s="209">
        <v>192601388.8888889</v>
      </c>
      <c r="N30" s="209">
        <v>192601388.8888889</v>
      </c>
      <c r="O30" s="209">
        <v>192601388.8888889</v>
      </c>
      <c r="P30" s="209">
        <v>192601388.8888889</v>
      </c>
      <c r="Q30" s="209">
        <v>192601388.8888889</v>
      </c>
      <c r="R30" s="209">
        <v>192601388.8888889</v>
      </c>
      <c r="S30" s="209">
        <v>1733412499.9999998</v>
      </c>
    </row>
    <row r="31" spans="2:19" ht="25" outlineLevel="1">
      <c r="B31" s="216" t="s">
        <v>173</v>
      </c>
      <c r="C31" s="210" t="s">
        <v>131</v>
      </c>
      <c r="D31" s="209">
        <v>111261886.00000048</v>
      </c>
      <c r="E31" s="209">
        <v>633829234</v>
      </c>
      <c r="F31" s="209">
        <v>709529570</v>
      </c>
      <c r="G31" s="209">
        <v>102020462.66666667</v>
      </c>
      <c r="H31" s="209">
        <v>116991288</v>
      </c>
      <c r="I31" s="209">
        <v>195959410.33333331</v>
      </c>
      <c r="J31" s="209">
        <v>262612373.00000006</v>
      </c>
      <c r="K31" s="209">
        <v>318262852.66666675</v>
      </c>
      <c r="L31" s="209">
        <v>325612668</v>
      </c>
      <c r="M31" s="209">
        <v>355605047.22222215</v>
      </c>
      <c r="N31" s="209">
        <v>357630836.22222215</v>
      </c>
      <c r="O31" s="209">
        <v>360474151.8888889</v>
      </c>
      <c r="P31" s="209">
        <v>360080874.8888889</v>
      </c>
      <c r="Q31" s="209">
        <v>360270874.8888889</v>
      </c>
      <c r="R31" s="209">
        <v>352576446.8888889</v>
      </c>
      <c r="S31" s="209">
        <v>3468097286.6666665</v>
      </c>
    </row>
    <row r="32" spans="2:19" s="126" customFormat="1" ht="13">
      <c r="B32" s="226">
        <v>6</v>
      </c>
      <c r="C32" s="212" t="s">
        <v>174</v>
      </c>
      <c r="D32" s="213">
        <v>2815366932</v>
      </c>
      <c r="E32" s="213">
        <v>3970082577</v>
      </c>
      <c r="F32" s="213">
        <v>3851337229</v>
      </c>
      <c r="G32" s="213">
        <v>189683514.21666667</v>
      </c>
      <c r="H32" s="213">
        <v>190044624.99444446</v>
      </c>
      <c r="I32" s="213">
        <v>204211291.66111115</v>
      </c>
      <c r="J32" s="213">
        <v>240697402.77222228</v>
      </c>
      <c r="K32" s="213">
        <v>240697402.77222228</v>
      </c>
      <c r="L32" s="213">
        <v>240697402.77222228</v>
      </c>
      <c r="M32" s="213">
        <v>240697402.77222228</v>
      </c>
      <c r="N32" s="213">
        <v>240697402.77222228</v>
      </c>
      <c r="O32" s="213">
        <v>240697402.77222228</v>
      </c>
      <c r="P32" s="213">
        <v>240697402.77222228</v>
      </c>
      <c r="Q32" s="213">
        <v>240697402.77222228</v>
      </c>
      <c r="R32" s="213">
        <v>234586291.77222228</v>
      </c>
      <c r="S32" s="213">
        <v>2744104944.8222227</v>
      </c>
    </row>
    <row r="33" spans="2:23" s="126" customFormat="1" ht="13" collapsed="1">
      <c r="B33" s="205">
        <v>7</v>
      </c>
      <c r="C33" s="206" t="s">
        <v>133</v>
      </c>
      <c r="D33" s="207">
        <v>-2312196928.0000029</v>
      </c>
      <c r="E33" s="207">
        <v>-1547513158</v>
      </c>
      <c r="F33" s="207">
        <v>5199194003</v>
      </c>
      <c r="G33" s="207">
        <v>675030028.23440242</v>
      </c>
      <c r="H33" s="207">
        <v>256171633.3801972</v>
      </c>
      <c r="I33" s="207">
        <v>558523140.39476383</v>
      </c>
      <c r="J33" s="207">
        <v>493540646.97399592</v>
      </c>
      <c r="K33" s="207">
        <v>449861135.82554054</v>
      </c>
      <c r="L33" s="207">
        <v>414887569.49220729</v>
      </c>
      <c r="M33" s="207">
        <v>489932890.96945</v>
      </c>
      <c r="N33" s="207">
        <v>552927357.00955772</v>
      </c>
      <c r="O33" s="207">
        <v>397700329.41111302</v>
      </c>
      <c r="P33" s="207">
        <v>518681766.43289876</v>
      </c>
      <c r="Q33" s="207">
        <v>391915745.76689076</v>
      </c>
      <c r="R33" s="207">
        <v>500196686.30278325</v>
      </c>
      <c r="S33" s="207">
        <v>5699368930.1938</v>
      </c>
    </row>
    <row r="34" spans="2:23" s="163" customFormat="1" ht="13">
      <c r="B34" s="225" t="s">
        <v>134</v>
      </c>
      <c r="C34" s="223" t="s">
        <v>135</v>
      </c>
      <c r="D34" s="224">
        <v>-5.1980491448169928E-2</v>
      </c>
      <c r="E34" s="224">
        <v>-2.4198629809233596E-2</v>
      </c>
      <c r="F34" s="224">
        <v>5.4054268975280734E-2</v>
      </c>
      <c r="G34" s="224">
        <v>7.1657812356113126E-2</v>
      </c>
      <c r="H34" s="224">
        <v>4.5323166051666024E-2</v>
      </c>
      <c r="I34" s="224">
        <v>4.4886173091493585E-2</v>
      </c>
      <c r="J34" s="224">
        <v>3.1277053657370886E-2</v>
      </c>
      <c r="K34" s="224">
        <v>2.7368602223657758E-2</v>
      </c>
      <c r="L34" s="224">
        <v>2.5240884247835754E-2</v>
      </c>
      <c r="M34" s="224">
        <v>2.86600800468364E-2</v>
      </c>
      <c r="N34" s="224">
        <v>3.230066800537662E-2</v>
      </c>
      <c r="O34" s="224">
        <v>2.4161990881460108E-2</v>
      </c>
      <c r="P34" s="224">
        <v>3.0323094750017796E-2</v>
      </c>
      <c r="Q34" s="224">
        <v>2.382860363422622E-2</v>
      </c>
      <c r="R34" s="224">
        <v>2.9260491248573862E-2</v>
      </c>
      <c r="S34" s="224">
        <v>3.2111137177220063E-2</v>
      </c>
    </row>
    <row r="35" spans="2:23" s="126" customFormat="1" ht="13">
      <c r="B35" s="226">
        <v>8</v>
      </c>
      <c r="C35" s="212" t="s">
        <v>136</v>
      </c>
      <c r="D35" s="213"/>
      <c r="E35" s="213"/>
      <c r="F35" s="213"/>
      <c r="G35" s="213">
        <v>0</v>
      </c>
      <c r="H35" s="213">
        <v>0</v>
      </c>
      <c r="I35" s="213">
        <v>0</v>
      </c>
      <c r="J35" s="213">
        <v>0</v>
      </c>
      <c r="K35" s="213">
        <v>0</v>
      </c>
      <c r="L35" s="213">
        <v>0</v>
      </c>
      <c r="M35" s="213">
        <v>0</v>
      </c>
      <c r="N35" s="213">
        <v>0</v>
      </c>
      <c r="O35" s="213">
        <v>0</v>
      </c>
      <c r="P35" s="213">
        <v>0</v>
      </c>
      <c r="Q35" s="213">
        <v>0</v>
      </c>
      <c r="R35" s="213">
        <v>0</v>
      </c>
      <c r="S35" s="213">
        <v>0</v>
      </c>
    </row>
    <row r="36" spans="2:23" outlineLevel="1" collapsed="1">
      <c r="B36" s="216" t="s">
        <v>175</v>
      </c>
      <c r="C36" s="210" t="s">
        <v>137</v>
      </c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>
        <v>0</v>
      </c>
    </row>
    <row r="37" spans="2:23" outlineLevel="1">
      <c r="B37" s="216" t="s">
        <v>176</v>
      </c>
      <c r="C37" s="210" t="s">
        <v>138</v>
      </c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>
        <v>0</v>
      </c>
    </row>
    <row r="38" spans="2:23" outlineLevel="1">
      <c r="B38" s="216" t="s">
        <v>177</v>
      </c>
      <c r="C38" s="210" t="s">
        <v>139</v>
      </c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>
        <v>0</v>
      </c>
    </row>
    <row r="39" spans="2:23" s="126" customFormat="1" ht="13">
      <c r="B39" s="226">
        <v>9</v>
      </c>
      <c r="C39" s="212" t="s">
        <v>140</v>
      </c>
      <c r="D39" s="213">
        <v>1920530080</v>
      </c>
      <c r="E39" s="213">
        <v>1657750500</v>
      </c>
      <c r="F39" s="213">
        <v>2232089956</v>
      </c>
      <c r="G39" s="213">
        <v>269381341.25</v>
      </c>
      <c r="H39" s="213">
        <v>333905348.25</v>
      </c>
      <c r="I39" s="213">
        <v>289692466.25</v>
      </c>
      <c r="J39" s="213">
        <v>351095825.25</v>
      </c>
      <c r="K39" s="213">
        <v>344962243.25</v>
      </c>
      <c r="L39" s="213">
        <v>358733961.39814818</v>
      </c>
      <c r="M39" s="213">
        <v>377502662.39814818</v>
      </c>
      <c r="N39" s="213">
        <v>549192634.39814818</v>
      </c>
      <c r="O39" s="213">
        <v>379644959.39814818</v>
      </c>
      <c r="P39" s="213">
        <v>361192934.39814818</v>
      </c>
      <c r="Q39" s="213">
        <v>357799656.39814818</v>
      </c>
      <c r="R39" s="213">
        <v>376558217.39814818</v>
      </c>
      <c r="S39" s="213">
        <v>4349662250.0370369</v>
      </c>
    </row>
    <row r="40" spans="2:23" outlineLevel="1" collapsed="1">
      <c r="B40" s="216" t="s">
        <v>178</v>
      </c>
      <c r="C40" s="217" t="s">
        <v>137</v>
      </c>
      <c r="D40" s="209">
        <v>545455272</v>
      </c>
      <c r="E40" s="209">
        <v>507934414</v>
      </c>
      <c r="F40" s="209">
        <v>1445673625</v>
      </c>
      <c r="G40" s="209">
        <v>180647270</v>
      </c>
      <c r="H40" s="209">
        <v>183418574</v>
      </c>
      <c r="I40" s="209">
        <v>167991388.66666666</v>
      </c>
      <c r="J40" s="209">
        <v>230329766</v>
      </c>
      <c r="K40" s="209">
        <v>221578000</v>
      </c>
      <c r="L40" s="209">
        <v>230329766</v>
      </c>
      <c r="M40" s="209">
        <v>224351483</v>
      </c>
      <c r="N40" s="209">
        <v>224328197</v>
      </c>
      <c r="O40" s="209">
        <v>231717283</v>
      </c>
      <c r="P40" s="209">
        <v>218310050</v>
      </c>
      <c r="Q40" s="209">
        <v>229916754</v>
      </c>
      <c r="R40" s="209">
        <v>223960871</v>
      </c>
      <c r="S40" s="209">
        <v>2566879402.6666665</v>
      </c>
    </row>
    <row r="41" spans="2:23" outlineLevel="1">
      <c r="B41" s="216" t="s">
        <v>179</v>
      </c>
      <c r="C41" s="217" t="s">
        <v>142</v>
      </c>
      <c r="D41" s="209">
        <v>985729687</v>
      </c>
      <c r="E41" s="209">
        <v>1135468262</v>
      </c>
      <c r="F41" s="209">
        <v>599454767</v>
      </c>
      <c r="G41" s="209">
        <v>80221159</v>
      </c>
      <c r="H41" s="209">
        <v>141973862</v>
      </c>
      <c r="I41" s="209">
        <v>113188165.33333334</v>
      </c>
      <c r="J41" s="209">
        <v>109753147.00000001</v>
      </c>
      <c r="K41" s="209">
        <v>112371331.00000001</v>
      </c>
      <c r="L41" s="209">
        <v>117391283.14814815</v>
      </c>
      <c r="M41" s="209">
        <v>142138267.14814815</v>
      </c>
      <c r="N41" s="209">
        <v>313851525.14814818</v>
      </c>
      <c r="O41" s="209">
        <v>136914764.14814815</v>
      </c>
      <c r="P41" s="209">
        <v>131869972.14814815</v>
      </c>
      <c r="Q41" s="209">
        <v>116869990.14814815</v>
      </c>
      <c r="R41" s="209">
        <v>141584434.14814815</v>
      </c>
      <c r="S41" s="209">
        <v>1658127900.3703701</v>
      </c>
    </row>
    <row r="42" spans="2:23" outlineLevel="1">
      <c r="B42" s="216" t="s">
        <v>180</v>
      </c>
      <c r="C42" s="217" t="s">
        <v>139</v>
      </c>
      <c r="D42" s="209">
        <v>389345121</v>
      </c>
      <c r="E42" s="209">
        <v>14347824</v>
      </c>
      <c r="F42" s="209">
        <v>186961564</v>
      </c>
      <c r="G42" s="209">
        <v>8512912.25</v>
      </c>
      <c r="H42" s="209">
        <v>8512912.25</v>
      </c>
      <c r="I42" s="209">
        <v>8512912.25</v>
      </c>
      <c r="J42" s="209">
        <v>11012912.25</v>
      </c>
      <c r="K42" s="209">
        <v>11012912.25</v>
      </c>
      <c r="L42" s="209">
        <v>11012912.25</v>
      </c>
      <c r="M42" s="209">
        <v>11012912.25</v>
      </c>
      <c r="N42" s="209">
        <v>11012912.25</v>
      </c>
      <c r="O42" s="209">
        <v>11012912.25</v>
      </c>
      <c r="P42" s="209">
        <v>11012912.25</v>
      </c>
      <c r="Q42" s="209">
        <v>11012912.25</v>
      </c>
      <c r="R42" s="209">
        <v>11012912.25</v>
      </c>
      <c r="S42" s="209">
        <v>124654947</v>
      </c>
    </row>
    <row r="43" spans="2:23" s="126" customFormat="1" ht="13">
      <c r="B43" s="226">
        <v>10</v>
      </c>
      <c r="C43" s="215" t="s">
        <v>144</v>
      </c>
      <c r="D43" s="209">
        <v>0</v>
      </c>
      <c r="E43" s="209">
        <v>0</v>
      </c>
      <c r="F43" s="209">
        <v>87340287</v>
      </c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</row>
    <row r="44" spans="2:23" s="126" customFormat="1" ht="26" collapsed="1">
      <c r="B44" s="205">
        <v>11</v>
      </c>
      <c r="C44" s="206" t="s">
        <v>145</v>
      </c>
      <c r="D44" s="207">
        <v>-4232727008.0000029</v>
      </c>
      <c r="E44" s="207">
        <v>-3205263658</v>
      </c>
      <c r="F44" s="207">
        <v>3054444334</v>
      </c>
      <c r="G44" s="207">
        <v>405648686.98440242</v>
      </c>
      <c r="H44" s="207">
        <v>-77733714.869802803</v>
      </c>
      <c r="I44" s="207">
        <v>268830674.14476383</v>
      </c>
      <c r="J44" s="207">
        <v>142444821.72399592</v>
      </c>
      <c r="K44" s="207">
        <v>104898892.57554054</v>
      </c>
      <c r="L44" s="207">
        <v>56153608.09405911</v>
      </c>
      <c r="M44" s="207">
        <v>112430228.57130182</v>
      </c>
      <c r="N44" s="207">
        <v>3734722.6114095449</v>
      </c>
      <c r="O44" s="207">
        <v>18055370.012964845</v>
      </c>
      <c r="P44" s="207">
        <v>157488832.03475058</v>
      </c>
      <c r="Q44" s="207">
        <v>34116089.368742585</v>
      </c>
      <c r="R44" s="207">
        <v>123638468.90463507</v>
      </c>
      <c r="S44" s="207">
        <v>1349706680.1567631</v>
      </c>
    </row>
    <row r="45" spans="2:23" s="126" customFormat="1" ht="13">
      <c r="B45" s="226">
        <v>12</v>
      </c>
      <c r="C45" s="215" t="s">
        <v>146</v>
      </c>
      <c r="D45" s="213">
        <v>27142139</v>
      </c>
      <c r="E45" s="213">
        <v>52016376</v>
      </c>
      <c r="F45" s="213">
        <v>318990785</v>
      </c>
      <c r="G45" s="227">
        <v>20000000</v>
      </c>
      <c r="H45" s="213">
        <v>20000000</v>
      </c>
      <c r="I45" s="213">
        <v>20000000</v>
      </c>
      <c r="J45" s="213">
        <v>10000000</v>
      </c>
      <c r="K45" s="213">
        <v>10000000</v>
      </c>
      <c r="L45" s="213">
        <v>10000000</v>
      </c>
      <c r="M45" s="213">
        <v>10000000</v>
      </c>
      <c r="N45" s="213">
        <v>10000000</v>
      </c>
      <c r="O45" s="213">
        <v>10000000</v>
      </c>
      <c r="P45" s="213">
        <v>10000000</v>
      </c>
      <c r="Q45" s="213">
        <v>10000000</v>
      </c>
      <c r="R45" s="213">
        <v>10000000</v>
      </c>
      <c r="S45" s="213">
        <v>150000000</v>
      </c>
      <c r="W45" s="126" t="s">
        <v>181</v>
      </c>
    </row>
    <row r="46" spans="2:23" s="126" customFormat="1" ht="13">
      <c r="B46" s="226">
        <v>13</v>
      </c>
      <c r="C46" s="215" t="s">
        <v>147</v>
      </c>
      <c r="D46" s="213">
        <v>0</v>
      </c>
      <c r="E46" s="213">
        <v>0</v>
      </c>
      <c r="F46" s="213">
        <v>3187200</v>
      </c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</row>
    <row r="47" spans="2:23" s="157" customFormat="1" ht="13" outlineLevel="1">
      <c r="B47" s="218" t="s">
        <v>182</v>
      </c>
      <c r="C47" s="219" t="s">
        <v>148</v>
      </c>
      <c r="D47" s="213">
        <v>0</v>
      </c>
      <c r="E47" s="213">
        <v>0</v>
      </c>
      <c r="F47" s="209">
        <v>3187200</v>
      </c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</row>
    <row r="48" spans="2:23" s="126" customFormat="1" ht="13">
      <c r="B48" s="205">
        <v>14</v>
      </c>
      <c r="C48" s="206" t="s">
        <v>149</v>
      </c>
      <c r="D48" s="207">
        <v>-4205584869.0000029</v>
      </c>
      <c r="E48" s="207">
        <v>-3153247282</v>
      </c>
      <c r="F48" s="207">
        <v>3370247919</v>
      </c>
      <c r="G48" s="207">
        <v>425648686.98440242</v>
      </c>
      <c r="H48" s="207">
        <v>-57733714.869802803</v>
      </c>
      <c r="I48" s="207">
        <v>288830674.14476383</v>
      </c>
      <c r="J48" s="207">
        <v>152444821.72399592</v>
      </c>
      <c r="K48" s="207">
        <v>114898892.57554054</v>
      </c>
      <c r="L48" s="207">
        <v>66153608.09405911</v>
      </c>
      <c r="M48" s="207">
        <v>122430228.57130182</v>
      </c>
      <c r="N48" s="207">
        <v>13734722.611409545</v>
      </c>
      <c r="O48" s="207">
        <v>28055370.012964845</v>
      </c>
      <c r="P48" s="207">
        <v>167488832.03475058</v>
      </c>
      <c r="Q48" s="207">
        <v>44116089.368742585</v>
      </c>
      <c r="R48" s="207">
        <v>133638468.90463507</v>
      </c>
      <c r="S48" s="207">
        <v>1499706680.1567631</v>
      </c>
    </row>
    <row r="49" spans="2:19" ht="13">
      <c r="B49" s="228">
        <v>15</v>
      </c>
      <c r="C49" s="229" t="s">
        <v>150</v>
      </c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>
        <v>0</v>
      </c>
    </row>
    <row r="50" spans="2:19" s="126" customFormat="1" ht="13" collapsed="1">
      <c r="B50" s="230">
        <v>16</v>
      </c>
      <c r="C50" s="231" t="s">
        <v>151</v>
      </c>
      <c r="D50" s="232">
        <v>-4205584869.0000029</v>
      </c>
      <c r="E50" s="232">
        <v>-3153247282</v>
      </c>
      <c r="F50" s="232">
        <v>3370247919</v>
      </c>
      <c r="G50" s="232">
        <v>425648686.98440242</v>
      </c>
      <c r="H50" s="232">
        <v>-57733714.869802803</v>
      </c>
      <c r="I50" s="232">
        <v>288830674.14476383</v>
      </c>
      <c r="J50" s="232">
        <v>152444821.72399592</v>
      </c>
      <c r="K50" s="232">
        <v>114898892.57554054</v>
      </c>
      <c r="L50" s="232">
        <v>66153608.09405911</v>
      </c>
      <c r="M50" s="232">
        <v>122430228.57130182</v>
      </c>
      <c r="N50" s="232">
        <v>13734722.611409545</v>
      </c>
      <c r="O50" s="232">
        <v>28055370.012964845</v>
      </c>
      <c r="P50" s="232">
        <v>167488832.03475058</v>
      </c>
      <c r="Q50" s="232">
        <v>44116089.368742585</v>
      </c>
      <c r="R50" s="232">
        <v>133638468.90463507</v>
      </c>
      <c r="S50" s="233">
        <v>1499706680.1567631</v>
      </c>
    </row>
    <row r="51" spans="2:19" s="177" customFormat="1" ht="13">
      <c r="B51" s="234" t="s">
        <v>152</v>
      </c>
      <c r="C51" s="223" t="s">
        <v>153</v>
      </c>
      <c r="D51" s="224">
        <v>-9.4545739452520899E-2</v>
      </c>
      <c r="E51" s="224">
        <v>-4.9307667130084602E-2</v>
      </c>
      <c r="F51" s="224">
        <v>3.5039332523827377E-2</v>
      </c>
      <c r="G51" s="224">
        <v>4.5184736183266246E-2</v>
      </c>
      <c r="H51" s="224">
        <v>-1.0214537461843302E-2</v>
      </c>
      <c r="I51" s="224">
        <v>2.3212115481251763E-2</v>
      </c>
      <c r="J51" s="224">
        <v>9.6608554899855724E-3</v>
      </c>
      <c r="K51" s="224">
        <v>6.990206168994915E-3</v>
      </c>
      <c r="L51" s="224">
        <v>4.0246459215987655E-3</v>
      </c>
      <c r="M51" s="224">
        <v>7.1619199602273361E-3</v>
      </c>
      <c r="N51" s="224">
        <v>8.0234900587385929E-4</v>
      </c>
      <c r="O51" s="224">
        <v>1.7044833617135646E-3</v>
      </c>
      <c r="P51" s="224">
        <v>9.7917066919231931E-3</v>
      </c>
      <c r="Q51" s="224">
        <v>2.6822724496635324E-3</v>
      </c>
      <c r="R51" s="224">
        <v>7.8175792781838872E-3</v>
      </c>
      <c r="S51" s="224">
        <v>8.4495823172600956E-3</v>
      </c>
    </row>
    <row r="52" spans="2:19">
      <c r="B52" s="228">
        <v>17</v>
      </c>
      <c r="C52" s="229" t="s">
        <v>139</v>
      </c>
      <c r="D52" s="209">
        <v>2904227598</v>
      </c>
      <c r="E52" s="209">
        <v>3977819339</v>
      </c>
      <c r="F52" s="209">
        <v>4038298793</v>
      </c>
      <c r="G52" s="209">
        <v>198196426.46666667</v>
      </c>
      <c r="H52" s="209">
        <v>198557537.24444446</v>
      </c>
      <c r="I52" s="209">
        <v>212724203.91111115</v>
      </c>
      <c r="J52" s="209">
        <v>251710315.02222228</v>
      </c>
      <c r="K52" s="209">
        <v>251710315.02222228</v>
      </c>
      <c r="L52" s="209">
        <v>251710315.02222228</v>
      </c>
      <c r="M52" s="209">
        <v>251710315.02222228</v>
      </c>
      <c r="N52" s="209">
        <v>251710315.02222228</v>
      </c>
      <c r="O52" s="209">
        <v>251710315.02222228</v>
      </c>
      <c r="P52" s="209">
        <v>251710315.02222228</v>
      </c>
      <c r="Q52" s="209">
        <v>251710315.02222228</v>
      </c>
      <c r="R52" s="209">
        <v>245599204.02222228</v>
      </c>
      <c r="S52" s="209">
        <v>2868759891.8222237</v>
      </c>
    </row>
    <row r="53" spans="2:19" s="126" customFormat="1" ht="26" collapsed="1">
      <c r="B53" s="230">
        <v>18</v>
      </c>
      <c r="C53" s="231" t="s">
        <v>154</v>
      </c>
      <c r="D53" s="232">
        <v>-1301357271.0000029</v>
      </c>
      <c r="E53" s="232">
        <v>824572057</v>
      </c>
      <c r="F53" s="232">
        <v>7411733912</v>
      </c>
      <c r="G53" s="232">
        <v>623845113.45106912</v>
      </c>
      <c r="H53" s="232">
        <v>140823822.37464166</v>
      </c>
      <c r="I53" s="232">
        <v>501554878.05587494</v>
      </c>
      <c r="J53" s="232">
        <v>404155136.7462182</v>
      </c>
      <c r="K53" s="232">
        <v>366609207.59776282</v>
      </c>
      <c r="L53" s="232">
        <v>317863923.11628139</v>
      </c>
      <c r="M53" s="232">
        <v>374140543.5935241</v>
      </c>
      <c r="N53" s="232">
        <v>265445037.63363183</v>
      </c>
      <c r="O53" s="232">
        <v>279765685.03518713</v>
      </c>
      <c r="P53" s="232">
        <v>419199147.05697286</v>
      </c>
      <c r="Q53" s="232">
        <v>295826404.39096487</v>
      </c>
      <c r="R53" s="232">
        <v>379237672.92685735</v>
      </c>
      <c r="S53" s="233">
        <v>4368466571.9789858</v>
      </c>
    </row>
    <row r="54" spans="2:19" s="177" customFormat="1" ht="13">
      <c r="B54" s="234" t="s">
        <v>155</v>
      </c>
      <c r="C54" s="223" t="s">
        <v>156</v>
      </c>
      <c r="D54" s="224">
        <v>-2.9255808481131813E-2</v>
      </c>
      <c r="E54" s="224">
        <v>1.2893922003331532E-2</v>
      </c>
      <c r="F54" s="224">
        <v>7.7057301231938227E-2</v>
      </c>
      <c r="G54" s="224">
        <v>6.6224277749362112E-2</v>
      </c>
      <c r="H54" s="224">
        <v>2.4915254672415253E-2</v>
      </c>
      <c r="I54" s="224">
        <v>4.0307871676340701E-2</v>
      </c>
      <c r="J54" s="224">
        <v>2.5612443423691428E-2</v>
      </c>
      <c r="K54" s="224">
        <v>2.2303730585352538E-2</v>
      </c>
      <c r="L54" s="224">
        <v>1.9338170337956387E-2</v>
      </c>
      <c r="M54" s="224">
        <v>2.1886462668263509E-2</v>
      </c>
      <c r="N54" s="224">
        <v>1.550665186951572E-2</v>
      </c>
      <c r="O54" s="224">
        <v>1.69969583399011E-2</v>
      </c>
      <c r="P54" s="224">
        <v>2.4507156946647155E-2</v>
      </c>
      <c r="Q54" s="224">
        <v>1.798634071457645E-2</v>
      </c>
      <c r="R54" s="224">
        <v>2.2184634392177261E-2</v>
      </c>
      <c r="S54" s="224">
        <v>2.4612624847598272E-2</v>
      </c>
    </row>
    <row r="55" spans="2:19" s="158" customFormat="1" ht="13" collapsed="1">
      <c r="B55" s="235"/>
      <c r="C55" s="236"/>
      <c r="D55" s="237"/>
      <c r="E55" s="237"/>
      <c r="F55" s="237"/>
      <c r="G55" s="238"/>
      <c r="H55" s="237"/>
      <c r="I55" s="237"/>
      <c r="J55" s="237"/>
      <c r="K55" s="237"/>
      <c r="L55" s="237"/>
      <c r="M55" s="237"/>
      <c r="N55" s="237"/>
      <c r="O55" s="239"/>
      <c r="P55" s="237"/>
      <c r="Q55" s="237"/>
      <c r="R55" s="237"/>
      <c r="S55" s="237"/>
    </row>
    <row r="56" spans="2:19">
      <c r="D56" s="109"/>
      <c r="E56" s="109"/>
      <c r="F56" s="109"/>
      <c r="H56" s="109"/>
    </row>
    <row r="57" spans="2:19" s="126" customFormat="1" ht="13" hidden="1">
      <c r="B57" s="182" t="s">
        <v>157</v>
      </c>
      <c r="C57" s="183"/>
      <c r="D57" s="185" t="s">
        <v>163</v>
      </c>
      <c r="E57" s="185" t="s">
        <v>82</v>
      </c>
      <c r="F57" s="185" t="s">
        <v>164</v>
      </c>
      <c r="G57" s="185" t="s">
        <v>76</v>
      </c>
      <c r="H57" s="185" t="s">
        <v>77</v>
      </c>
      <c r="I57" s="185" t="s">
        <v>84</v>
      </c>
      <c r="J57" s="185" t="s">
        <v>85</v>
      </c>
      <c r="K57" s="185" t="s">
        <v>86</v>
      </c>
      <c r="L57" s="185" t="s">
        <v>87</v>
      </c>
      <c r="M57" s="185" t="s">
        <v>88</v>
      </c>
      <c r="N57" s="185" t="s">
        <v>89</v>
      </c>
      <c r="O57" s="185" t="s">
        <v>90</v>
      </c>
      <c r="P57" s="185" t="s">
        <v>91</v>
      </c>
      <c r="Q57" s="185" t="s">
        <v>92</v>
      </c>
      <c r="R57" s="185" t="s">
        <v>93</v>
      </c>
      <c r="S57" s="185" t="s">
        <v>165</v>
      </c>
    </row>
    <row r="58" spans="2:19" hidden="1">
      <c r="B58" s="122" t="s">
        <v>158</v>
      </c>
      <c r="D58" s="187">
        <v>17130124.54586418</v>
      </c>
      <c r="E58" s="187">
        <v>8789882.678026082</v>
      </c>
      <c r="F58" s="187">
        <v>4614553.4265395524</v>
      </c>
      <c r="G58" s="187">
        <v>481810.81125498685</v>
      </c>
      <c r="H58" s="187">
        <v>495510.23468145542</v>
      </c>
      <c r="I58" s="187">
        <v>759212.93043615494</v>
      </c>
      <c r="J58" s="187">
        <v>1055742.0262914088</v>
      </c>
      <c r="K58" s="187">
        <v>1128647.1458245814</v>
      </c>
      <c r="L58" s="187">
        <v>1165869.8411330974</v>
      </c>
      <c r="M58" s="187">
        <v>1172174.234373149</v>
      </c>
      <c r="N58" s="187">
        <v>1255546.6831511406</v>
      </c>
      <c r="O58" s="187">
        <v>1195997.3879954622</v>
      </c>
      <c r="P58" s="187">
        <v>1139515.3669632364</v>
      </c>
      <c r="Q58" s="187">
        <v>1183294.2866696585</v>
      </c>
      <c r="R58" s="187">
        <v>1163666.6000716779</v>
      </c>
      <c r="S58" s="187">
        <v>12196158.18615263</v>
      </c>
    </row>
    <row r="59" spans="2:19" s="126" customFormat="1" ht="13" hidden="1">
      <c r="B59" s="122" t="s">
        <v>159</v>
      </c>
      <c r="C59" s="188"/>
      <c r="D59" s="187">
        <v>16185682.636499265</v>
      </c>
      <c r="E59" s="187">
        <v>8080718.9330617338</v>
      </c>
      <c r="F59" s="187">
        <v>4158840.1490775272</v>
      </c>
      <c r="G59" s="187">
        <v>434063.79392341152</v>
      </c>
      <c r="H59" s="187">
        <v>446405.61683014</v>
      </c>
      <c r="I59" s="187">
        <v>680298.32476357964</v>
      </c>
      <c r="J59" s="187">
        <v>894916.56957337726</v>
      </c>
      <c r="K59" s="187">
        <v>956715.75711368164</v>
      </c>
      <c r="L59" s="187">
        <v>988268.16856100003</v>
      </c>
      <c r="M59" s="187">
        <v>993612.18805736059</v>
      </c>
      <c r="N59" s="187">
        <v>1064816.7134398031</v>
      </c>
      <c r="O59" s="187">
        <v>1014313.5456912462</v>
      </c>
      <c r="P59" s="187">
        <v>966034.83185814985</v>
      </c>
      <c r="Q59" s="187">
        <v>1003148.8213344228</v>
      </c>
      <c r="R59" s="187">
        <v>986400.5561296232</v>
      </c>
      <c r="S59" s="187">
        <v>10433567.945822019</v>
      </c>
    </row>
    <row r="60" spans="2:19" hidden="1">
      <c r="B60" s="122" t="s">
        <v>160</v>
      </c>
      <c r="D60" s="110">
        <v>230345961311.4671</v>
      </c>
      <c r="E60" s="110">
        <v>121094245656.23218</v>
      </c>
      <c r="F60" s="110">
        <v>70148976064.888214</v>
      </c>
      <c r="G60" s="110">
        <v>6125786255.7601452</v>
      </c>
      <c r="H60" s="110">
        <v>6299961964.933445</v>
      </c>
      <c r="I60" s="110">
        <v>9575814575.6399288</v>
      </c>
      <c r="J60" s="110">
        <v>14346004967.656609</v>
      </c>
      <c r="K60" s="110">
        <v>15336679944.065855</v>
      </c>
      <c r="L60" s="110">
        <v>15842482458.796989</v>
      </c>
      <c r="M60" s="110">
        <v>15928150031.449701</v>
      </c>
      <c r="N60" s="110">
        <v>17080807815.067537</v>
      </c>
      <c r="O60" s="110">
        <v>16270682568.649731</v>
      </c>
      <c r="P60" s="110">
        <v>15493183078.781551</v>
      </c>
      <c r="Q60" s="110">
        <v>16088414031.928284</v>
      </c>
      <c r="R60" s="110">
        <v>15812543604.015295</v>
      </c>
      <c r="S60" s="110">
        <v>163805285703.32794</v>
      </c>
    </row>
    <row r="61" spans="2:19" s="126" customFormat="1" ht="13" hidden="1">
      <c r="B61" s="182" t="s">
        <v>161</v>
      </c>
      <c r="C61" s="183"/>
      <c r="D61" s="191" t="s">
        <v>163</v>
      </c>
      <c r="E61" s="191" t="s">
        <v>82</v>
      </c>
      <c r="F61" s="191" t="s">
        <v>164</v>
      </c>
      <c r="G61" s="191" t="s">
        <v>76</v>
      </c>
      <c r="H61" s="191" t="s">
        <v>77</v>
      </c>
      <c r="I61" s="191" t="s">
        <v>84</v>
      </c>
      <c r="J61" s="191" t="s">
        <v>85</v>
      </c>
      <c r="K61" s="191" t="s">
        <v>86</v>
      </c>
      <c r="L61" s="191" t="s">
        <v>87</v>
      </c>
      <c r="M61" s="191" t="s">
        <v>88</v>
      </c>
      <c r="N61" s="191" t="s">
        <v>89</v>
      </c>
      <c r="O61" s="191" t="s">
        <v>90</v>
      </c>
      <c r="P61" s="191" t="s">
        <v>91</v>
      </c>
      <c r="Q61" s="191" t="s">
        <v>92</v>
      </c>
      <c r="R61" s="191" t="s">
        <v>93</v>
      </c>
      <c r="S61" s="191" t="s">
        <v>165</v>
      </c>
    </row>
    <row r="62" spans="2:19" hidden="1">
      <c r="B62" s="122" t="s">
        <v>158</v>
      </c>
      <c r="D62" s="187">
        <v>7646257.3378559425</v>
      </c>
      <c r="E62" s="187">
        <v>3642221.1216890207</v>
      </c>
      <c r="F62" s="187">
        <v>2283545.3194754687</v>
      </c>
      <c r="G62" s="187">
        <v>355209.86836065992</v>
      </c>
      <c r="H62" s="187">
        <v>365353.76493073668</v>
      </c>
      <c r="I62" s="187">
        <v>579327.13075546303</v>
      </c>
      <c r="J62" s="187">
        <v>869310.31538155326</v>
      </c>
      <c r="K62" s="187">
        <v>934323.65365497011</v>
      </c>
      <c r="L62" s="187">
        <v>969711.78216258949</v>
      </c>
      <c r="M62" s="187">
        <v>979991.40112454002</v>
      </c>
      <c r="N62" s="187">
        <v>1070598.304041723</v>
      </c>
      <c r="O62" s="187">
        <v>1002250.0237521899</v>
      </c>
      <c r="P62" s="187">
        <v>950022.4540949777</v>
      </c>
      <c r="Q62" s="187">
        <v>988554.32004077011</v>
      </c>
      <c r="R62" s="187">
        <v>976248.86424460926</v>
      </c>
      <c r="S62" s="187">
        <v>10030702.522302734</v>
      </c>
    </row>
    <row r="63" spans="2:19" s="126" customFormat="1" ht="13" hidden="1">
      <c r="B63" s="122" t="s">
        <v>159</v>
      </c>
      <c r="C63" s="188"/>
      <c r="D63" s="187">
        <v>7224693.2178563792</v>
      </c>
      <c r="E63" s="187">
        <v>3348368.374700448</v>
      </c>
      <c r="F63" s="187">
        <v>2058032.2902436</v>
      </c>
      <c r="G63" s="187">
        <v>320008.89041500894</v>
      </c>
      <c r="H63" s="187">
        <v>329147.53597363661</v>
      </c>
      <c r="I63" s="187">
        <v>519110.33221815678</v>
      </c>
      <c r="J63" s="187">
        <v>736884.75589895248</v>
      </c>
      <c r="K63" s="187">
        <v>791994.34916629514</v>
      </c>
      <c r="L63" s="187">
        <v>821991.66080018773</v>
      </c>
      <c r="M63" s="187">
        <v>830705.34379172849</v>
      </c>
      <c r="N63" s="187">
        <v>907963.8239040327</v>
      </c>
      <c r="O63" s="187">
        <v>849998.32396379497</v>
      </c>
      <c r="P63" s="187">
        <v>805390.439050321</v>
      </c>
      <c r="Q63" s="187">
        <v>838056.18952573801</v>
      </c>
      <c r="R63" s="187">
        <v>827532.92270524893</v>
      </c>
      <c r="S63" s="187">
        <v>8581064.1936080381</v>
      </c>
    </row>
    <row r="64" spans="2:19" hidden="1">
      <c r="B64" s="122" t="s">
        <v>160</v>
      </c>
      <c r="D64" s="110">
        <v>102817962134.92931</v>
      </c>
      <c r="E64" s="110">
        <v>50177236193.006104</v>
      </c>
      <c r="F64" s="110">
        <v>34713730918.724503</v>
      </c>
      <c r="G64" s="110">
        <v>4516170411.0506926</v>
      </c>
      <c r="H64" s="110">
        <v>4645140830.0144596</v>
      </c>
      <c r="I64" s="110">
        <v>7306947709.0766363</v>
      </c>
      <c r="J64" s="110">
        <v>11812668049.890228</v>
      </c>
      <c r="K64" s="110">
        <v>12696105149.68125</v>
      </c>
      <c r="L64" s="110">
        <v>13176978558.831911</v>
      </c>
      <c r="M64" s="110">
        <v>13316663691.204443</v>
      </c>
      <c r="N64" s="110">
        <v>14564718400.257677</v>
      </c>
      <c r="O64" s="110">
        <v>13634889302.078817</v>
      </c>
      <c r="P64" s="110">
        <v>12916782201.430109</v>
      </c>
      <c r="Q64" s="110">
        <v>13440672682.219465</v>
      </c>
      <c r="R64" s="110">
        <v>13265808035.813204</v>
      </c>
      <c r="S64" s="110">
        <v>134721284144.74216</v>
      </c>
    </row>
    <row r="65" hidden="1"/>
  </sheetData>
  <conditionalFormatting sqref="B20:C25">
    <cfRule type="containsText" dxfId="30" priority="11" operator="containsText" text="xxx">
      <formula>NOT(ISERROR(SEARCH("xxx",B20)))</formula>
    </cfRule>
  </conditionalFormatting>
  <conditionalFormatting sqref="B3:F3">
    <cfRule type="containsText" dxfId="29" priority="7" operator="containsText" text="xxx">
      <formula>NOT(ISERROR(SEARCH("xxx",B3)))</formula>
    </cfRule>
  </conditionalFormatting>
  <conditionalFormatting sqref="B5:S19">
    <cfRule type="containsText" dxfId="28" priority="3" operator="containsText" text="xxx">
      <formula>NOT(ISERROR(SEARCH("xxx",B5)))</formula>
    </cfRule>
  </conditionalFormatting>
  <conditionalFormatting sqref="B65:S1048576">
    <cfRule type="containsText" dxfId="27" priority="6" operator="containsText" text="xxx">
      <formula>NOT(ISERROR(SEARCH("xxx",B65)))</formula>
    </cfRule>
  </conditionalFormatting>
  <conditionalFormatting sqref="C26:C57">
    <cfRule type="containsText" dxfId="26" priority="10" operator="containsText" text="xxx">
      <formula>NOT(ISERROR(SEARCH("xxx",C26)))</formula>
    </cfRule>
  </conditionalFormatting>
  <conditionalFormatting sqref="D4:Q4">
    <cfRule type="containsText" dxfId="25" priority="8" operator="containsText" text="xxx">
      <formula>NOT(ISERROR(SEARCH("xxx",D4)))</formula>
    </cfRule>
  </conditionalFormatting>
  <conditionalFormatting sqref="D20:S57">
    <cfRule type="containsText" dxfId="24" priority="4" operator="containsText" text="xxx">
      <formula>NOT(ISERROR(SEARCH("xxx",D20)))</formula>
    </cfRule>
  </conditionalFormatting>
  <conditionalFormatting sqref="D50:S50 D53:S53">
    <cfRule type="cellIs" dxfId="23" priority="2" operator="lessThan">
      <formula>0</formula>
    </cfRule>
  </conditionalFormatting>
  <conditionalFormatting sqref="H3:R3 B26:B64">
    <cfRule type="containsText" dxfId="22" priority="9" operator="containsText" text="xxx">
      <formula>NOT(ISERROR(SEARCH("xxx",B3)))</formula>
    </cfRule>
  </conditionalFormatting>
  <conditionalFormatting sqref="S3:S4">
    <cfRule type="containsText" dxfId="21" priority="1" operator="containsText" text="xxx">
      <formula>NOT(ISERROR(SEARCH("xxx",S3)))</formula>
    </cfRule>
  </conditionalFormatting>
  <conditionalFormatting sqref="T3:XFD1048576">
    <cfRule type="containsText" dxfId="20" priority="5" operator="containsText" text="xxx">
      <formula>NOT(ISERROR(SEARCH("xxx",T3)))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2DEC8-DB0E-4DDA-9450-8E8AE4BF3500}">
  <sheetPr>
    <tabColor theme="6" tint="0.79998168889431442"/>
  </sheetPr>
  <dimension ref="A1:AB66"/>
  <sheetViews>
    <sheetView zoomScaleNormal="100" workbookViewId="0">
      <pane xSplit="3" ySplit="4" topLeftCell="D40" activePane="bottomRight" state="frozen"/>
      <selection activeCell="BP52" sqref="BP52"/>
      <selection pane="topRight" activeCell="BP52" sqref="BP52"/>
      <selection pane="bottomLeft" activeCell="BP52" sqref="BP52"/>
      <selection pane="bottomRight" activeCell="J49" sqref="J49"/>
    </sheetView>
  </sheetViews>
  <sheetFormatPr defaultColWidth="8.4140625" defaultRowHeight="12.5" outlineLevelRow="1" outlineLevelCol="1"/>
  <cols>
    <col min="1" max="1" width="5" style="745" hidden="1" customWidth="1"/>
    <col min="2" max="2" width="6.33203125" style="751" customWidth="1"/>
    <col min="3" max="3" width="37.58203125" style="747" customWidth="1"/>
    <col min="4" max="4" width="11.6640625" style="747" customWidth="1"/>
    <col min="5" max="5" width="10.6640625" style="747" customWidth="1"/>
    <col min="6" max="6" width="9.58203125" style="748" customWidth="1"/>
    <col min="7" max="18" width="9.4140625" style="749" customWidth="1" outlineLevel="1"/>
    <col min="19" max="19" width="11.6640625" style="749" customWidth="1"/>
    <col min="20" max="20" width="4" style="745" customWidth="1"/>
    <col min="21" max="21" width="16.4140625" style="240" customWidth="1" collapsed="1"/>
    <col min="22" max="22" width="21" style="745" customWidth="1" outlineLevel="1"/>
    <col min="23" max="23" width="22.6640625" style="750" customWidth="1"/>
    <col min="24" max="24" width="15.33203125" style="745" bestFit="1" customWidth="1"/>
    <col min="25" max="25" width="8.4140625" style="745"/>
    <col min="26" max="26" width="15.33203125" style="745" bestFit="1" customWidth="1"/>
    <col min="27" max="27" width="16.33203125" style="745" bestFit="1" customWidth="1"/>
    <col min="28" max="16384" width="8.4140625" style="745"/>
  </cols>
  <sheetData>
    <row r="1" spans="1:28" ht="6.65" customHeight="1">
      <c r="B1" s="746"/>
    </row>
    <row r="2" spans="1:28" ht="6.65" customHeight="1"/>
    <row r="3" spans="1:28" s="123" customFormat="1" ht="15.5">
      <c r="B3" s="116" t="s">
        <v>78</v>
      </c>
      <c r="C3" s="117"/>
      <c r="D3" s="117"/>
      <c r="E3" s="117"/>
      <c r="F3" s="752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753" t="s">
        <v>79</v>
      </c>
      <c r="U3" s="241"/>
      <c r="W3" s="754"/>
    </row>
    <row r="4" spans="1:28" s="755" customFormat="1" ht="44.4" customHeight="1">
      <c r="B4" s="124" t="s">
        <v>80</v>
      </c>
      <c r="C4" s="124" t="s">
        <v>81</v>
      </c>
      <c r="D4" s="124" t="s">
        <v>163</v>
      </c>
      <c r="E4" s="124" t="s">
        <v>82</v>
      </c>
      <c r="F4" s="242" t="s">
        <v>83</v>
      </c>
      <c r="G4" s="125" t="s">
        <v>76</v>
      </c>
      <c r="H4" s="125" t="s">
        <v>77</v>
      </c>
      <c r="I4" s="125" t="s">
        <v>84</v>
      </c>
      <c r="J4" s="125" t="s">
        <v>85</v>
      </c>
      <c r="K4" s="125" t="s">
        <v>86</v>
      </c>
      <c r="L4" s="125" t="s">
        <v>87</v>
      </c>
      <c r="M4" s="125" t="s">
        <v>88</v>
      </c>
      <c r="N4" s="125" t="s">
        <v>89</v>
      </c>
      <c r="O4" s="125" t="s">
        <v>90</v>
      </c>
      <c r="P4" s="125" t="s">
        <v>91</v>
      </c>
      <c r="Q4" s="125" t="s">
        <v>92</v>
      </c>
      <c r="R4" s="125" t="s">
        <v>93</v>
      </c>
      <c r="S4" s="125" t="s">
        <v>183</v>
      </c>
      <c r="U4" s="243" t="s">
        <v>184</v>
      </c>
      <c r="V4" s="755" t="s">
        <v>185</v>
      </c>
      <c r="W4" s="125" t="s">
        <v>186</v>
      </c>
    </row>
    <row r="5" spans="1:28" s="762" customFormat="1" ht="15.5">
      <c r="A5" s="756">
        <v>1</v>
      </c>
      <c r="B5" s="757" t="s">
        <v>12</v>
      </c>
      <c r="C5" s="758" t="s">
        <v>542</v>
      </c>
      <c r="D5" s="759">
        <v>5652770.5</v>
      </c>
      <c r="E5" s="759">
        <v>4895018.4000000004</v>
      </c>
      <c r="F5" s="759">
        <v>7096700.8000000007</v>
      </c>
      <c r="G5" s="759">
        <f>G6+G7+G8</f>
        <v>533700</v>
      </c>
      <c r="H5" s="759">
        <f t="shared" ref="H5:R5" si="0">H6+H7+H8</f>
        <v>400275</v>
      </c>
      <c r="I5" s="759">
        <f t="shared" si="0"/>
        <v>578175</v>
      </c>
      <c r="J5" s="759">
        <f t="shared" si="0"/>
        <v>622650</v>
      </c>
      <c r="K5" s="759">
        <f t="shared" si="0"/>
        <v>622650</v>
      </c>
      <c r="L5" s="759">
        <f t="shared" si="0"/>
        <v>622650</v>
      </c>
      <c r="M5" s="759">
        <f t="shared" si="0"/>
        <v>622650</v>
      </c>
      <c r="N5" s="759">
        <f t="shared" si="0"/>
        <v>622650</v>
      </c>
      <c r="O5" s="759">
        <f t="shared" si="0"/>
        <v>622650</v>
      </c>
      <c r="P5" s="759">
        <f t="shared" si="0"/>
        <v>622650</v>
      </c>
      <c r="Q5" s="759">
        <f t="shared" si="0"/>
        <v>622650</v>
      </c>
      <c r="R5" s="759">
        <f t="shared" si="0"/>
        <v>622650</v>
      </c>
      <c r="S5" s="759">
        <f>SUM(G5:R5)</f>
        <v>7116000</v>
      </c>
      <c r="T5" s="760"/>
      <c r="U5" s="761"/>
      <c r="V5" s="762">
        <v>7116000</v>
      </c>
      <c r="W5" s="763"/>
    </row>
    <row r="6" spans="1:28" s="769" customFormat="1" ht="15.5">
      <c r="A6" s="756"/>
      <c r="B6" s="764" t="s">
        <v>96</v>
      </c>
      <c r="C6" s="765" t="s">
        <v>97</v>
      </c>
      <c r="D6" s="766">
        <v>5652770.5</v>
      </c>
      <c r="E6" s="766">
        <v>4895018.4000000004</v>
      </c>
      <c r="F6" s="766">
        <v>7096700.8000000007</v>
      </c>
      <c r="G6" s="766">
        <v>533700</v>
      </c>
      <c r="H6" s="766">
        <v>400275</v>
      </c>
      <c r="I6" s="766">
        <v>578175</v>
      </c>
      <c r="J6" s="766">
        <v>622650</v>
      </c>
      <c r="K6" s="766">
        <v>622650</v>
      </c>
      <c r="L6" s="766">
        <v>622650</v>
      </c>
      <c r="M6" s="766">
        <v>622650</v>
      </c>
      <c r="N6" s="766">
        <v>622650</v>
      </c>
      <c r="O6" s="766">
        <v>622650</v>
      </c>
      <c r="P6" s="766">
        <v>622650</v>
      </c>
      <c r="Q6" s="766">
        <v>622650</v>
      </c>
      <c r="R6" s="766">
        <v>622650</v>
      </c>
      <c r="S6" s="766">
        <f t="shared" ref="S6:S52" si="1">SUM(G6:R6)</f>
        <v>7116000</v>
      </c>
      <c r="T6" s="767"/>
      <c r="U6" s="768">
        <f>(S6-F6)/F6</f>
        <v>2.7194608514423003E-3</v>
      </c>
      <c r="W6" s="770"/>
    </row>
    <row r="7" spans="1:28" s="769" customFormat="1" ht="15.5">
      <c r="A7" s="756"/>
      <c r="B7" s="764" t="s">
        <v>98</v>
      </c>
      <c r="C7" s="765" t="s">
        <v>15</v>
      </c>
      <c r="D7" s="766">
        <v>0</v>
      </c>
      <c r="E7" s="766">
        <v>0</v>
      </c>
      <c r="F7" s="766">
        <v>0</v>
      </c>
      <c r="G7" s="766">
        <v>0</v>
      </c>
      <c r="H7" s="766">
        <v>0</v>
      </c>
      <c r="I7" s="766">
        <v>0</v>
      </c>
      <c r="J7" s="766">
        <v>0</v>
      </c>
      <c r="K7" s="766">
        <v>0</v>
      </c>
      <c r="L7" s="766">
        <v>0</v>
      </c>
      <c r="M7" s="766">
        <v>0</v>
      </c>
      <c r="N7" s="766">
        <v>0</v>
      </c>
      <c r="O7" s="766">
        <v>0</v>
      </c>
      <c r="P7" s="766">
        <v>0</v>
      </c>
      <c r="Q7" s="766">
        <v>0</v>
      </c>
      <c r="R7" s="766">
        <v>0</v>
      </c>
      <c r="S7" s="766">
        <f t="shared" si="1"/>
        <v>0</v>
      </c>
      <c r="T7" s="767"/>
      <c r="U7" s="768"/>
      <c r="W7" s="770"/>
    </row>
    <row r="8" spans="1:28" s="769" customFormat="1" ht="15.5">
      <c r="A8" s="756"/>
      <c r="B8" s="764" t="s">
        <v>99</v>
      </c>
      <c r="C8" s="765" t="s">
        <v>100</v>
      </c>
      <c r="D8" s="766">
        <v>0</v>
      </c>
      <c r="E8" s="766">
        <v>0</v>
      </c>
      <c r="F8" s="766">
        <v>0</v>
      </c>
      <c r="G8" s="766">
        <v>0</v>
      </c>
      <c r="H8" s="766">
        <v>0</v>
      </c>
      <c r="I8" s="766">
        <v>0</v>
      </c>
      <c r="J8" s="766">
        <v>0</v>
      </c>
      <c r="K8" s="766">
        <v>0</v>
      </c>
      <c r="L8" s="766">
        <v>0</v>
      </c>
      <c r="M8" s="766">
        <v>0</v>
      </c>
      <c r="N8" s="766">
        <v>0</v>
      </c>
      <c r="O8" s="766">
        <v>0</v>
      </c>
      <c r="P8" s="766">
        <v>0</v>
      </c>
      <c r="Q8" s="766">
        <v>0</v>
      </c>
      <c r="R8" s="766">
        <v>0</v>
      </c>
      <c r="S8" s="766">
        <f t="shared" si="1"/>
        <v>0</v>
      </c>
      <c r="T8" s="767"/>
      <c r="U8" s="768"/>
      <c r="W8" s="770"/>
    </row>
    <row r="9" spans="1:28" s="774" customFormat="1" ht="15.5">
      <c r="A9" s="756">
        <v>2</v>
      </c>
      <c r="B9" s="771">
        <v>2</v>
      </c>
      <c r="C9" s="772" t="s">
        <v>102</v>
      </c>
      <c r="D9" s="773">
        <v>78915665269</v>
      </c>
      <c r="E9" s="773">
        <v>74523104085</v>
      </c>
      <c r="F9" s="773">
        <v>102263015418</v>
      </c>
      <c r="G9" s="773">
        <f t="shared" ref="G9:R9" si="2">G10+G11+G12+G13</f>
        <v>7469550000</v>
      </c>
      <c r="H9" s="773">
        <f t="shared" si="2"/>
        <v>5602162500</v>
      </c>
      <c r="I9" s="773">
        <f t="shared" si="2"/>
        <v>8092012500</v>
      </c>
      <c r="J9" s="773">
        <f t="shared" si="2"/>
        <v>8714475000</v>
      </c>
      <c r="K9" s="773">
        <f t="shared" si="2"/>
        <v>8714475000</v>
      </c>
      <c r="L9" s="773">
        <f t="shared" si="2"/>
        <v>8714475000</v>
      </c>
      <c r="M9" s="773">
        <f t="shared" si="2"/>
        <v>8714475000</v>
      </c>
      <c r="N9" s="773">
        <f t="shared" si="2"/>
        <v>8714475000</v>
      </c>
      <c r="O9" s="773">
        <f t="shared" si="2"/>
        <v>8714475000</v>
      </c>
      <c r="P9" s="773">
        <f t="shared" si="2"/>
        <v>8714475000</v>
      </c>
      <c r="Q9" s="773">
        <f t="shared" si="2"/>
        <v>8714475000</v>
      </c>
      <c r="R9" s="773">
        <f t="shared" si="2"/>
        <v>8714475000</v>
      </c>
      <c r="S9" s="773">
        <f t="shared" si="1"/>
        <v>99594000000</v>
      </c>
      <c r="U9" s="775"/>
      <c r="V9" s="774">
        <v>102263015418</v>
      </c>
      <c r="W9" s="776"/>
      <c r="X9" s="774">
        <f>F9-V9</f>
        <v>0</v>
      </c>
    </row>
    <row r="10" spans="1:28" ht="26" outlineLevel="1">
      <c r="A10" s="756"/>
      <c r="B10" s="143" t="s">
        <v>103</v>
      </c>
      <c r="C10" s="765" t="s">
        <v>97</v>
      </c>
      <c r="D10" s="777">
        <v>78915665269</v>
      </c>
      <c r="E10" s="777">
        <v>74523104085</v>
      </c>
      <c r="F10" s="777">
        <v>102263015418</v>
      </c>
      <c r="G10" s="777">
        <v>7469550000</v>
      </c>
      <c r="H10" s="777">
        <v>5602162500</v>
      </c>
      <c r="I10" s="777">
        <v>8092012500</v>
      </c>
      <c r="J10" s="777">
        <v>8714475000</v>
      </c>
      <c r="K10" s="777">
        <v>8714475000</v>
      </c>
      <c r="L10" s="777">
        <v>8714475000</v>
      </c>
      <c r="M10" s="777">
        <v>8714475000</v>
      </c>
      <c r="N10" s="777">
        <v>8714475000</v>
      </c>
      <c r="O10" s="777">
        <v>8714475000</v>
      </c>
      <c r="P10" s="777">
        <v>8714475000</v>
      </c>
      <c r="Q10" s="777">
        <v>8714475000</v>
      </c>
      <c r="R10" s="777">
        <v>8714475000</v>
      </c>
      <c r="S10" s="777">
        <f t="shared" si="1"/>
        <v>99594000000</v>
      </c>
      <c r="U10" s="778">
        <f>(S10-F10)/F10</f>
        <v>-2.6099518062228082E-2</v>
      </c>
      <c r="V10" s="774">
        <v>102263015418</v>
      </c>
      <c r="W10" s="779" t="s">
        <v>187</v>
      </c>
      <c r="X10" s="774">
        <f t="shared" ref="X10:X54" si="3">F10-V10</f>
        <v>0</v>
      </c>
      <c r="AB10" s="774"/>
    </row>
    <row r="11" spans="1:28" ht="15.5" outlineLevel="1">
      <c r="A11" s="756"/>
      <c r="B11" s="143" t="s">
        <v>104</v>
      </c>
      <c r="C11" s="765" t="s">
        <v>15</v>
      </c>
      <c r="D11" s="777">
        <v>0</v>
      </c>
      <c r="E11" s="777">
        <v>0</v>
      </c>
      <c r="F11" s="777">
        <v>0</v>
      </c>
      <c r="G11" s="777">
        <v>0</v>
      </c>
      <c r="H11" s="777">
        <v>0</v>
      </c>
      <c r="I11" s="777">
        <v>0</v>
      </c>
      <c r="J11" s="777">
        <v>0</v>
      </c>
      <c r="K11" s="777">
        <v>0</v>
      </c>
      <c r="L11" s="777">
        <v>0</v>
      </c>
      <c r="M11" s="777">
        <v>0</v>
      </c>
      <c r="N11" s="777">
        <v>0</v>
      </c>
      <c r="O11" s="777">
        <v>0</v>
      </c>
      <c r="P11" s="777">
        <v>0</v>
      </c>
      <c r="Q11" s="777">
        <v>0</v>
      </c>
      <c r="R11" s="777">
        <v>0</v>
      </c>
      <c r="S11" s="777">
        <f t="shared" si="1"/>
        <v>0</v>
      </c>
      <c r="U11" s="778"/>
      <c r="W11" s="779"/>
      <c r="X11" s="774">
        <f t="shared" si="3"/>
        <v>0</v>
      </c>
      <c r="AB11" s="774"/>
    </row>
    <row r="12" spans="1:28" ht="15.5" outlineLevel="1">
      <c r="A12" s="756"/>
      <c r="B12" s="143" t="s">
        <v>105</v>
      </c>
      <c r="C12" s="765" t="s">
        <v>100</v>
      </c>
      <c r="D12" s="777">
        <v>0</v>
      </c>
      <c r="E12" s="777">
        <v>0</v>
      </c>
      <c r="F12" s="777">
        <v>0</v>
      </c>
      <c r="G12" s="777">
        <v>0</v>
      </c>
      <c r="H12" s="777">
        <v>0</v>
      </c>
      <c r="I12" s="777">
        <v>0</v>
      </c>
      <c r="J12" s="777">
        <v>0</v>
      </c>
      <c r="K12" s="777">
        <v>0</v>
      </c>
      <c r="L12" s="777">
        <v>0</v>
      </c>
      <c r="M12" s="777">
        <v>0</v>
      </c>
      <c r="N12" s="777">
        <v>0</v>
      </c>
      <c r="O12" s="777">
        <v>0</v>
      </c>
      <c r="P12" s="777">
        <v>0</v>
      </c>
      <c r="Q12" s="777">
        <v>0</v>
      </c>
      <c r="R12" s="777">
        <v>0</v>
      </c>
      <c r="S12" s="777">
        <f t="shared" si="1"/>
        <v>0</v>
      </c>
      <c r="U12" s="778"/>
      <c r="W12" s="779"/>
      <c r="X12" s="774">
        <f t="shared" si="3"/>
        <v>0</v>
      </c>
      <c r="AB12" s="774"/>
    </row>
    <row r="13" spans="1:28" ht="15.5" outlineLevel="1">
      <c r="A13" s="756"/>
      <c r="B13" s="143" t="s">
        <v>106</v>
      </c>
      <c r="C13" s="780" t="s">
        <v>107</v>
      </c>
      <c r="D13" s="777">
        <v>0</v>
      </c>
      <c r="E13" s="777">
        <v>0</v>
      </c>
      <c r="F13" s="777">
        <v>0</v>
      </c>
      <c r="G13" s="777">
        <v>0</v>
      </c>
      <c r="H13" s="777">
        <v>0</v>
      </c>
      <c r="I13" s="777">
        <v>0</v>
      </c>
      <c r="J13" s="777">
        <v>0</v>
      </c>
      <c r="K13" s="777">
        <v>0</v>
      </c>
      <c r="L13" s="777">
        <v>0</v>
      </c>
      <c r="M13" s="777">
        <v>0</v>
      </c>
      <c r="N13" s="777">
        <v>0</v>
      </c>
      <c r="O13" s="777">
        <v>0</v>
      </c>
      <c r="P13" s="777">
        <v>0</v>
      </c>
      <c r="Q13" s="777">
        <v>0</v>
      </c>
      <c r="R13" s="777">
        <v>0</v>
      </c>
      <c r="S13" s="777">
        <f t="shared" si="1"/>
        <v>0</v>
      </c>
      <c r="U13" s="778"/>
      <c r="W13" s="779"/>
      <c r="X13" s="774">
        <f t="shared" si="3"/>
        <v>0</v>
      </c>
      <c r="AB13" s="774"/>
    </row>
    <row r="14" spans="1:28" s="774" customFormat="1" ht="15.5">
      <c r="A14" s="756">
        <v>3</v>
      </c>
      <c r="B14" s="781">
        <v>3</v>
      </c>
      <c r="C14" s="782" t="s">
        <v>108</v>
      </c>
      <c r="D14" s="783">
        <v>88817087938.5</v>
      </c>
      <c r="E14" s="783">
        <v>70945682854</v>
      </c>
      <c r="F14" s="783">
        <v>87927104510</v>
      </c>
      <c r="G14" s="783">
        <f t="shared" ref="G14:R14" si="4">G15+G23</f>
        <v>6572958652.6757622</v>
      </c>
      <c r="H14" s="783">
        <f t="shared" si="4"/>
        <v>5040013458.0656452</v>
      </c>
      <c r="I14" s="783">
        <f t="shared" si="4"/>
        <v>7076087265.8791351</v>
      </c>
      <c r="J14" s="783">
        <f t="shared" si="4"/>
        <v>7615907391.0825071</v>
      </c>
      <c r="K14" s="783">
        <f t="shared" si="4"/>
        <v>7591044915.0825071</v>
      </c>
      <c r="L14" s="783">
        <f t="shared" si="4"/>
        <v>7609694009.0825071</v>
      </c>
      <c r="M14" s="783">
        <f t="shared" si="4"/>
        <v>7641222460.0825071</v>
      </c>
      <c r="N14" s="783">
        <f t="shared" si="4"/>
        <v>7653188933.0825071</v>
      </c>
      <c r="O14" s="783">
        <f t="shared" si="4"/>
        <v>7646163592.0825071</v>
      </c>
      <c r="P14" s="783">
        <f t="shared" si="4"/>
        <v>7594738642.0825071</v>
      </c>
      <c r="Q14" s="783">
        <f t="shared" si="4"/>
        <v>7609694009.0825071</v>
      </c>
      <c r="R14" s="783">
        <f t="shared" si="4"/>
        <v>7599339776.0825071</v>
      </c>
      <c r="S14" s="783">
        <f t="shared" si="1"/>
        <v>87250053104.363098</v>
      </c>
      <c r="U14" s="784"/>
      <c r="V14" s="774">
        <v>87927104510</v>
      </c>
      <c r="W14" s="785"/>
      <c r="X14" s="774">
        <f t="shared" si="3"/>
        <v>0</v>
      </c>
    </row>
    <row r="15" spans="1:28" s="774" customFormat="1" ht="15.5">
      <c r="A15" s="756">
        <v>4</v>
      </c>
      <c r="B15" s="786">
        <v>3.1</v>
      </c>
      <c r="C15" s="787" t="s">
        <v>109</v>
      </c>
      <c r="D15" s="783">
        <v>87338488904.5</v>
      </c>
      <c r="E15" s="783">
        <v>69651631026</v>
      </c>
      <c r="F15" s="783">
        <f>F16+F20+F21+F22</f>
        <v>86378512595</v>
      </c>
      <c r="G15" s="783">
        <f t="shared" ref="G15:R15" si="5">G16+G20+G21+G22</f>
        <v>6468991120.20823</v>
      </c>
      <c r="H15" s="783">
        <f t="shared" si="5"/>
        <v>4962037808.7149963</v>
      </c>
      <c r="I15" s="783">
        <f t="shared" si="5"/>
        <v>6963455772.3726416</v>
      </c>
      <c r="J15" s="783">
        <f t="shared" si="5"/>
        <v>7494611936.5370522</v>
      </c>
      <c r="K15" s="783">
        <f t="shared" si="5"/>
        <v>7469749460.5370522</v>
      </c>
      <c r="L15" s="783">
        <f t="shared" si="5"/>
        <v>7488398554.5370522</v>
      </c>
      <c r="M15" s="783">
        <f t="shared" si="5"/>
        <v>7519927005.5370522</v>
      </c>
      <c r="N15" s="783">
        <f t="shared" si="5"/>
        <v>7531893478.5370522</v>
      </c>
      <c r="O15" s="783">
        <f t="shared" si="5"/>
        <v>7524868137.5370522</v>
      </c>
      <c r="P15" s="783">
        <f t="shared" si="5"/>
        <v>7473443187.5370522</v>
      </c>
      <c r="Q15" s="783">
        <f t="shared" si="5"/>
        <v>7488398554.5370522</v>
      </c>
      <c r="R15" s="783">
        <f t="shared" si="5"/>
        <v>7478044321.5370522</v>
      </c>
      <c r="S15" s="783">
        <f t="shared" si="1"/>
        <v>85863819338.129318</v>
      </c>
      <c r="U15" s="784"/>
      <c r="W15" s="785"/>
    </row>
    <row r="16" spans="1:28" ht="15.5">
      <c r="A16" s="756">
        <v>5</v>
      </c>
      <c r="B16" s="788" t="s">
        <v>110</v>
      </c>
      <c r="C16" s="789" t="s">
        <v>111</v>
      </c>
      <c r="D16" s="790">
        <v>80577236536</v>
      </c>
      <c r="E16" s="790">
        <v>64023356129</v>
      </c>
      <c r="F16" s="790">
        <v>80577236536</v>
      </c>
      <c r="G16" s="790">
        <v>6000000000</v>
      </c>
      <c r="H16" s="790">
        <v>4500000000</v>
      </c>
      <c r="I16" s="790">
        <v>6500000000</v>
      </c>
      <c r="J16" s="790">
        <v>7000000000</v>
      </c>
      <c r="K16" s="790">
        <v>7000000000</v>
      </c>
      <c r="L16" s="790">
        <v>7000000000</v>
      </c>
      <c r="M16" s="790">
        <v>7000000000</v>
      </c>
      <c r="N16" s="790">
        <v>7000000000</v>
      </c>
      <c r="O16" s="790">
        <v>7000000000</v>
      </c>
      <c r="P16" s="790">
        <v>7000000000</v>
      </c>
      <c r="Q16" s="790">
        <v>7000000000</v>
      </c>
      <c r="R16" s="790">
        <v>7000000000</v>
      </c>
      <c r="S16" s="790">
        <f t="shared" si="1"/>
        <v>80000000000</v>
      </c>
      <c r="T16" s="244"/>
      <c r="U16" s="791">
        <f>(S16-F16)/F16</f>
        <v>-7.1637668504814555E-3</v>
      </c>
      <c r="V16" s="745">
        <v>80577236536</v>
      </c>
      <c r="W16" s="792" t="s">
        <v>187</v>
      </c>
      <c r="X16" s="774">
        <f t="shared" si="3"/>
        <v>0</v>
      </c>
      <c r="AB16" s="774"/>
    </row>
    <row r="17" spans="1:28" s="795" customFormat="1" ht="15.5" outlineLevel="1">
      <c r="A17" s="756">
        <v>6</v>
      </c>
      <c r="B17" s="793" t="s">
        <v>112</v>
      </c>
      <c r="C17" s="794" t="s">
        <v>113</v>
      </c>
      <c r="D17" s="777">
        <v>8141919944</v>
      </c>
      <c r="E17" s="777">
        <v>5823164953</v>
      </c>
      <c r="F17" s="777">
        <v>8141919944</v>
      </c>
      <c r="G17" s="777">
        <v>663000000</v>
      </c>
      <c r="H17" s="777">
        <v>497250000</v>
      </c>
      <c r="I17" s="777">
        <v>718250000</v>
      </c>
      <c r="J17" s="777">
        <v>773500000</v>
      </c>
      <c r="K17" s="777">
        <v>773500000</v>
      </c>
      <c r="L17" s="777">
        <v>773500000</v>
      </c>
      <c r="M17" s="777">
        <v>773500000</v>
      </c>
      <c r="N17" s="777">
        <v>773500000</v>
      </c>
      <c r="O17" s="777">
        <v>773500000</v>
      </c>
      <c r="P17" s="777">
        <v>773500000</v>
      </c>
      <c r="Q17" s="777">
        <v>773500000</v>
      </c>
      <c r="R17" s="777">
        <v>773500000</v>
      </c>
      <c r="S17" s="777">
        <f>SUM(G17:R17)</f>
        <v>8840000000</v>
      </c>
      <c r="T17" s="158"/>
      <c r="U17" s="778"/>
      <c r="W17" s="779"/>
      <c r="X17" s="774"/>
      <c r="AB17" s="774"/>
    </row>
    <row r="18" spans="1:28" s="795" customFormat="1" ht="15.5" outlineLevel="1">
      <c r="A18" s="756">
        <v>7</v>
      </c>
      <c r="B18" s="793"/>
      <c r="C18" s="794" t="s">
        <v>114</v>
      </c>
      <c r="D18" s="777">
        <v>0</v>
      </c>
      <c r="E18" s="777">
        <v>0</v>
      </c>
      <c r="F18" s="777">
        <v>0</v>
      </c>
      <c r="G18" s="777">
        <v>0</v>
      </c>
      <c r="H18" s="777">
        <v>0</v>
      </c>
      <c r="I18" s="777">
        <v>0</v>
      </c>
      <c r="J18" s="777">
        <v>0</v>
      </c>
      <c r="K18" s="777">
        <v>0</v>
      </c>
      <c r="L18" s="777">
        <v>0</v>
      </c>
      <c r="M18" s="777">
        <v>0</v>
      </c>
      <c r="N18" s="777">
        <v>0</v>
      </c>
      <c r="O18" s="777">
        <v>0</v>
      </c>
      <c r="P18" s="777">
        <v>0</v>
      </c>
      <c r="Q18" s="777">
        <v>0</v>
      </c>
      <c r="R18" s="777">
        <v>0</v>
      </c>
      <c r="S18" s="777">
        <f>SUM(G18:R18)</f>
        <v>0</v>
      </c>
      <c r="T18" s="158"/>
      <c r="U18" s="778"/>
      <c r="W18" s="779"/>
      <c r="X18" s="774">
        <f t="shared" si="3"/>
        <v>0</v>
      </c>
      <c r="AB18" s="774"/>
    </row>
    <row r="19" spans="1:28" s="163" customFormat="1" ht="15.5">
      <c r="A19" s="756">
        <v>8</v>
      </c>
      <c r="B19" s="796" t="s">
        <v>115</v>
      </c>
      <c r="C19" s="160" t="s">
        <v>116</v>
      </c>
      <c r="D19" s="161">
        <v>1.0210550245168206</v>
      </c>
      <c r="E19" s="161">
        <v>0.85910747968812284</v>
      </c>
      <c r="F19" s="161">
        <v>0.78794113596827364</v>
      </c>
      <c r="G19" s="161">
        <f>G16/G9</f>
        <v>0.80326124063698612</v>
      </c>
      <c r="H19" s="161">
        <f t="shared" ref="H19:R19" si="6">H16/H9</f>
        <v>0.80326124063698612</v>
      </c>
      <c r="I19" s="161">
        <f t="shared" si="6"/>
        <v>0.80326124063698612</v>
      </c>
      <c r="J19" s="161">
        <f>J16/J9</f>
        <v>0.80326124063698612</v>
      </c>
      <c r="K19" s="161">
        <f>K16/K9</f>
        <v>0.80326124063698612</v>
      </c>
      <c r="L19" s="161">
        <f t="shared" si="6"/>
        <v>0.80326124063698612</v>
      </c>
      <c r="M19" s="161">
        <f t="shared" si="6"/>
        <v>0.80326124063698612</v>
      </c>
      <c r="N19" s="161">
        <f t="shared" si="6"/>
        <v>0.80326124063698612</v>
      </c>
      <c r="O19" s="161">
        <f t="shared" si="6"/>
        <v>0.80326124063698612</v>
      </c>
      <c r="P19" s="161">
        <f t="shared" si="6"/>
        <v>0.80326124063698612</v>
      </c>
      <c r="Q19" s="161">
        <f t="shared" si="6"/>
        <v>0.80326124063698612</v>
      </c>
      <c r="R19" s="161">
        <f t="shared" si="6"/>
        <v>0.80326124063698612</v>
      </c>
      <c r="S19" s="161">
        <f>S16/S9</f>
        <v>0.80326124063698612</v>
      </c>
      <c r="U19" s="797"/>
      <c r="W19" s="798"/>
      <c r="X19" s="774"/>
      <c r="AB19" s="774"/>
    </row>
    <row r="20" spans="1:28" ht="15.5">
      <c r="A20" s="756">
        <v>9</v>
      </c>
      <c r="B20" s="793" t="s">
        <v>117</v>
      </c>
      <c r="C20" s="789" t="s">
        <v>168</v>
      </c>
      <c r="D20" s="790">
        <v>630817585</v>
      </c>
      <c r="E20" s="790">
        <v>620417107</v>
      </c>
      <c r="F20" s="790">
        <v>284390496</v>
      </c>
      <c r="G20" s="790">
        <v>22645123.043478258</v>
      </c>
      <c r="H20" s="790">
        <v>16983842.282608695</v>
      </c>
      <c r="I20" s="790">
        <v>24532216.630434781</v>
      </c>
      <c r="J20" s="790">
        <v>26419310.217391305</v>
      </c>
      <c r="K20" s="790">
        <v>26419310.217391305</v>
      </c>
      <c r="L20" s="790">
        <v>26419310.217391305</v>
      </c>
      <c r="M20" s="790">
        <v>26419310.217391305</v>
      </c>
      <c r="N20" s="790">
        <v>26419310.217391305</v>
      </c>
      <c r="O20" s="790">
        <v>26419310.217391305</v>
      </c>
      <c r="P20" s="790">
        <v>26419310.217391305</v>
      </c>
      <c r="Q20" s="790">
        <v>26419310.217391305</v>
      </c>
      <c r="R20" s="790">
        <v>26419310.217391305</v>
      </c>
      <c r="S20" s="790">
        <f t="shared" si="1"/>
        <v>301934973.9130435</v>
      </c>
      <c r="T20" s="244"/>
      <c r="U20" s="791">
        <f>(S20-F20)/F20</f>
        <v>6.1691505728248733E-2</v>
      </c>
      <c r="V20" s="745">
        <v>284390496</v>
      </c>
      <c r="W20" s="792"/>
      <c r="X20" s="774">
        <f t="shared" si="3"/>
        <v>0</v>
      </c>
      <c r="AB20" s="774"/>
    </row>
    <row r="21" spans="1:28" ht="15.5">
      <c r="A21" s="756">
        <v>10</v>
      </c>
      <c r="B21" s="793" t="s">
        <v>119</v>
      </c>
      <c r="C21" s="789" t="s">
        <v>120</v>
      </c>
      <c r="D21" s="790">
        <v>326356700</v>
      </c>
      <c r="E21" s="790">
        <v>377182809</v>
      </c>
      <c r="F21" s="790">
        <v>452560080</v>
      </c>
      <c r="G21" s="790">
        <v>36467418.929457642</v>
      </c>
      <c r="H21" s="790">
        <v>27350564.19709323</v>
      </c>
      <c r="I21" s="790">
        <v>39506370.50691244</v>
      </c>
      <c r="J21" s="790">
        <v>42545322.084367245</v>
      </c>
      <c r="K21" s="790">
        <v>42545322.084367245</v>
      </c>
      <c r="L21" s="790">
        <v>42545322.084367245</v>
      </c>
      <c r="M21" s="790">
        <v>42545322.084367245</v>
      </c>
      <c r="N21" s="790">
        <v>42545322.084367245</v>
      </c>
      <c r="O21" s="790">
        <v>42545322.084367245</v>
      </c>
      <c r="P21" s="790">
        <v>42545322.084367245</v>
      </c>
      <c r="Q21" s="790">
        <v>42545322.084367245</v>
      </c>
      <c r="R21" s="790">
        <v>42545322.084367245</v>
      </c>
      <c r="S21" s="790">
        <f t="shared" si="1"/>
        <v>486232252.39276862</v>
      </c>
      <c r="T21" s="244"/>
      <c r="U21" s="791">
        <f>(S21-F21)/F21</f>
        <v>7.4403761800573801E-2</v>
      </c>
      <c r="V21" s="745">
        <v>452560080</v>
      </c>
      <c r="W21" s="792"/>
      <c r="X21" s="774">
        <f t="shared" si="3"/>
        <v>0</v>
      </c>
      <c r="AB21" s="774"/>
    </row>
    <row r="22" spans="1:28" ht="15.5">
      <c r="A22" s="756">
        <v>11</v>
      </c>
      <c r="B22" s="793" t="s">
        <v>121</v>
      </c>
      <c r="C22" s="789" t="s">
        <v>122</v>
      </c>
      <c r="D22" s="790">
        <v>5804078083.499999</v>
      </c>
      <c r="E22" s="790">
        <v>4630674981</v>
      </c>
      <c r="F22" s="790">
        <v>5064325483</v>
      </c>
      <c r="G22" s="790">
        <v>409878578.2352941</v>
      </c>
      <c r="H22" s="790">
        <v>417703402.2352941</v>
      </c>
      <c r="I22" s="790">
        <v>399417185.2352941</v>
      </c>
      <c r="J22" s="790">
        <v>425647304.2352941</v>
      </c>
      <c r="K22" s="790">
        <v>400784828.2352941</v>
      </c>
      <c r="L22" s="790">
        <v>419433922.2352941</v>
      </c>
      <c r="M22" s="790">
        <v>450962373.2352941</v>
      </c>
      <c r="N22" s="790">
        <v>462928846.2352941</v>
      </c>
      <c r="O22" s="790">
        <v>455903505.2352941</v>
      </c>
      <c r="P22" s="790">
        <v>404478555.2352941</v>
      </c>
      <c r="Q22" s="790">
        <v>419433922.2352941</v>
      </c>
      <c r="R22" s="790">
        <v>409079689.2352941</v>
      </c>
      <c r="S22" s="790">
        <f t="shared" si="1"/>
        <v>5075652111.8235302</v>
      </c>
      <c r="T22" s="244"/>
      <c r="U22" s="791">
        <f>(S22-F22)/F22</f>
        <v>2.2365523032734738E-3</v>
      </c>
      <c r="V22" s="745">
        <v>5064325483</v>
      </c>
      <c r="W22" s="792"/>
      <c r="X22" s="774">
        <f t="shared" si="3"/>
        <v>0</v>
      </c>
      <c r="AB22" s="774"/>
    </row>
    <row r="23" spans="1:28" s="774" customFormat="1" ht="15.5">
      <c r="A23" s="756">
        <v>12</v>
      </c>
      <c r="B23" s="786">
        <v>3.2</v>
      </c>
      <c r="C23" s="787" t="s">
        <v>123</v>
      </c>
      <c r="D23" s="783">
        <v>1478599034</v>
      </c>
      <c r="E23" s="783">
        <v>1294051828</v>
      </c>
      <c r="F23" s="783">
        <v>1386300000</v>
      </c>
      <c r="G23" s="783">
        <f t="shared" ref="G23:R23" si="7">G24</f>
        <v>103967532.46753247</v>
      </c>
      <c r="H23" s="783">
        <f t="shared" si="7"/>
        <v>77975649.350649357</v>
      </c>
      <c r="I23" s="783">
        <f t="shared" si="7"/>
        <v>112631493.50649351</v>
      </c>
      <c r="J23" s="783">
        <f t="shared" si="7"/>
        <v>121295454.54545455</v>
      </c>
      <c r="K23" s="783">
        <f t="shared" si="7"/>
        <v>121295454.54545455</v>
      </c>
      <c r="L23" s="783">
        <f t="shared" si="7"/>
        <v>121295454.54545455</v>
      </c>
      <c r="M23" s="783">
        <f t="shared" si="7"/>
        <v>121295454.54545455</v>
      </c>
      <c r="N23" s="783">
        <f t="shared" si="7"/>
        <v>121295454.54545455</v>
      </c>
      <c r="O23" s="783">
        <f t="shared" si="7"/>
        <v>121295454.54545455</v>
      </c>
      <c r="P23" s="783">
        <f t="shared" si="7"/>
        <v>121295454.54545455</v>
      </c>
      <c r="Q23" s="783">
        <f t="shared" si="7"/>
        <v>121295454.54545455</v>
      </c>
      <c r="R23" s="783">
        <f t="shared" si="7"/>
        <v>121295454.54545455</v>
      </c>
      <c r="S23" s="783">
        <f t="shared" si="1"/>
        <v>1386233766.2337661</v>
      </c>
      <c r="T23" s="244"/>
      <c r="U23" s="784"/>
      <c r="V23" s="745">
        <v>1386300000</v>
      </c>
      <c r="W23" s="785"/>
      <c r="X23" s="774">
        <f t="shared" si="3"/>
        <v>0</v>
      </c>
    </row>
    <row r="24" spans="1:28" ht="15.5" outlineLevel="1" collapsed="1">
      <c r="A24" s="756">
        <v>13</v>
      </c>
      <c r="B24" s="788"/>
      <c r="C24" s="789" t="s">
        <v>124</v>
      </c>
      <c r="D24" s="790">
        <v>1478599034</v>
      </c>
      <c r="E24" s="790">
        <v>1294051828</v>
      </c>
      <c r="F24" s="790">
        <v>1386300000</v>
      </c>
      <c r="G24" s="790">
        <v>103967532.46753247</v>
      </c>
      <c r="H24" s="790">
        <v>77975649.350649357</v>
      </c>
      <c r="I24" s="790">
        <v>112631493.50649351</v>
      </c>
      <c r="J24" s="790">
        <v>121295454.54545455</v>
      </c>
      <c r="K24" s="790">
        <v>121295454.54545455</v>
      </c>
      <c r="L24" s="790">
        <v>121295454.54545455</v>
      </c>
      <c r="M24" s="790">
        <v>121295454.54545455</v>
      </c>
      <c r="N24" s="790">
        <v>121295454.54545455</v>
      </c>
      <c r="O24" s="790">
        <v>121295454.54545455</v>
      </c>
      <c r="P24" s="790">
        <v>121295454.54545455</v>
      </c>
      <c r="Q24" s="790">
        <v>121295454.54545455</v>
      </c>
      <c r="R24" s="790">
        <v>121295454.54545455</v>
      </c>
      <c r="S24" s="790">
        <f t="shared" si="1"/>
        <v>1386233766.2337661</v>
      </c>
      <c r="U24" s="791">
        <f>(S24-F24)/F24</f>
        <v>-4.7777368703686831E-5</v>
      </c>
      <c r="V24" s="745">
        <v>1386300000</v>
      </c>
      <c r="W24" s="792"/>
      <c r="X24" s="774">
        <f t="shared" si="3"/>
        <v>0</v>
      </c>
      <c r="AB24" s="774"/>
    </row>
    <row r="25" spans="1:28" s="774" customFormat="1" ht="15.5">
      <c r="A25" s="756">
        <v>14</v>
      </c>
      <c r="B25" s="771">
        <v>4</v>
      </c>
      <c r="C25" s="772" t="s">
        <v>125</v>
      </c>
      <c r="D25" s="773">
        <v>-9901422669.5</v>
      </c>
      <c r="E25" s="773">
        <v>3577421231</v>
      </c>
      <c r="F25" s="773">
        <v>14335910908</v>
      </c>
      <c r="G25" s="773">
        <f t="shared" ref="G25:R25" si="8">G9-G14</f>
        <v>896591347.32423782</v>
      </c>
      <c r="H25" s="773">
        <f>H9-H14</f>
        <v>562149041.93435478</v>
      </c>
      <c r="I25" s="773">
        <f t="shared" si="8"/>
        <v>1015925234.1208649</v>
      </c>
      <c r="J25" s="773">
        <f t="shared" si="8"/>
        <v>1098567608.9174929</v>
      </c>
      <c r="K25" s="773">
        <f t="shared" si="8"/>
        <v>1123430084.9174929</v>
      </c>
      <c r="L25" s="773">
        <f t="shared" si="8"/>
        <v>1104780990.9174929</v>
      </c>
      <c r="M25" s="773">
        <f t="shared" si="8"/>
        <v>1073252539.9174929</v>
      </c>
      <c r="N25" s="773">
        <f t="shared" si="8"/>
        <v>1061286066.9174929</v>
      </c>
      <c r="O25" s="773">
        <f t="shared" si="8"/>
        <v>1068311407.9174929</v>
      </c>
      <c r="P25" s="773">
        <f t="shared" si="8"/>
        <v>1119736357.9174929</v>
      </c>
      <c r="Q25" s="773">
        <f t="shared" si="8"/>
        <v>1104780990.9174929</v>
      </c>
      <c r="R25" s="773">
        <f t="shared" si="8"/>
        <v>1115135223.9174929</v>
      </c>
      <c r="S25" s="773">
        <f t="shared" si="1"/>
        <v>12343946895.63689</v>
      </c>
      <c r="U25" s="775"/>
      <c r="V25" s="774">
        <v>14335910908</v>
      </c>
      <c r="W25" s="776"/>
      <c r="X25" s="774">
        <f t="shared" si="3"/>
        <v>0</v>
      </c>
    </row>
    <row r="26" spans="1:28" s="163" customFormat="1" ht="15.5">
      <c r="A26" s="756">
        <v>15</v>
      </c>
      <c r="B26" s="168" t="s">
        <v>126</v>
      </c>
      <c r="C26" s="160" t="s">
        <v>127</v>
      </c>
      <c r="D26" s="161">
        <v>-0.12546840523676761</v>
      </c>
      <c r="E26" s="161">
        <v>4.8004189773410991E-2</v>
      </c>
      <c r="F26" s="799">
        <f t="shared" ref="F26" si="9">F25/F9</f>
        <v>0.14018666327608251</v>
      </c>
      <c r="G26" s="161">
        <f>G25/G9</f>
        <v>0.12003284633267571</v>
      </c>
      <c r="H26" s="161">
        <f>H25/H9</f>
        <v>0.10034500818824066</v>
      </c>
      <c r="I26" s="161">
        <f t="shared" ref="I26:S26" si="10">I25/I9</f>
        <v>0.12554667137759176</v>
      </c>
      <c r="J26" s="161">
        <f>J25/J9</f>
        <v>0.12606239720895324</v>
      </c>
      <c r="K26" s="161">
        <f t="shared" si="10"/>
        <v>0.12891540625424858</v>
      </c>
      <c r="L26" s="161">
        <f t="shared" si="10"/>
        <v>0.12677539277093489</v>
      </c>
      <c r="M26" s="161">
        <f t="shared" si="10"/>
        <v>0.12315745239013169</v>
      </c>
      <c r="N26" s="161">
        <f t="shared" si="10"/>
        <v>0.12178428039755612</v>
      </c>
      <c r="O26" s="161">
        <f t="shared" si="10"/>
        <v>0.12259044955863582</v>
      </c>
      <c r="P26" s="161">
        <f t="shared" si="10"/>
        <v>0.12849154514959224</v>
      </c>
      <c r="Q26" s="161">
        <f t="shared" si="10"/>
        <v>0.12677539277093489</v>
      </c>
      <c r="R26" s="161">
        <f t="shared" si="10"/>
        <v>0.12796355763456696</v>
      </c>
      <c r="S26" s="161">
        <f t="shared" si="10"/>
        <v>0.12394267622182953</v>
      </c>
      <c r="U26" s="797"/>
      <c r="W26" s="798"/>
      <c r="X26" s="774">
        <f t="shared" si="3"/>
        <v>0.14018666327608251</v>
      </c>
      <c r="AB26" s="774"/>
    </row>
    <row r="27" spans="1:28" s="774" customFormat="1" ht="15.5">
      <c r="A27" s="756">
        <v>16</v>
      </c>
      <c r="B27" s="786">
        <v>5</v>
      </c>
      <c r="C27" s="787" t="s">
        <v>128</v>
      </c>
      <c r="D27" s="783">
        <v>2094157795.5</v>
      </c>
      <c r="E27" s="783">
        <v>2385196776</v>
      </c>
      <c r="F27" s="783">
        <v>3782814255</v>
      </c>
      <c r="G27" s="783">
        <f t="shared" ref="G27:R27" si="11">G28+G29+G30</f>
        <v>426116455.18623471</v>
      </c>
      <c r="H27" s="783">
        <f t="shared" si="11"/>
        <v>434809263.28623474</v>
      </c>
      <c r="I27" s="783">
        <f t="shared" si="11"/>
        <v>401762747.75290143</v>
      </c>
      <c r="J27" s="783">
        <f t="shared" si="11"/>
        <v>417065576.91956806</v>
      </c>
      <c r="K27" s="783">
        <f t="shared" si="11"/>
        <v>400416986.11956811</v>
      </c>
      <c r="L27" s="783">
        <f t="shared" si="11"/>
        <v>426097202.3862347</v>
      </c>
      <c r="M27" s="783">
        <f t="shared" si="11"/>
        <v>407616075.25290143</v>
      </c>
      <c r="N27" s="783">
        <f t="shared" si="11"/>
        <v>413182246.83623469</v>
      </c>
      <c r="O27" s="783">
        <f t="shared" si="11"/>
        <v>408602366.95290142</v>
      </c>
      <c r="P27" s="783">
        <f t="shared" si="11"/>
        <v>401274900.28623474</v>
      </c>
      <c r="Q27" s="783">
        <f t="shared" si="11"/>
        <v>403398306.58623469</v>
      </c>
      <c r="R27" s="783">
        <f t="shared" si="11"/>
        <v>412249242.38623476</v>
      </c>
      <c r="S27" s="783">
        <f t="shared" si="1"/>
        <v>4952591369.9514828</v>
      </c>
      <c r="T27" s="245"/>
      <c r="U27" s="784"/>
      <c r="W27" s="785"/>
    </row>
    <row r="28" spans="1:28" ht="50" collapsed="1">
      <c r="A28" s="756">
        <v>17</v>
      </c>
      <c r="B28" s="788">
        <v>5.0999999999999996</v>
      </c>
      <c r="C28" s="780" t="s">
        <v>129</v>
      </c>
      <c r="D28" s="790">
        <v>315172859.5</v>
      </c>
      <c r="E28" s="790">
        <v>220439144</v>
      </c>
      <c r="F28" s="790">
        <v>1005626325</v>
      </c>
      <c r="G28" s="790">
        <v>169136919.66666666</v>
      </c>
      <c r="H28" s="790">
        <v>189506458.66666666</v>
      </c>
      <c r="I28" s="790">
        <v>161747201.83333331</v>
      </c>
      <c r="J28" s="790">
        <v>173887064.99999997</v>
      </c>
      <c r="K28" s="790">
        <v>166825770.49999997</v>
      </c>
      <c r="L28" s="790">
        <v>172211366.66666666</v>
      </c>
      <c r="M28" s="790">
        <v>173314952.33333331</v>
      </c>
      <c r="N28" s="790">
        <v>174535725.66666666</v>
      </c>
      <c r="O28" s="790">
        <v>177780237.33333331</v>
      </c>
      <c r="P28" s="790">
        <v>165418199.66666666</v>
      </c>
      <c r="Q28" s="790">
        <v>173253200.66666666</v>
      </c>
      <c r="R28" s="790">
        <v>169042245.66666666</v>
      </c>
      <c r="S28" s="790">
        <f t="shared" si="1"/>
        <v>2066659343.6666667</v>
      </c>
      <c r="T28" s="244"/>
      <c r="U28" s="791">
        <f>(S28-F28)/F28</f>
        <v>1.0550967017163824</v>
      </c>
      <c r="W28" s="792" t="s">
        <v>188</v>
      </c>
      <c r="X28" s="774"/>
      <c r="AB28" s="774"/>
    </row>
    <row r="29" spans="1:28" ht="15.5">
      <c r="A29" s="756">
        <v>18</v>
      </c>
      <c r="B29" s="788">
        <v>5.2</v>
      </c>
      <c r="C29" s="780" t="s">
        <v>130</v>
      </c>
      <c r="D29" s="790">
        <v>1118310000</v>
      </c>
      <c r="E29" s="790">
        <v>1557000000</v>
      </c>
      <c r="F29" s="790">
        <v>1800000000</v>
      </c>
      <c r="G29" s="790">
        <v>150000000</v>
      </c>
      <c r="H29" s="790">
        <v>150000000</v>
      </c>
      <c r="I29" s="790">
        <v>150000000</v>
      </c>
      <c r="J29" s="790">
        <v>150000000</v>
      </c>
      <c r="K29" s="790">
        <v>150000000</v>
      </c>
      <c r="L29" s="790">
        <v>150000000</v>
      </c>
      <c r="M29" s="790">
        <v>150000000</v>
      </c>
      <c r="N29" s="790">
        <v>150000000</v>
      </c>
      <c r="O29" s="790">
        <v>150000000</v>
      </c>
      <c r="P29" s="790">
        <v>150000000</v>
      </c>
      <c r="Q29" s="790">
        <v>150000000</v>
      </c>
      <c r="R29" s="790">
        <v>150000000</v>
      </c>
      <c r="S29" s="790">
        <f t="shared" si="1"/>
        <v>1800000000</v>
      </c>
      <c r="T29" s="244"/>
      <c r="U29" s="791">
        <f>(S29-F29)/F29</f>
        <v>0</v>
      </c>
      <c r="W29" s="792"/>
      <c r="X29" s="774"/>
      <c r="AB29" s="774"/>
    </row>
    <row r="30" spans="1:28" ht="25">
      <c r="A30" s="756">
        <v>19</v>
      </c>
      <c r="B30" s="788">
        <v>5.3</v>
      </c>
      <c r="C30" s="780" t="s">
        <v>131</v>
      </c>
      <c r="D30" s="790">
        <v>660674936</v>
      </c>
      <c r="E30" s="790">
        <v>607757632</v>
      </c>
      <c r="F30" s="790">
        <v>977187930</v>
      </c>
      <c r="G30" s="790">
        <v>106979535.5195681</v>
      </c>
      <c r="H30" s="790">
        <v>95302804.61956811</v>
      </c>
      <c r="I30" s="790">
        <v>90015545.919568092</v>
      </c>
      <c r="J30" s="790">
        <v>93178511.919568092</v>
      </c>
      <c r="K30" s="790">
        <v>83591215.619568095</v>
      </c>
      <c r="L30" s="790">
        <v>103885835.71956809</v>
      </c>
      <c r="M30" s="790">
        <v>84301122.919568092</v>
      </c>
      <c r="N30" s="790">
        <v>88646521.169568092</v>
      </c>
      <c r="O30" s="790">
        <v>80822129.619568095</v>
      </c>
      <c r="P30" s="790">
        <v>85856700.619568095</v>
      </c>
      <c r="Q30" s="790">
        <v>80145105.919568092</v>
      </c>
      <c r="R30" s="790">
        <v>93206996.719568104</v>
      </c>
      <c r="S30" s="790">
        <f t="shared" si="1"/>
        <v>1085932026.284817</v>
      </c>
      <c r="T30" s="244"/>
      <c r="U30" s="791">
        <f>(S30-F30)/F30</f>
        <v>0.1112826846774673</v>
      </c>
      <c r="W30" s="792" t="s">
        <v>189</v>
      </c>
      <c r="X30" s="774"/>
      <c r="AB30" s="774"/>
    </row>
    <row r="31" spans="1:28" s="774" customFormat="1" ht="15.5">
      <c r="A31" s="756">
        <v>20</v>
      </c>
      <c r="B31" s="786">
        <v>6</v>
      </c>
      <c r="C31" s="782" t="s">
        <v>174</v>
      </c>
      <c r="D31" s="783">
        <v>1036408270</v>
      </c>
      <c r="E31" s="783">
        <v>1382050356</v>
      </c>
      <c r="F31" s="783">
        <v>2130924335</v>
      </c>
      <c r="G31" s="783">
        <v>105430110.40905017</v>
      </c>
      <c r="H31" s="783">
        <v>99404465.247759849</v>
      </c>
      <c r="I31" s="783">
        <v>107438658.79614694</v>
      </c>
      <c r="J31" s="783">
        <v>109447207.18324372</v>
      </c>
      <c r="K31" s="783">
        <v>109447207.18324372</v>
      </c>
      <c r="L31" s="783">
        <v>109447207.18324372</v>
      </c>
      <c r="M31" s="783">
        <v>109447207.18324372</v>
      </c>
      <c r="N31" s="783">
        <v>109447207.18324372</v>
      </c>
      <c r="O31" s="783">
        <v>109447207.18324372</v>
      </c>
      <c r="P31" s="783">
        <v>109447207.18324372</v>
      </c>
      <c r="Q31" s="783">
        <v>109447207.18324372</v>
      </c>
      <c r="R31" s="783">
        <v>109447207.18324372</v>
      </c>
      <c r="S31" s="783">
        <f t="shared" si="1"/>
        <v>1297298099.1021507</v>
      </c>
      <c r="U31" s="784"/>
      <c r="V31" s="774">
        <v>2130924335</v>
      </c>
      <c r="W31" s="785"/>
      <c r="X31" s="774">
        <f t="shared" si="3"/>
        <v>0</v>
      </c>
    </row>
    <row r="32" spans="1:28" s="774" customFormat="1" ht="15.5" collapsed="1">
      <c r="A32" s="756">
        <v>21</v>
      </c>
      <c r="B32" s="771">
        <v>7</v>
      </c>
      <c r="C32" s="772" t="s">
        <v>133</v>
      </c>
      <c r="D32" s="773">
        <v>-13031988735</v>
      </c>
      <c r="E32" s="773">
        <v>-189825901</v>
      </c>
      <c r="F32" s="773">
        <v>8037560262</v>
      </c>
      <c r="G32" s="773">
        <f t="shared" ref="G32:R32" si="12">G25-G27-G31</f>
        <v>365044781.72895294</v>
      </c>
      <c r="H32" s="773">
        <f t="shared" si="12"/>
        <v>27935313.400360197</v>
      </c>
      <c r="I32" s="773">
        <f t="shared" si="12"/>
        <v>506723827.5718165</v>
      </c>
      <c r="J32" s="773">
        <f t="shared" si="12"/>
        <v>572054824.81468105</v>
      </c>
      <c r="K32" s="773">
        <f t="shared" si="12"/>
        <v>613565891.61468101</v>
      </c>
      <c r="L32" s="773">
        <f t="shared" si="12"/>
        <v>569236581.34801435</v>
      </c>
      <c r="M32" s="773">
        <f t="shared" si="12"/>
        <v>556189257.48134768</v>
      </c>
      <c r="N32" s="773">
        <f t="shared" si="12"/>
        <v>538656612.89801443</v>
      </c>
      <c r="O32" s="773">
        <f t="shared" si="12"/>
        <v>550261833.78134775</v>
      </c>
      <c r="P32" s="773">
        <f t="shared" si="12"/>
        <v>609014250.44801438</v>
      </c>
      <c r="Q32" s="773">
        <f t="shared" si="12"/>
        <v>591935477.14801443</v>
      </c>
      <c r="R32" s="773">
        <f t="shared" si="12"/>
        <v>593438774.34801435</v>
      </c>
      <c r="S32" s="773">
        <f t="shared" si="1"/>
        <v>6094057426.5832577</v>
      </c>
      <c r="U32" s="775"/>
      <c r="V32" s="774">
        <v>8037560262</v>
      </c>
      <c r="W32" s="776"/>
      <c r="X32" s="774">
        <f t="shared" si="3"/>
        <v>0</v>
      </c>
    </row>
    <row r="33" spans="1:28" s="163" customFormat="1" ht="15.5">
      <c r="A33" s="756">
        <v>22</v>
      </c>
      <c r="B33" s="168" t="s">
        <v>134</v>
      </c>
      <c r="C33" s="160" t="s">
        <v>135</v>
      </c>
      <c r="D33" s="161">
        <v>-0.16513817238412465</v>
      </c>
      <c r="E33" s="161">
        <v>-2.5472087258132359E-3</v>
      </c>
      <c r="F33" s="161">
        <f t="shared" ref="F33:S33" si="13">F32/F9</f>
        <v>7.8596941711003523E-2</v>
      </c>
      <c r="G33" s="161">
        <f t="shared" si="13"/>
        <v>4.8871054043276095E-2</v>
      </c>
      <c r="H33" s="161">
        <f t="shared" si="13"/>
        <v>4.9865232221236351E-3</v>
      </c>
      <c r="I33" s="161">
        <f t="shared" si="13"/>
        <v>6.2620247753178399E-2</v>
      </c>
      <c r="J33" s="161">
        <f t="shared" si="13"/>
        <v>6.5644209756144919E-2</v>
      </c>
      <c r="K33" s="161">
        <f t="shared" si="13"/>
        <v>7.0407671330135327E-2</v>
      </c>
      <c r="L33" s="161">
        <f t="shared" si="13"/>
        <v>6.532081179279467E-2</v>
      </c>
      <c r="M33" s="161">
        <f t="shared" si="13"/>
        <v>6.3823610427633071E-2</v>
      </c>
      <c r="N33" s="161">
        <f t="shared" si="13"/>
        <v>6.1811711307682267E-2</v>
      </c>
      <c r="O33" s="161">
        <f t="shared" si="13"/>
        <v>6.3143429039769786E-2</v>
      </c>
      <c r="P33" s="161">
        <f t="shared" si="13"/>
        <v>6.9885363197210892E-2</v>
      </c>
      <c r="Q33" s="161">
        <f t="shared" si="13"/>
        <v>6.7925546535851491E-2</v>
      </c>
      <c r="R33" s="161">
        <f t="shared" si="13"/>
        <v>6.8098052303554077E-2</v>
      </c>
      <c r="S33" s="161">
        <f t="shared" si="13"/>
        <v>6.1189001612378835E-2</v>
      </c>
      <c r="U33" s="797"/>
      <c r="W33" s="785"/>
      <c r="X33" s="774">
        <f t="shared" si="3"/>
        <v>7.8596941711003523E-2</v>
      </c>
      <c r="AB33" s="774"/>
    </row>
    <row r="34" spans="1:28" s="774" customFormat="1" ht="15.5">
      <c r="A34" s="756">
        <v>23</v>
      </c>
      <c r="B34" s="786">
        <v>8</v>
      </c>
      <c r="C34" s="782" t="s">
        <v>136</v>
      </c>
      <c r="D34" s="783">
        <v>0</v>
      </c>
      <c r="E34" s="783">
        <v>0</v>
      </c>
      <c r="F34" s="783">
        <v>0</v>
      </c>
      <c r="G34" s="783">
        <f t="shared" ref="G34:R34" si="14">G35+G36+G37</f>
        <v>0</v>
      </c>
      <c r="H34" s="783">
        <f t="shared" si="14"/>
        <v>0</v>
      </c>
      <c r="I34" s="783">
        <f t="shared" si="14"/>
        <v>0</v>
      </c>
      <c r="J34" s="783">
        <f t="shared" si="14"/>
        <v>0</v>
      </c>
      <c r="K34" s="783">
        <f t="shared" si="14"/>
        <v>0</v>
      </c>
      <c r="L34" s="783">
        <f t="shared" si="14"/>
        <v>0</v>
      </c>
      <c r="M34" s="783">
        <f t="shared" si="14"/>
        <v>0</v>
      </c>
      <c r="N34" s="783">
        <f t="shared" si="14"/>
        <v>0</v>
      </c>
      <c r="O34" s="783">
        <f t="shared" si="14"/>
        <v>0</v>
      </c>
      <c r="P34" s="783">
        <f t="shared" si="14"/>
        <v>0</v>
      </c>
      <c r="Q34" s="783">
        <f t="shared" si="14"/>
        <v>0</v>
      </c>
      <c r="R34" s="783">
        <f t="shared" si="14"/>
        <v>0</v>
      </c>
      <c r="S34" s="783">
        <f t="shared" si="1"/>
        <v>0</v>
      </c>
      <c r="U34" s="784"/>
      <c r="X34" s="774">
        <f t="shared" si="3"/>
        <v>0</v>
      </c>
    </row>
    <row r="35" spans="1:28" ht="15.5" outlineLevel="1" collapsed="1">
      <c r="A35" s="756">
        <v>24</v>
      </c>
      <c r="B35" s="788">
        <v>8.1</v>
      </c>
      <c r="C35" s="780" t="s">
        <v>137</v>
      </c>
      <c r="D35" s="790">
        <v>0</v>
      </c>
      <c r="E35" s="790">
        <v>0</v>
      </c>
      <c r="F35" s="790">
        <v>0</v>
      </c>
      <c r="G35" s="790">
        <v>0</v>
      </c>
      <c r="H35" s="790">
        <v>0</v>
      </c>
      <c r="I35" s="790">
        <v>0</v>
      </c>
      <c r="J35" s="790">
        <v>0</v>
      </c>
      <c r="K35" s="790">
        <v>0</v>
      </c>
      <c r="L35" s="790">
        <v>0</v>
      </c>
      <c r="M35" s="790">
        <v>0</v>
      </c>
      <c r="N35" s="790">
        <v>0</v>
      </c>
      <c r="O35" s="790">
        <v>0</v>
      </c>
      <c r="P35" s="790">
        <v>0</v>
      </c>
      <c r="Q35" s="790">
        <v>0</v>
      </c>
      <c r="R35" s="790">
        <v>0</v>
      </c>
      <c r="S35" s="790">
        <f t="shared" si="1"/>
        <v>0</v>
      </c>
      <c r="U35" s="791"/>
      <c r="W35" s="792"/>
      <c r="X35" s="774">
        <f t="shared" si="3"/>
        <v>0</v>
      </c>
      <c r="AB35" s="774"/>
    </row>
    <row r="36" spans="1:28" ht="15.5" outlineLevel="1">
      <c r="A36" s="756">
        <v>25</v>
      </c>
      <c r="B36" s="788">
        <v>8.1999999999999993</v>
      </c>
      <c r="C36" s="780" t="s">
        <v>138</v>
      </c>
      <c r="D36" s="790">
        <v>0</v>
      </c>
      <c r="E36" s="790">
        <v>0</v>
      </c>
      <c r="F36" s="790">
        <v>0</v>
      </c>
      <c r="G36" s="790">
        <v>0</v>
      </c>
      <c r="H36" s="790">
        <v>0</v>
      </c>
      <c r="I36" s="790">
        <v>0</v>
      </c>
      <c r="J36" s="790">
        <v>0</v>
      </c>
      <c r="K36" s="790">
        <v>0</v>
      </c>
      <c r="L36" s="790">
        <v>0</v>
      </c>
      <c r="M36" s="790">
        <v>0</v>
      </c>
      <c r="N36" s="790">
        <v>0</v>
      </c>
      <c r="O36" s="790">
        <v>0</v>
      </c>
      <c r="P36" s="790">
        <v>0</v>
      </c>
      <c r="Q36" s="790">
        <v>0</v>
      </c>
      <c r="R36" s="790">
        <v>0</v>
      </c>
      <c r="S36" s="790">
        <f t="shared" si="1"/>
        <v>0</v>
      </c>
      <c r="U36" s="791"/>
      <c r="W36" s="792"/>
      <c r="X36" s="774">
        <f t="shared" si="3"/>
        <v>0</v>
      </c>
      <c r="AB36" s="774"/>
    </row>
    <row r="37" spans="1:28" ht="15.5" outlineLevel="1">
      <c r="A37" s="756">
        <v>26</v>
      </c>
      <c r="B37" s="788">
        <v>83</v>
      </c>
      <c r="C37" s="780" t="s">
        <v>139</v>
      </c>
      <c r="D37" s="790">
        <v>0</v>
      </c>
      <c r="E37" s="790">
        <v>0</v>
      </c>
      <c r="F37" s="790">
        <v>0</v>
      </c>
      <c r="G37" s="790">
        <v>0</v>
      </c>
      <c r="H37" s="790">
        <v>0</v>
      </c>
      <c r="I37" s="790">
        <v>0</v>
      </c>
      <c r="J37" s="790">
        <v>0</v>
      </c>
      <c r="K37" s="790">
        <v>0</v>
      </c>
      <c r="L37" s="790">
        <v>0</v>
      </c>
      <c r="M37" s="790">
        <v>0</v>
      </c>
      <c r="N37" s="790">
        <v>0</v>
      </c>
      <c r="O37" s="790">
        <v>0</v>
      </c>
      <c r="P37" s="790">
        <v>0</v>
      </c>
      <c r="Q37" s="790">
        <v>0</v>
      </c>
      <c r="R37" s="790">
        <v>0</v>
      </c>
      <c r="S37" s="790">
        <f t="shared" si="1"/>
        <v>0</v>
      </c>
      <c r="U37" s="791"/>
      <c r="W37" s="792"/>
      <c r="X37" s="774">
        <f t="shared" si="3"/>
        <v>0</v>
      </c>
      <c r="AB37" s="774"/>
    </row>
    <row r="38" spans="1:28" s="774" customFormat="1" ht="15.5">
      <c r="A38" s="756">
        <v>27</v>
      </c>
      <c r="B38" s="786">
        <v>9</v>
      </c>
      <c r="C38" s="782" t="s">
        <v>140</v>
      </c>
      <c r="D38" s="783">
        <v>1414416772</v>
      </c>
      <c r="E38" s="783">
        <v>2036034770</v>
      </c>
      <c r="F38" s="783">
        <v>4197280868</v>
      </c>
      <c r="G38" s="783">
        <f t="shared" ref="G38:R38" si="15">G39+G40+G41</f>
        <v>378592319.54256791</v>
      </c>
      <c r="H38" s="783">
        <f t="shared" si="15"/>
        <v>376999091.34534574</v>
      </c>
      <c r="I38" s="783">
        <f t="shared" si="15"/>
        <v>352798410.34534574</v>
      </c>
      <c r="J38" s="783">
        <f t="shared" si="15"/>
        <v>354484508.34534574</v>
      </c>
      <c r="K38" s="783">
        <f t="shared" si="15"/>
        <v>358145654.34534574</v>
      </c>
      <c r="L38" s="783">
        <f t="shared" si="15"/>
        <v>353846826.34534574</v>
      </c>
      <c r="M38" s="783">
        <f t="shared" si="15"/>
        <v>353706738.34534574</v>
      </c>
      <c r="N38" s="783">
        <f t="shared" si="15"/>
        <v>352062254.34534574</v>
      </c>
      <c r="O38" s="783">
        <f t="shared" si="15"/>
        <v>352427137.34534574</v>
      </c>
      <c r="P38" s="783">
        <f t="shared" si="15"/>
        <v>349640791.34534574</v>
      </c>
      <c r="Q38" s="783">
        <f t="shared" si="15"/>
        <v>351542637.34534574</v>
      </c>
      <c r="R38" s="783">
        <f t="shared" si="15"/>
        <v>358591714.34534574</v>
      </c>
      <c r="S38" s="783">
        <f t="shared" si="1"/>
        <v>4292838083.3413696</v>
      </c>
      <c r="T38" s="244"/>
      <c r="U38" s="784"/>
      <c r="V38" s="774">
        <v>4197280868</v>
      </c>
      <c r="W38" s="785"/>
      <c r="X38" s="774">
        <f t="shared" si="3"/>
        <v>0</v>
      </c>
    </row>
    <row r="39" spans="1:28" ht="15.5" collapsed="1">
      <c r="A39" s="756">
        <v>24</v>
      </c>
      <c r="B39" s="788">
        <v>9.1</v>
      </c>
      <c r="C39" s="789" t="s">
        <v>137</v>
      </c>
      <c r="D39" s="790">
        <v>1124385437</v>
      </c>
      <c r="E39" s="790">
        <v>1412576558</v>
      </c>
      <c r="F39" s="790">
        <v>3223671987</v>
      </c>
      <c r="G39" s="790">
        <v>277171835.79245287</v>
      </c>
      <c r="H39" s="790">
        <v>279746758.79245287</v>
      </c>
      <c r="I39" s="790">
        <v>274363989.79245287</v>
      </c>
      <c r="J39" s="790">
        <v>277216758.79245287</v>
      </c>
      <c r="K39" s="790">
        <v>276632912.79245287</v>
      </c>
      <c r="L39" s="790">
        <v>277216758.79245287</v>
      </c>
      <c r="M39" s="790">
        <v>276265835.79245287</v>
      </c>
      <c r="N39" s="790">
        <v>276265835.79245287</v>
      </c>
      <c r="O39" s="790">
        <v>277628758.79245287</v>
      </c>
      <c r="P39" s="790">
        <v>275314912.79245287</v>
      </c>
      <c r="Q39" s="790">
        <v>277216758.79245287</v>
      </c>
      <c r="R39" s="790">
        <v>276265835.79245287</v>
      </c>
      <c r="S39" s="790">
        <f t="shared" si="1"/>
        <v>3321306952.5094342</v>
      </c>
      <c r="T39" s="244"/>
      <c r="U39" s="791">
        <f>(S39-F39)/F39</f>
        <v>3.0286879652509206E-2</v>
      </c>
      <c r="V39" s="745">
        <v>3223671987</v>
      </c>
      <c r="W39" s="792"/>
      <c r="X39" s="774">
        <f t="shared" si="3"/>
        <v>0</v>
      </c>
      <c r="AB39" s="774"/>
    </row>
    <row r="40" spans="1:28" ht="15.5">
      <c r="A40" s="756">
        <v>29</v>
      </c>
      <c r="B40" s="788">
        <v>9.1999999999999993</v>
      </c>
      <c r="C40" s="789" t="s">
        <v>142</v>
      </c>
      <c r="D40" s="790">
        <v>290031335</v>
      </c>
      <c r="E40" s="790">
        <v>609710270</v>
      </c>
      <c r="F40" s="790">
        <v>882287894</v>
      </c>
      <c r="G40" s="790">
        <v>96092575.416781753</v>
      </c>
      <c r="H40" s="790">
        <v>91924424.219559535</v>
      </c>
      <c r="I40" s="790">
        <v>73106512.219559535</v>
      </c>
      <c r="J40" s="790">
        <v>71939841.219559535</v>
      </c>
      <c r="K40" s="790">
        <v>76184833.219559535</v>
      </c>
      <c r="L40" s="790">
        <v>71302159.219559535</v>
      </c>
      <c r="M40" s="790">
        <v>72112994.219559535</v>
      </c>
      <c r="N40" s="790">
        <v>70468510.219559535</v>
      </c>
      <c r="O40" s="790">
        <v>69470470.219559535</v>
      </c>
      <c r="P40" s="790">
        <v>68997970.219559535</v>
      </c>
      <c r="Q40" s="790">
        <v>68997970.219559535</v>
      </c>
      <c r="R40" s="790">
        <v>76997970.219559535</v>
      </c>
      <c r="S40" s="790">
        <f t="shared" si="1"/>
        <v>907596230.83193672</v>
      </c>
      <c r="T40" s="244"/>
      <c r="U40" s="791">
        <f>(S40-F40)/F40</f>
        <v>2.8684896397248669E-2</v>
      </c>
      <c r="V40" s="745">
        <v>882287894</v>
      </c>
      <c r="W40" s="792"/>
      <c r="X40" s="774">
        <f t="shared" si="3"/>
        <v>0</v>
      </c>
      <c r="AB40" s="774"/>
    </row>
    <row r="41" spans="1:28" ht="15.5">
      <c r="A41" s="756">
        <v>26</v>
      </c>
      <c r="B41" s="788">
        <v>9.3000000000000007</v>
      </c>
      <c r="C41" s="789" t="s">
        <v>139</v>
      </c>
      <c r="D41" s="790">
        <v>0</v>
      </c>
      <c r="E41" s="790">
        <v>13747942</v>
      </c>
      <c r="F41" s="790">
        <v>91320987</v>
      </c>
      <c r="G41" s="790">
        <v>5327908.3333333349</v>
      </c>
      <c r="H41" s="790">
        <v>5327908.3333333349</v>
      </c>
      <c r="I41" s="790">
        <v>5327908.3333333349</v>
      </c>
      <c r="J41" s="790">
        <v>5327908.3333333349</v>
      </c>
      <c r="K41" s="790">
        <v>5327908.3333333349</v>
      </c>
      <c r="L41" s="790">
        <v>5327908.3333333349</v>
      </c>
      <c r="M41" s="790">
        <v>5327908.3333333349</v>
      </c>
      <c r="N41" s="790">
        <v>5327908.3333333349</v>
      </c>
      <c r="O41" s="790">
        <v>5327908.3333333349</v>
      </c>
      <c r="P41" s="790">
        <v>5327908.3333333349</v>
      </c>
      <c r="Q41" s="790">
        <v>5327908.3333333349</v>
      </c>
      <c r="R41" s="790">
        <v>5327908.3333333349</v>
      </c>
      <c r="S41" s="790">
        <f t="shared" si="1"/>
        <v>63934900.000000022</v>
      </c>
      <c r="T41" s="244"/>
      <c r="U41" s="791">
        <f>(S41-F41)/F41</f>
        <v>-0.299888206420721</v>
      </c>
      <c r="V41" s="745">
        <v>91320987</v>
      </c>
      <c r="W41" s="792"/>
      <c r="X41" s="774">
        <f t="shared" si="3"/>
        <v>0</v>
      </c>
      <c r="AB41" s="774"/>
    </row>
    <row r="42" spans="1:28" s="774" customFormat="1" ht="15.5">
      <c r="A42" s="756">
        <v>31</v>
      </c>
      <c r="B42" s="786">
        <v>10</v>
      </c>
      <c r="C42" s="787" t="s">
        <v>144</v>
      </c>
      <c r="D42" s="783">
        <v>114814093</v>
      </c>
      <c r="E42" s="783">
        <v>-59489094</v>
      </c>
      <c r="F42" s="783">
        <v>364850046</v>
      </c>
      <c r="G42" s="783">
        <v>0</v>
      </c>
      <c r="H42" s="783">
        <v>0</v>
      </c>
      <c r="I42" s="783">
        <v>0</v>
      </c>
      <c r="J42" s="783">
        <v>0</v>
      </c>
      <c r="K42" s="783">
        <v>0</v>
      </c>
      <c r="L42" s="783">
        <v>0</v>
      </c>
      <c r="M42" s="783">
        <v>0</v>
      </c>
      <c r="N42" s="783">
        <v>0</v>
      </c>
      <c r="O42" s="783">
        <v>0</v>
      </c>
      <c r="P42" s="783">
        <v>0</v>
      </c>
      <c r="Q42" s="783">
        <v>0</v>
      </c>
      <c r="R42" s="783">
        <v>0</v>
      </c>
      <c r="S42" s="783">
        <f t="shared" si="1"/>
        <v>0</v>
      </c>
      <c r="U42" s="784"/>
      <c r="V42" s="774">
        <v>364850046</v>
      </c>
      <c r="W42" s="785"/>
      <c r="X42" s="774">
        <f t="shared" si="3"/>
        <v>0</v>
      </c>
    </row>
    <row r="43" spans="1:28" s="774" customFormat="1" ht="26" collapsed="1">
      <c r="A43" s="756">
        <v>32</v>
      </c>
      <c r="B43" s="771">
        <v>11</v>
      </c>
      <c r="C43" s="772" t="s">
        <v>145</v>
      </c>
      <c r="D43" s="773">
        <v>-14331591414</v>
      </c>
      <c r="E43" s="773">
        <v>-2285349765</v>
      </c>
      <c r="F43" s="773">
        <v>4205129440</v>
      </c>
      <c r="G43" s="773">
        <f t="shared" ref="G43:R43" si="16">G32-G34-G38+G42</f>
        <v>-13547537.813614964</v>
      </c>
      <c r="H43" s="773">
        <f t="shared" si="16"/>
        <v>-349063777.94498551</v>
      </c>
      <c r="I43" s="773">
        <f t="shared" si="16"/>
        <v>153925417.22647077</v>
      </c>
      <c r="J43" s="773">
        <f t="shared" si="16"/>
        <v>217570316.46933532</v>
      </c>
      <c r="K43" s="773">
        <f t="shared" si="16"/>
        <v>255420237.26933527</v>
      </c>
      <c r="L43" s="773">
        <f t="shared" si="16"/>
        <v>215389755.00266862</v>
      </c>
      <c r="M43" s="773">
        <f t="shared" si="16"/>
        <v>202482519.13600194</v>
      </c>
      <c r="N43" s="773">
        <f t="shared" si="16"/>
        <v>186594358.55266869</v>
      </c>
      <c r="O43" s="773">
        <f t="shared" si="16"/>
        <v>197834696.43600202</v>
      </c>
      <c r="P43" s="773">
        <f t="shared" si="16"/>
        <v>259373459.10266864</v>
      </c>
      <c r="Q43" s="773">
        <f t="shared" si="16"/>
        <v>240392839.80266869</v>
      </c>
      <c r="R43" s="773">
        <f t="shared" si="16"/>
        <v>234847060.00266862</v>
      </c>
      <c r="S43" s="773">
        <f t="shared" si="1"/>
        <v>1801219343.2418883</v>
      </c>
      <c r="U43" s="800"/>
      <c r="W43" s="776"/>
      <c r="X43" s="774">
        <f t="shared" si="3"/>
        <v>4205129440</v>
      </c>
    </row>
    <row r="44" spans="1:28" s="774" customFormat="1" ht="15.5">
      <c r="A44" s="756">
        <v>33</v>
      </c>
      <c r="B44" s="786">
        <v>12</v>
      </c>
      <c r="C44" s="787" t="s">
        <v>146</v>
      </c>
      <c r="D44" s="783">
        <v>4823037</v>
      </c>
      <c r="E44" s="783">
        <v>438643</v>
      </c>
      <c r="F44" s="783">
        <v>0</v>
      </c>
      <c r="G44" s="783">
        <v>60000</v>
      </c>
      <c r="H44" s="783">
        <v>60000</v>
      </c>
      <c r="I44" s="783">
        <v>60000</v>
      </c>
      <c r="J44" s="783">
        <v>60000</v>
      </c>
      <c r="K44" s="783">
        <v>60000</v>
      </c>
      <c r="L44" s="783">
        <v>60000</v>
      </c>
      <c r="M44" s="783">
        <v>60000</v>
      </c>
      <c r="N44" s="783">
        <v>60000</v>
      </c>
      <c r="O44" s="783">
        <v>60000</v>
      </c>
      <c r="P44" s="783">
        <v>60000</v>
      </c>
      <c r="Q44" s="783">
        <v>60000</v>
      </c>
      <c r="R44" s="783">
        <v>60000</v>
      </c>
      <c r="S44" s="783">
        <f t="shared" si="1"/>
        <v>720000</v>
      </c>
      <c r="U44" s="784"/>
      <c r="W44" s="785"/>
      <c r="X44" s="774">
        <f t="shared" si="3"/>
        <v>0</v>
      </c>
    </row>
    <row r="45" spans="1:28" s="774" customFormat="1" ht="15.5">
      <c r="A45" s="756">
        <v>34</v>
      </c>
      <c r="B45" s="786">
        <v>13</v>
      </c>
      <c r="C45" s="787" t="s">
        <v>147</v>
      </c>
      <c r="D45" s="783">
        <v>0</v>
      </c>
      <c r="E45" s="783">
        <v>0</v>
      </c>
      <c r="F45" s="783">
        <v>0</v>
      </c>
      <c r="G45" s="783">
        <v>0</v>
      </c>
      <c r="H45" s="783">
        <v>0</v>
      </c>
      <c r="I45" s="783">
        <v>0</v>
      </c>
      <c r="J45" s="783">
        <v>0</v>
      </c>
      <c r="K45" s="783">
        <v>0</v>
      </c>
      <c r="L45" s="783">
        <v>0</v>
      </c>
      <c r="M45" s="783">
        <v>0</v>
      </c>
      <c r="N45" s="783">
        <v>0</v>
      </c>
      <c r="O45" s="783">
        <v>0</v>
      </c>
      <c r="P45" s="783">
        <v>0</v>
      </c>
      <c r="Q45" s="783">
        <v>0</v>
      </c>
      <c r="R45" s="783">
        <v>0</v>
      </c>
      <c r="S45" s="783">
        <f t="shared" si="1"/>
        <v>0</v>
      </c>
      <c r="U45" s="784"/>
      <c r="W45" s="785"/>
      <c r="X45" s="774">
        <f t="shared" si="3"/>
        <v>0</v>
      </c>
    </row>
    <row r="46" spans="1:28" s="795" customFormat="1" ht="15.5">
      <c r="A46" s="756">
        <v>35</v>
      </c>
      <c r="B46" s="793">
        <v>13.1</v>
      </c>
      <c r="C46" s="794" t="s">
        <v>148</v>
      </c>
      <c r="D46" s="777">
        <v>0</v>
      </c>
      <c r="E46" s="777">
        <v>0</v>
      </c>
      <c r="F46" s="777">
        <v>0</v>
      </c>
      <c r="G46" s="777">
        <v>0</v>
      </c>
      <c r="H46" s="777">
        <v>0</v>
      </c>
      <c r="I46" s="777">
        <v>0</v>
      </c>
      <c r="J46" s="777">
        <v>0</v>
      </c>
      <c r="K46" s="777">
        <v>0</v>
      </c>
      <c r="L46" s="777">
        <v>0</v>
      </c>
      <c r="M46" s="777">
        <v>0</v>
      </c>
      <c r="N46" s="777">
        <v>0</v>
      </c>
      <c r="O46" s="777">
        <v>0</v>
      </c>
      <c r="P46" s="777">
        <v>0</v>
      </c>
      <c r="Q46" s="777">
        <v>0</v>
      </c>
      <c r="R46" s="777">
        <v>0</v>
      </c>
      <c r="S46" s="777">
        <f t="shared" si="1"/>
        <v>0</v>
      </c>
      <c r="U46" s="778"/>
      <c r="W46" s="779"/>
      <c r="X46" s="774">
        <f t="shared" si="3"/>
        <v>0</v>
      </c>
      <c r="AB46" s="774"/>
    </row>
    <row r="47" spans="1:28" s="774" customFormat="1" ht="15.5" collapsed="1">
      <c r="A47" s="756">
        <v>36</v>
      </c>
      <c r="B47" s="771">
        <v>14</v>
      </c>
      <c r="C47" s="772" t="s">
        <v>149</v>
      </c>
      <c r="D47" s="773">
        <v>-14326768377</v>
      </c>
      <c r="E47" s="773">
        <v>-2284911122</v>
      </c>
      <c r="F47" s="773">
        <v>4205129440</v>
      </c>
      <c r="G47" s="773">
        <f t="shared" ref="G47:R47" si="17">G43+G44-G45</f>
        <v>-13487537.813614964</v>
      </c>
      <c r="H47" s="773">
        <f t="shared" si="17"/>
        <v>-349003777.94498551</v>
      </c>
      <c r="I47" s="773">
        <f t="shared" si="17"/>
        <v>153985417.22647077</v>
      </c>
      <c r="J47" s="773">
        <f t="shared" si="17"/>
        <v>217630316.46933532</v>
      </c>
      <c r="K47" s="773">
        <f t="shared" si="17"/>
        <v>255480237.26933527</v>
      </c>
      <c r="L47" s="773">
        <f t="shared" si="17"/>
        <v>215449755.00266862</v>
      </c>
      <c r="M47" s="773">
        <f t="shared" si="17"/>
        <v>202542519.13600194</v>
      </c>
      <c r="N47" s="773">
        <f t="shared" si="17"/>
        <v>186654358.55266869</v>
      </c>
      <c r="O47" s="773">
        <f t="shared" si="17"/>
        <v>197894696.43600202</v>
      </c>
      <c r="P47" s="773">
        <f t="shared" si="17"/>
        <v>259433459.10266864</v>
      </c>
      <c r="Q47" s="773">
        <f t="shared" si="17"/>
        <v>240452839.80266869</v>
      </c>
      <c r="R47" s="773">
        <f t="shared" si="17"/>
        <v>234907060.00266862</v>
      </c>
      <c r="S47" s="773">
        <f t="shared" si="1"/>
        <v>1801939343.2418883</v>
      </c>
      <c r="U47" s="800"/>
      <c r="V47" s="774">
        <v>4205129440</v>
      </c>
      <c r="W47" s="776"/>
      <c r="X47" s="774">
        <f t="shared" si="3"/>
        <v>0</v>
      </c>
    </row>
    <row r="48" spans="1:28" ht="15.5">
      <c r="A48" s="756">
        <v>37</v>
      </c>
      <c r="B48" s="788">
        <v>15</v>
      </c>
      <c r="C48" s="789" t="s">
        <v>150</v>
      </c>
      <c r="D48" s="790">
        <v>0</v>
      </c>
      <c r="E48" s="790">
        <v>0</v>
      </c>
      <c r="F48" s="790">
        <v>0</v>
      </c>
      <c r="G48" s="790"/>
      <c r="H48" s="790"/>
      <c r="I48" s="790"/>
      <c r="J48" s="790"/>
      <c r="K48" s="790"/>
      <c r="L48" s="790"/>
      <c r="M48" s="790"/>
      <c r="N48" s="790"/>
      <c r="O48" s="790"/>
      <c r="P48" s="790"/>
      <c r="Q48" s="790"/>
      <c r="R48" s="790"/>
      <c r="S48" s="790">
        <f t="shared" si="1"/>
        <v>0</v>
      </c>
      <c r="U48" s="791"/>
      <c r="W48" s="792"/>
      <c r="X48" s="774">
        <f t="shared" si="3"/>
        <v>0</v>
      </c>
      <c r="AB48" s="774"/>
    </row>
    <row r="49" spans="1:28" s="774" customFormat="1" ht="15.5" outlineLevel="1" collapsed="1">
      <c r="A49" s="756">
        <v>38</v>
      </c>
      <c r="B49" s="771">
        <v>16</v>
      </c>
      <c r="C49" s="772" t="s">
        <v>151</v>
      </c>
      <c r="D49" s="773">
        <v>-14326768377</v>
      </c>
      <c r="E49" s="773">
        <v>-2284911122</v>
      </c>
      <c r="F49" s="773">
        <v>4205129440</v>
      </c>
      <c r="G49" s="773">
        <f t="shared" ref="G49:R49" si="18">G47-G48</f>
        <v>-13487537.813614964</v>
      </c>
      <c r="H49" s="773">
        <f t="shared" si="18"/>
        <v>-349003777.94498551</v>
      </c>
      <c r="I49" s="773">
        <f t="shared" si="18"/>
        <v>153985417.22647077</v>
      </c>
      <c r="J49" s="773">
        <f t="shared" si="18"/>
        <v>217630316.46933532</v>
      </c>
      <c r="K49" s="773">
        <f t="shared" si="18"/>
        <v>255480237.26933527</v>
      </c>
      <c r="L49" s="773">
        <f t="shared" si="18"/>
        <v>215449755.00266862</v>
      </c>
      <c r="M49" s="773">
        <f t="shared" si="18"/>
        <v>202542519.13600194</v>
      </c>
      <c r="N49" s="773">
        <f t="shared" si="18"/>
        <v>186654358.55266869</v>
      </c>
      <c r="O49" s="773">
        <f t="shared" si="18"/>
        <v>197894696.43600202</v>
      </c>
      <c r="P49" s="773">
        <f t="shared" si="18"/>
        <v>259433459.10266864</v>
      </c>
      <c r="Q49" s="773">
        <f t="shared" si="18"/>
        <v>240452839.80266869</v>
      </c>
      <c r="R49" s="773">
        <f t="shared" si="18"/>
        <v>234907060.00266862</v>
      </c>
      <c r="S49" s="773">
        <f t="shared" si="1"/>
        <v>1801939343.2418883</v>
      </c>
      <c r="U49" s="800"/>
      <c r="V49" s="774">
        <v>4205129440</v>
      </c>
      <c r="W49" s="776"/>
      <c r="X49" s="774">
        <f t="shared" si="3"/>
        <v>0</v>
      </c>
    </row>
    <row r="50" spans="1:28" s="177" customFormat="1" ht="15.5" outlineLevel="1">
      <c r="A50" s="756">
        <v>39</v>
      </c>
      <c r="B50" s="175" t="s">
        <v>152</v>
      </c>
      <c r="C50" s="160" t="s">
        <v>153</v>
      </c>
      <c r="D50" s="161">
        <v>-0.18154530318111509</v>
      </c>
      <c r="E50" s="161">
        <v>-3.0660439471145252E-2</v>
      </c>
      <c r="F50" s="801">
        <f t="shared" ref="F50:S50" si="19">F49/F9</f>
        <v>4.112072602994872E-2</v>
      </c>
      <c r="G50" s="176">
        <f>G49/G9</f>
        <v>-1.80566939288377E-3</v>
      </c>
      <c r="H50" s="176">
        <f t="shared" si="19"/>
        <v>-6.2298046146463178E-2</v>
      </c>
      <c r="I50" s="176">
        <f t="shared" si="19"/>
        <v>1.9029310350975208E-2</v>
      </c>
      <c r="J50" s="176">
        <f t="shared" si="19"/>
        <v>2.4973428286768316E-2</v>
      </c>
      <c r="K50" s="176">
        <f t="shared" si="19"/>
        <v>2.9316767478171121E-2</v>
      </c>
      <c r="L50" s="176">
        <f t="shared" si="19"/>
        <v>2.4723205356911186E-2</v>
      </c>
      <c r="M50" s="176">
        <f t="shared" si="19"/>
        <v>2.3242079314703634E-2</v>
      </c>
      <c r="N50" s="176">
        <f t="shared" si="19"/>
        <v>2.1418887374473929E-2</v>
      </c>
      <c r="O50" s="176">
        <f t="shared" si="19"/>
        <v>2.2708734196380392E-2</v>
      </c>
      <c r="P50" s="176">
        <f t="shared" si="19"/>
        <v>2.9770406031650633E-2</v>
      </c>
      <c r="Q50" s="176">
        <f t="shared" si="19"/>
        <v>2.7592349487796878E-2</v>
      </c>
      <c r="R50" s="176">
        <f t="shared" si="19"/>
        <v>2.6955962350304362E-2</v>
      </c>
      <c r="S50" s="176">
        <f t="shared" si="19"/>
        <v>1.8092850405063442E-2</v>
      </c>
      <c r="U50" s="802"/>
      <c r="W50" s="803"/>
      <c r="X50" s="774">
        <f t="shared" si="3"/>
        <v>4.112072602994872E-2</v>
      </c>
      <c r="AB50" s="774"/>
    </row>
    <row r="51" spans="1:28" ht="15.5" outlineLevel="1">
      <c r="A51" s="756">
        <v>26</v>
      </c>
      <c r="B51" s="788">
        <v>17</v>
      </c>
      <c r="C51" s="789" t="s">
        <v>139</v>
      </c>
      <c r="D51" s="790">
        <v>1036408270</v>
      </c>
      <c r="E51" s="790">
        <v>1395798298</v>
      </c>
      <c r="F51" s="790">
        <v>2130924335</v>
      </c>
      <c r="G51" s="790">
        <v>110758018.74238349</v>
      </c>
      <c r="H51" s="790">
        <v>104732373.58109318</v>
      </c>
      <c r="I51" s="790">
        <v>112766567.12948027</v>
      </c>
      <c r="J51" s="790">
        <v>114775115.51657705</v>
      </c>
      <c r="K51" s="790">
        <v>114775115.51657705</v>
      </c>
      <c r="L51" s="790">
        <v>114775115.51657705</v>
      </c>
      <c r="M51" s="790">
        <v>114775115.51657705</v>
      </c>
      <c r="N51" s="790">
        <v>114775115.51657705</v>
      </c>
      <c r="O51" s="790">
        <v>114775115.51657705</v>
      </c>
      <c r="P51" s="790">
        <v>114775115.51657705</v>
      </c>
      <c r="Q51" s="790">
        <v>114775115.51657705</v>
      </c>
      <c r="R51" s="790">
        <v>114775115.51657705</v>
      </c>
      <c r="S51" s="790">
        <f t="shared" si="1"/>
        <v>1361232999.1021502</v>
      </c>
      <c r="U51" s="791">
        <f>(S51-F51)/F51</f>
        <v>-0.36120068800934213</v>
      </c>
      <c r="V51" s="774">
        <v>2130924335</v>
      </c>
      <c r="W51" s="792"/>
      <c r="X51" s="774">
        <f t="shared" si="3"/>
        <v>0</v>
      </c>
      <c r="Y51" s="177"/>
      <c r="AB51" s="774"/>
    </row>
    <row r="52" spans="1:28" s="774" customFormat="1" ht="26" outlineLevel="1" collapsed="1">
      <c r="A52" s="756">
        <v>41</v>
      </c>
      <c r="B52" s="771">
        <v>18</v>
      </c>
      <c r="C52" s="772" t="s">
        <v>154</v>
      </c>
      <c r="D52" s="773">
        <v>-13290360107</v>
      </c>
      <c r="E52" s="773">
        <v>-889112824</v>
      </c>
      <c r="F52" s="773">
        <v>6336053775</v>
      </c>
      <c r="G52" s="773">
        <f t="shared" ref="G52:R52" si="20">G49+G51</f>
        <v>97270480.92876853</v>
      </c>
      <c r="H52" s="773">
        <f t="shared" si="20"/>
        <v>-244271404.36389232</v>
      </c>
      <c r="I52" s="773">
        <f t="shared" si="20"/>
        <v>266751984.35595104</v>
      </c>
      <c r="J52" s="773">
        <f>J49+J51</f>
        <v>332405431.98591238</v>
      </c>
      <c r="K52" s="773">
        <f t="shared" si="20"/>
        <v>370255352.78591233</v>
      </c>
      <c r="L52" s="773">
        <f t="shared" si="20"/>
        <v>330224870.51924568</v>
      </c>
      <c r="M52" s="773">
        <f t="shared" si="20"/>
        <v>317317634.65257901</v>
      </c>
      <c r="N52" s="773">
        <f t="shared" si="20"/>
        <v>301429474.06924576</v>
      </c>
      <c r="O52" s="773">
        <f t="shared" si="20"/>
        <v>312669811.95257908</v>
      </c>
      <c r="P52" s="773">
        <f t="shared" si="20"/>
        <v>374208574.61924571</v>
      </c>
      <c r="Q52" s="773">
        <f t="shared" si="20"/>
        <v>355227955.31924576</v>
      </c>
      <c r="R52" s="773">
        <f t="shared" si="20"/>
        <v>349682175.51924568</v>
      </c>
      <c r="S52" s="773">
        <f t="shared" si="1"/>
        <v>3163172342.3440385</v>
      </c>
      <c r="U52" s="800"/>
      <c r="W52" s="776"/>
      <c r="Y52" s="177"/>
    </row>
    <row r="53" spans="1:28" s="177" customFormat="1" ht="15.5" outlineLevel="1">
      <c r="A53" s="756">
        <v>42</v>
      </c>
      <c r="B53" s="175" t="s">
        <v>155</v>
      </c>
      <c r="C53" s="160" t="s">
        <v>156</v>
      </c>
      <c r="D53" s="178">
        <v>-0.16841219118786011</v>
      </c>
      <c r="E53" s="178">
        <v>-1.1930700350134242E-2</v>
      </c>
      <c r="F53" s="178">
        <f t="shared" ref="F53:S53" si="21">F52/F9</f>
        <v>6.1958409392695736E-2</v>
      </c>
      <c r="G53" s="178">
        <f t="shared" si="21"/>
        <v>1.3022267864699819E-2</v>
      </c>
      <c r="H53" s="178">
        <f t="shared" si="21"/>
        <v>-4.3603055849217566E-2</v>
      </c>
      <c r="I53" s="178">
        <f t="shared" si="21"/>
        <v>3.296485075325218E-2</v>
      </c>
      <c r="J53" s="178">
        <f t="shared" si="21"/>
        <v>3.814405709878247E-2</v>
      </c>
      <c r="K53" s="178">
        <f t="shared" si="21"/>
        <v>4.2487396290185275E-2</v>
      </c>
      <c r="L53" s="178">
        <f t="shared" si="21"/>
        <v>3.789383416892534E-2</v>
      </c>
      <c r="M53" s="178">
        <f t="shared" si="21"/>
        <v>3.6412708126717791E-2</v>
      </c>
      <c r="N53" s="178">
        <f t="shared" si="21"/>
        <v>3.4589516186488083E-2</v>
      </c>
      <c r="O53" s="178">
        <f t="shared" si="21"/>
        <v>3.5879363008394546E-2</v>
      </c>
      <c r="P53" s="178">
        <f t="shared" si="21"/>
        <v>4.2941034843664787E-2</v>
      </c>
      <c r="Q53" s="178">
        <f t="shared" si="21"/>
        <v>4.0762978299811035E-2</v>
      </c>
      <c r="R53" s="178">
        <f t="shared" si="21"/>
        <v>4.0126591162318523E-2</v>
      </c>
      <c r="S53" s="161">
        <f t="shared" si="21"/>
        <v>3.1760671750748426E-2</v>
      </c>
      <c r="U53" s="797"/>
      <c r="W53" s="798"/>
      <c r="X53" s="774">
        <f t="shared" si="3"/>
        <v>6.1958409392695736E-2</v>
      </c>
    </row>
    <row r="54" spans="1:28" s="158" customFormat="1" ht="13" outlineLevel="1" collapsed="1">
      <c r="B54" s="246"/>
      <c r="C54" s="247"/>
      <c r="D54" s="247"/>
      <c r="E54" s="247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U54" s="249"/>
      <c r="V54" s="177"/>
      <c r="W54" s="250"/>
      <c r="X54" s="774">
        <f t="shared" si="3"/>
        <v>0</v>
      </c>
      <c r="Y54" s="177"/>
    </row>
    <row r="56" spans="1:28" s="774" customFormat="1" ht="26.75" customHeight="1" outlineLevel="1">
      <c r="B56" s="804" t="s">
        <v>157</v>
      </c>
      <c r="C56" s="805"/>
      <c r="D56" s="184" t="str">
        <f>D4</f>
        <v>Thực tế năm 2023</v>
      </c>
      <c r="E56" s="184" t="str">
        <f>E4</f>
        <v>Thực tế năm 2024</v>
      </c>
      <c r="F56" s="184" t="str">
        <f>F4</f>
        <v>KQKD 2025</v>
      </c>
      <c r="G56" s="185" t="str">
        <f>G4</f>
        <v>T1</v>
      </c>
      <c r="H56" s="185" t="str">
        <f t="shared" ref="H56:S56" si="22">H4</f>
        <v>T2</v>
      </c>
      <c r="I56" s="185" t="str">
        <f t="shared" si="22"/>
        <v>T3</v>
      </c>
      <c r="J56" s="185" t="str">
        <f t="shared" si="22"/>
        <v>T4</v>
      </c>
      <c r="K56" s="185" t="str">
        <f t="shared" si="22"/>
        <v>T5</v>
      </c>
      <c r="L56" s="185" t="str">
        <f t="shared" si="22"/>
        <v>T6</v>
      </c>
      <c r="M56" s="185" t="str">
        <f t="shared" si="22"/>
        <v>T7</v>
      </c>
      <c r="N56" s="185" t="str">
        <f t="shared" si="22"/>
        <v>T8</v>
      </c>
      <c r="O56" s="185" t="str">
        <f t="shared" si="22"/>
        <v>T9</v>
      </c>
      <c r="P56" s="185" t="str">
        <f t="shared" si="22"/>
        <v>T10</v>
      </c>
      <c r="Q56" s="185" t="str">
        <f t="shared" si="22"/>
        <v>T11</v>
      </c>
      <c r="R56" s="185" t="str">
        <f t="shared" si="22"/>
        <v>T12</v>
      </c>
      <c r="S56" s="184" t="str">
        <f t="shared" si="22"/>
        <v>Kế hoạch 2026</v>
      </c>
      <c r="U56" s="251"/>
      <c r="W56" s="184"/>
    </row>
    <row r="57" spans="1:28" ht="18" customHeight="1" outlineLevel="1">
      <c r="B57" s="806" t="s">
        <v>158</v>
      </c>
      <c r="D57" s="807">
        <f>D$58*(1+(D$17+D$18)/D$16)</f>
        <v>-2856939.4528616569</v>
      </c>
      <c r="E57" s="807">
        <f>E$58*(1+(E$17+E$18)/E$16)</f>
        <v>8662919.1138616428</v>
      </c>
      <c r="F57" s="808">
        <f>IFERROR(F$58*(1+(F$17+F$18)/F$16),0)</f>
        <v>5511009.8030470517</v>
      </c>
      <c r="G57" s="807">
        <f>G$58*(1+(G$17+G$18)/G$16)</f>
        <v>601629.18000399589</v>
      </c>
      <c r="H57" s="807">
        <f t="shared" ref="H57:S57" si="23">H$58*(1+(H$17+H$18)/H$16)</f>
        <v>720518.89691334299</v>
      </c>
      <c r="I57" s="807">
        <f t="shared" si="23"/>
        <v>544782.68751591863</v>
      </c>
      <c r="J57" s="807">
        <f>J$58*(1+(J$17+J$18)/J$16)</f>
        <v>554511.22146309423</v>
      </c>
      <c r="K57" s="807">
        <f>K$58*(1+(K$17+K$18)/K$16)</f>
        <v>534245.85058020533</v>
      </c>
      <c r="L57" s="807">
        <f t="shared" si="23"/>
        <v>556646.14766120096</v>
      </c>
      <c r="M57" s="807">
        <f t="shared" si="23"/>
        <v>561001.59878583404</v>
      </c>
      <c r="N57" s="807">
        <f t="shared" si="23"/>
        <v>569882.2132939141</v>
      </c>
      <c r="O57" s="807">
        <f t="shared" si="23"/>
        <v>563406.49064478755</v>
      </c>
      <c r="P57" s="807">
        <f t="shared" si="23"/>
        <v>531286.09489568288</v>
      </c>
      <c r="Q57" s="807">
        <f t="shared" si="23"/>
        <v>540997.38672052172</v>
      </c>
      <c r="R57" s="807">
        <f>R$58*(1+(R$17+R$18)/R$16)</f>
        <v>545833.11933656887</v>
      </c>
      <c r="S57" s="807">
        <f t="shared" si="23"/>
        <v>6749217.767279488</v>
      </c>
      <c r="W57" s="808"/>
    </row>
    <row r="58" spans="1:28" s="774" customFormat="1" ht="18" customHeight="1" outlineLevel="1">
      <c r="B58" s="806" t="s">
        <v>159</v>
      </c>
      <c r="C58" s="809"/>
      <c r="D58" s="807">
        <f>(D$27+D$31+D$34+D$38)/(D$25/D$5)</f>
        <v>-2594752.8718237891</v>
      </c>
      <c r="E58" s="807">
        <f>(E$27+E$31+E$34+E$38)/(E$25/E$5)</f>
        <v>7940684.0448409589</v>
      </c>
      <c r="F58" s="808">
        <f>IFERROR((F$27+F$31+F$34+F$38)/(F$25/F$5),0)</f>
        <v>5005254.3111412711</v>
      </c>
      <c r="G58" s="807">
        <f>(G$27+G$31+G$34+G$38)/(G$25/G$5)</f>
        <v>541764.2323313785</v>
      </c>
      <c r="H58" s="807">
        <f t="shared" ref="H58:S58" si="24">(H$27+H$31+H$34+H$38)/(H$25/H$5)</f>
        <v>648823.86034519854</v>
      </c>
      <c r="I58" s="807">
        <f t="shared" si="24"/>
        <v>490574.23459335306</v>
      </c>
      <c r="J58" s="807">
        <f t="shared" si="24"/>
        <v>499334.73342016584</v>
      </c>
      <c r="K58" s="807">
        <f t="shared" si="24"/>
        <v>481085.86274669541</v>
      </c>
      <c r="L58" s="807">
        <f t="shared" si="24"/>
        <v>501257.22436848347</v>
      </c>
      <c r="M58" s="807">
        <f t="shared" si="24"/>
        <v>505179.28751538403</v>
      </c>
      <c r="N58" s="807">
        <f t="shared" si="24"/>
        <v>513176.23889591539</v>
      </c>
      <c r="O58" s="807">
        <f t="shared" si="24"/>
        <v>507344.88126500457</v>
      </c>
      <c r="P58" s="807">
        <f t="shared" si="24"/>
        <v>478420.61674532446</v>
      </c>
      <c r="Q58" s="807">
        <f t="shared" si="24"/>
        <v>487165.58912248688</v>
      </c>
      <c r="R58" s="807">
        <f t="shared" si="24"/>
        <v>491520.14348182699</v>
      </c>
      <c r="S58" s="807">
        <f t="shared" si="24"/>
        <v>6077638.691832047</v>
      </c>
      <c r="U58" s="240"/>
      <c r="W58" s="808"/>
    </row>
    <row r="59" spans="1:28" ht="18" customHeight="1" outlineLevel="1">
      <c r="B59" s="806" t="s">
        <v>160</v>
      </c>
      <c r="D59" s="749">
        <f>D$58*(D$9/D$5)</f>
        <v>-36224122151.893944</v>
      </c>
      <c r="E59" s="749">
        <f>E$58*(E$9/E$5)</f>
        <v>120891154072.02179</v>
      </c>
      <c r="F59" s="750">
        <f>IFERROR(F$58*(F$9/F$5),0)</f>
        <v>72125402101.107422</v>
      </c>
      <c r="G59" s="749">
        <f>G$58*(G$9/G$5)</f>
        <v>7582415255.032505</v>
      </c>
      <c r="H59" s="749">
        <f t="shared" ref="H59:S59" si="25">H$58*(H$9/H$5)</f>
        <v>9080798699.7217121</v>
      </c>
      <c r="I59" s="749">
        <f t="shared" si="25"/>
        <v>6865971096.1341209</v>
      </c>
      <c r="J59" s="749">
        <f t="shared" si="25"/>
        <v>6988581146.7464857</v>
      </c>
      <c r="K59" s="749">
        <f t="shared" si="25"/>
        <v>6733173891.8485641</v>
      </c>
      <c r="L59" s="749">
        <f t="shared" si="25"/>
        <v>7015487915.0863886</v>
      </c>
      <c r="M59" s="749">
        <f t="shared" si="25"/>
        <v>7070380264.3067951</v>
      </c>
      <c r="N59" s="749">
        <f t="shared" si="25"/>
        <v>7182303869.6739454</v>
      </c>
      <c r="O59" s="749">
        <f t="shared" si="25"/>
        <v>7100689446.9796038</v>
      </c>
      <c r="P59" s="749">
        <f t="shared" si="25"/>
        <v>6695871684.1109953</v>
      </c>
      <c r="Q59" s="749">
        <f t="shared" si="25"/>
        <v>6818264429.8854628</v>
      </c>
      <c r="R59" s="749">
        <f t="shared" si="25"/>
        <v>6879209832.7612524</v>
      </c>
      <c r="S59" s="749">
        <f t="shared" si="25"/>
        <v>85061319262.833176</v>
      </c>
    </row>
    <row r="60" spans="1:28" s="774" customFormat="1" ht="26.75" customHeight="1" outlineLevel="1">
      <c r="B60" s="804" t="s">
        <v>161</v>
      </c>
      <c r="C60" s="805"/>
      <c r="D60" s="810" t="str">
        <f>D56</f>
        <v>Thực tế năm 2023</v>
      </c>
      <c r="E60" s="810" t="str">
        <f>E56</f>
        <v>Thực tế năm 2024</v>
      </c>
      <c r="F60" s="810" t="str">
        <f>F56</f>
        <v>KQKD 2025</v>
      </c>
      <c r="G60" s="811" t="str">
        <f>G56</f>
        <v>T1</v>
      </c>
      <c r="H60" s="811" t="str">
        <f t="shared" ref="H60:S60" si="26">H56</f>
        <v>T2</v>
      </c>
      <c r="I60" s="811" t="str">
        <f t="shared" si="26"/>
        <v>T3</v>
      </c>
      <c r="J60" s="811" t="str">
        <f t="shared" si="26"/>
        <v>T4</v>
      </c>
      <c r="K60" s="811" t="str">
        <f t="shared" si="26"/>
        <v>T5</v>
      </c>
      <c r="L60" s="811" t="str">
        <f t="shared" si="26"/>
        <v>T6</v>
      </c>
      <c r="M60" s="811" t="str">
        <f t="shared" si="26"/>
        <v>T7</v>
      </c>
      <c r="N60" s="811" t="str">
        <f t="shared" si="26"/>
        <v>T8</v>
      </c>
      <c r="O60" s="811" t="str">
        <f t="shared" si="26"/>
        <v>T9</v>
      </c>
      <c r="P60" s="811" t="str">
        <f t="shared" si="26"/>
        <v>T10</v>
      </c>
      <c r="Q60" s="811" t="str">
        <f t="shared" si="26"/>
        <v>T11</v>
      </c>
      <c r="R60" s="811" t="str">
        <f t="shared" si="26"/>
        <v>T12</v>
      </c>
      <c r="S60" s="810" t="str">
        <f t="shared" si="26"/>
        <v>Kế hoạch 2026</v>
      </c>
      <c r="U60" s="252"/>
      <c r="W60" s="810"/>
    </row>
    <row r="61" spans="1:28" ht="18" customHeight="1" outlineLevel="1">
      <c r="B61" s="806" t="s">
        <v>158</v>
      </c>
      <c r="D61" s="807">
        <f>D$62*(1+(D$17+D$18)/D$16)</f>
        <v>-2205461.5965747908</v>
      </c>
      <c r="E61" s="807">
        <f>E$62*(1+(E$17+E$18)/E$16)</f>
        <v>6579324.3550627362</v>
      </c>
      <c r="F61" s="808">
        <f>IFERROR(F$62*(1+(F$17+F$18)/F$16),0)</f>
        <v>4349549.7793058408</v>
      </c>
      <c r="G61" s="807">
        <f>G$62*(1+(G$17+G$18)/G$16)</f>
        <v>528414.79802013561</v>
      </c>
      <c r="H61" s="807">
        <f t="shared" ref="H61:S61" si="27">H$62*(1+(H$17+H$18)/H$16)</f>
        <v>637704.37473206187</v>
      </c>
      <c r="I61" s="807">
        <f t="shared" si="27"/>
        <v>473514.3736500598</v>
      </c>
      <c r="J61" s="807">
        <f>J$62*(1+(J$17+J$18)/J$16)</f>
        <v>482270.26221813716</v>
      </c>
      <c r="K61" s="807">
        <f>K$62*(1+(K$17+K$18)/K$16)</f>
        <v>463603.64602373121</v>
      </c>
      <c r="L61" s="807">
        <f t="shared" si="27"/>
        <v>484811.47769848665</v>
      </c>
      <c r="M61" s="807">
        <f t="shared" si="27"/>
        <v>487056.67444422521</v>
      </c>
      <c r="N61" s="807">
        <f t="shared" si="27"/>
        <v>495103.52700234298</v>
      </c>
      <c r="O61" s="807">
        <f t="shared" si="27"/>
        <v>489119.5577566126</v>
      </c>
      <c r="P61" s="807">
        <f t="shared" si="27"/>
        <v>460410.85957579315</v>
      </c>
      <c r="Q61" s="807">
        <f t="shared" si="27"/>
        <v>469162.71675780747</v>
      </c>
      <c r="R61" s="807">
        <f t="shared" si="27"/>
        <v>474665.44732559996</v>
      </c>
      <c r="S61" s="807">
        <f t="shared" si="27"/>
        <v>5877786.9257549634</v>
      </c>
      <c r="W61" s="808"/>
    </row>
    <row r="62" spans="1:28" s="774" customFormat="1" ht="18" customHeight="1" outlineLevel="1">
      <c r="B62" s="806" t="s">
        <v>159</v>
      </c>
      <c r="C62" s="809"/>
      <c r="D62" s="807">
        <f>(D$27+D$31+D$34+D$38-D51)/(D$25/D$5)</f>
        <v>-2003062.335002389</v>
      </c>
      <c r="E62" s="807">
        <f>(E$27+E$31+E$34+E$38-E51)/(E$25/E$5)</f>
        <v>6030800.3855748111</v>
      </c>
      <c r="F62" s="807">
        <f>IFERROR((F$27+F$31+F$34+F$38-F51)/(F$25/F$5),0)</f>
        <v>3950383.6070763478</v>
      </c>
      <c r="G62" s="807">
        <f>(G$27+G$31+G$34+G$38-G51)/(G$25/G$5)</f>
        <v>475835.02748323785</v>
      </c>
      <c r="H62" s="807">
        <f t="shared" ref="H62:S62" si="28">(H$27+H$31+H$34+H$38-H51)/(H$25/H$5)</f>
        <v>574249.77463490481</v>
      </c>
      <c r="I62" s="807">
        <f t="shared" si="28"/>
        <v>426397.4548852407</v>
      </c>
      <c r="J62" s="807">
        <f>(J$27+J$31+J$34+J$38-J51)/(J$25/J$5)</f>
        <v>434282.09114645398</v>
      </c>
      <c r="K62" s="807">
        <f>(K$27+K$31+K$34+K$38-K51)/(K$25/K$5)</f>
        <v>417472.89151168952</v>
      </c>
      <c r="L62" s="807">
        <f t="shared" si="28"/>
        <v>436570.44367265794</v>
      </c>
      <c r="M62" s="807">
        <f t="shared" si="28"/>
        <v>438592.23272780294</v>
      </c>
      <c r="N62" s="807">
        <f t="shared" si="28"/>
        <v>445838.3854140864</v>
      </c>
      <c r="O62" s="807">
        <f t="shared" si="28"/>
        <v>440449.84939812031</v>
      </c>
      <c r="P62" s="807">
        <f t="shared" si="28"/>
        <v>414597.80240953906</v>
      </c>
      <c r="Q62" s="807">
        <f t="shared" si="28"/>
        <v>422478.80842666136</v>
      </c>
      <c r="R62" s="807">
        <f t="shared" si="28"/>
        <v>427433.99128824851</v>
      </c>
      <c r="S62" s="807">
        <f t="shared" si="28"/>
        <v>5292919.3388158157</v>
      </c>
      <c r="U62" s="240"/>
      <c r="W62" s="808"/>
    </row>
    <row r="63" spans="1:28" ht="18" customHeight="1" outlineLevel="1">
      <c r="B63" s="806" t="s">
        <v>160</v>
      </c>
      <c r="D63" s="749">
        <f>D$62*(D$9/D$5)</f>
        <v>-27963809381.96413</v>
      </c>
      <c r="E63" s="749">
        <f>E$62*(E$9/E$5)</f>
        <v>91814560870.710876</v>
      </c>
      <c r="F63" s="749">
        <f>IFERROR(F$62*(F$9/F$5),0)</f>
        <v>56924781120.469803</v>
      </c>
      <c r="G63" s="749">
        <f>G$62*(G$9/G$5)</f>
        <v>6659684334.9024153</v>
      </c>
      <c r="H63" s="749">
        <f t="shared" ref="H63:S63" si="29">H$62*(H$9/H$5)</f>
        <v>8037075893.0563107</v>
      </c>
      <c r="I63" s="749">
        <f t="shared" si="29"/>
        <v>5967766740.0000925</v>
      </c>
      <c r="J63" s="749">
        <f t="shared" si="29"/>
        <v>6078118407.2006655</v>
      </c>
      <c r="K63" s="749">
        <f>K$62*(K$9/K$5)</f>
        <v>5842860477.4051723</v>
      </c>
      <c r="L63" s="749">
        <f t="shared" si="29"/>
        <v>6110145695.2128572</v>
      </c>
      <c r="M63" s="749">
        <f t="shared" si="29"/>
        <v>6138442218.4222603</v>
      </c>
      <c r="N63" s="749">
        <f t="shared" si="29"/>
        <v>6239857807.3258181</v>
      </c>
      <c r="O63" s="749">
        <f t="shared" si="29"/>
        <v>6164441020.3704882</v>
      </c>
      <c r="P63" s="749">
        <f t="shared" si="29"/>
        <v>5802621350.9240627</v>
      </c>
      <c r="Q63" s="749">
        <f t="shared" si="29"/>
        <v>5912922210.0119324</v>
      </c>
      <c r="R63" s="749">
        <f t="shared" si="29"/>
        <v>5982273879.7585468</v>
      </c>
      <c r="S63" s="749">
        <f t="shared" si="29"/>
        <v>74078556580.947495</v>
      </c>
    </row>
    <row r="66" spans="19:23">
      <c r="S66" s="812"/>
      <c r="U66" s="253"/>
      <c r="W66" s="813"/>
    </row>
  </sheetData>
  <conditionalFormatting sqref="B3:F3 B5:S18 B19:B22 F20:R20 C20:C22 S20:S25 G21:R25 F21:F40 B23:C24 G26:S40 F41:S55 B64:S65 U64:U65 W64:W65 B66:R66 B67:S1048576 U67:U1048576 W67:W1048576">
    <cfRule type="containsText" dxfId="19" priority="11" operator="containsText" text="xxx">
      <formula>NOT(ISERROR(SEARCH("xxx",B3)))</formula>
    </cfRule>
  </conditionalFormatting>
  <conditionalFormatting sqref="C19:S19">
    <cfRule type="containsText" dxfId="18" priority="9" operator="containsText" text="xxx">
      <formula>NOT(ISERROR(SEARCH("xxx",C19)))</formula>
    </cfRule>
  </conditionalFormatting>
  <conditionalFormatting sqref="C56:S56">
    <cfRule type="containsText" dxfId="17" priority="7" operator="containsText" text="xxx">
      <formula>NOT(ISERROR(SEARCH("xxx",C56)))</formula>
    </cfRule>
  </conditionalFormatting>
  <conditionalFormatting sqref="D20:E54 C25:C54 C55:E55">
    <cfRule type="containsText" dxfId="16" priority="10" operator="containsText" text="xxx">
      <formula>NOT(ISERROR(SEARCH("xxx",C20)))</formula>
    </cfRule>
  </conditionalFormatting>
  <conditionalFormatting sqref="F4:Q4">
    <cfRule type="containsText" dxfId="15" priority="6" operator="containsText" text="xxx">
      <formula>NOT(ISERROR(SEARCH("xxx",F4)))</formula>
    </cfRule>
  </conditionalFormatting>
  <conditionalFormatting sqref="H3:S3">
    <cfRule type="containsText" dxfId="14" priority="12" operator="containsText" text="xxx">
      <formula>NOT(ISERROR(SEARCH("xxx",H3)))</formula>
    </cfRule>
  </conditionalFormatting>
  <conditionalFormatting sqref="U3">
    <cfRule type="containsText" dxfId="13" priority="5" operator="containsText" text="xxx">
      <formula>NOT(ISERROR(SEARCH("xxx",U3)))</formula>
    </cfRule>
  </conditionalFormatting>
  <conditionalFormatting sqref="U5:U56">
    <cfRule type="containsText" dxfId="12" priority="4" operator="containsText" text="xxx">
      <formula>NOT(ISERROR(SEARCH("xxx",U5)))</formula>
    </cfRule>
  </conditionalFormatting>
  <conditionalFormatting sqref="V3:V1048576 X3:XFD1048576 B25:B63 T56:T63">
    <cfRule type="containsText" dxfId="11" priority="8" operator="containsText" text="xxx">
      <formula>NOT(ISERROR(SEARCH("xxx",B3)))</formula>
    </cfRule>
  </conditionalFormatting>
  <conditionalFormatting sqref="W3">
    <cfRule type="containsText" dxfId="10" priority="3" operator="containsText" text="xxx">
      <formula>NOT(ISERROR(SEARCH("xxx",W3)))</formula>
    </cfRule>
  </conditionalFormatting>
  <conditionalFormatting sqref="W5:W33">
    <cfRule type="containsText" dxfId="9" priority="2" operator="containsText" text="xxx">
      <formula>NOT(ISERROR(SEARCH("xxx",W5)))</formula>
    </cfRule>
  </conditionalFormatting>
  <conditionalFormatting sqref="W35:W56">
    <cfRule type="containsText" dxfId="8" priority="1" operator="containsText" text="xxx">
      <formula>NOT(ISERROR(SEARCH("xxx",W35)))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4A2D-6181-4CC5-A703-C97A4DF8B6F3}">
  <sheetPr>
    <tabColor theme="6" tint="0.79998168889431442"/>
  </sheetPr>
  <dimension ref="B1:W70"/>
  <sheetViews>
    <sheetView showGridLines="0" zoomScale="115" zoomScaleNormal="115" workbookViewId="0">
      <pane xSplit="5" ySplit="5" topLeftCell="F32" activePane="bottomRight" state="frozen"/>
      <selection activeCell="BP52" sqref="BP52"/>
      <selection pane="topRight" activeCell="BP52" sqref="BP52"/>
      <selection pane="bottomLeft" activeCell="BP52" sqref="BP52"/>
      <selection pane="bottomRight" activeCell="D53" sqref="D53"/>
    </sheetView>
  </sheetViews>
  <sheetFormatPr defaultColWidth="7.25" defaultRowHeight="12.5" outlineLevelRow="1" outlineLevelCol="1"/>
  <cols>
    <col min="1" max="1" width="3.08203125" style="111" customWidth="1"/>
    <col min="2" max="2" width="6.75" style="192" customWidth="1"/>
    <col min="3" max="3" width="33" style="108" customWidth="1"/>
    <col min="4" max="4" width="11.08203125" style="108" customWidth="1" outlineLevel="1"/>
    <col min="5" max="5" width="11.25" style="109" customWidth="1"/>
    <col min="6" max="17" width="8.08203125" style="110" customWidth="1" outlineLevel="1"/>
    <col min="18" max="18" width="10.75" style="110" customWidth="1"/>
    <col min="19" max="19" width="25" style="111" customWidth="1"/>
    <col min="20" max="20" width="13.33203125" style="111" bestFit="1" customWidth="1"/>
    <col min="21" max="21" width="7.25" style="111"/>
    <col min="22" max="22" width="10" style="111" bestFit="1" customWidth="1"/>
    <col min="23" max="16384" width="7.25" style="111"/>
  </cols>
  <sheetData>
    <row r="1" spans="2:19" ht="16">
      <c r="B1" s="107"/>
      <c r="E1" s="109">
        <v>22617107745</v>
      </c>
      <c r="R1" s="109">
        <v>23161895693.655853</v>
      </c>
    </row>
    <row r="2" spans="2:19" s="115" customFormat="1">
      <c r="B2" s="112"/>
      <c r="C2" s="113"/>
      <c r="D2" s="113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>
        <v>16873505089.384615</v>
      </c>
    </row>
    <row r="3" spans="2:19" s="123" customFormat="1" ht="15.5">
      <c r="B3" s="116" t="s">
        <v>78</v>
      </c>
      <c r="C3" s="117"/>
      <c r="D3" s="117"/>
      <c r="E3" s="118"/>
      <c r="F3" s="119">
        <v>13307.438891724081</v>
      </c>
      <c r="G3" s="119">
        <v>13277.287794155573</v>
      </c>
      <c r="H3" s="119">
        <v>13317.824758536355</v>
      </c>
      <c r="I3" s="119">
        <v>13140.122631151215</v>
      </c>
      <c r="J3" s="119">
        <v>13150.498516668684</v>
      </c>
      <c r="K3" s="119">
        <v>13155.330717386705</v>
      </c>
      <c r="L3" s="119">
        <v>13178.936667671909</v>
      </c>
      <c r="M3" s="119">
        <v>13179.045646586857</v>
      </c>
      <c r="N3" s="119">
        <v>13117.508473441596</v>
      </c>
      <c r="O3" s="120">
        <v>14300000000</v>
      </c>
      <c r="P3" s="120">
        <v>14300000000</v>
      </c>
      <c r="Q3" s="120">
        <v>14300000000</v>
      </c>
      <c r="R3" s="121" t="s">
        <v>79</v>
      </c>
      <c r="S3" s="122"/>
    </row>
    <row r="4" spans="2:19" s="127" customFormat="1" ht="30" customHeight="1">
      <c r="B4" s="124" t="s">
        <v>80</v>
      </c>
      <c r="C4" s="124" t="s">
        <v>81</v>
      </c>
      <c r="D4" s="124" t="s">
        <v>82</v>
      </c>
      <c r="E4" s="125" t="s">
        <v>83</v>
      </c>
      <c r="F4" s="125" t="s">
        <v>76</v>
      </c>
      <c r="G4" s="125" t="s">
        <v>77</v>
      </c>
      <c r="H4" s="125" t="s">
        <v>84</v>
      </c>
      <c r="I4" s="125" t="s">
        <v>85</v>
      </c>
      <c r="J4" s="125" t="s">
        <v>86</v>
      </c>
      <c r="K4" s="125" t="s">
        <v>87</v>
      </c>
      <c r="L4" s="125" t="s">
        <v>88</v>
      </c>
      <c r="M4" s="125" t="s">
        <v>89</v>
      </c>
      <c r="N4" s="125" t="s">
        <v>90</v>
      </c>
      <c r="O4" s="125" t="s">
        <v>91</v>
      </c>
      <c r="P4" s="125" t="s">
        <v>92</v>
      </c>
      <c r="Q4" s="125" t="s">
        <v>93</v>
      </c>
      <c r="R4" s="125" t="s">
        <v>94</v>
      </c>
      <c r="S4" s="126"/>
    </row>
    <row r="5" spans="2:19" s="132" customFormat="1" ht="13">
      <c r="B5" s="128" t="s">
        <v>12</v>
      </c>
      <c r="C5" s="129" t="s">
        <v>95</v>
      </c>
      <c r="D5" s="130">
        <v>0</v>
      </c>
      <c r="E5" s="130">
        <v>9805731</v>
      </c>
      <c r="F5" s="130">
        <v>760725</v>
      </c>
      <c r="G5" s="130">
        <v>591675</v>
      </c>
      <c r="H5" s="130">
        <v>845250</v>
      </c>
      <c r="I5" s="130">
        <v>1055250</v>
      </c>
      <c r="J5" s="130">
        <v>1055250</v>
      </c>
      <c r="K5" s="130">
        <v>1055250</v>
      </c>
      <c r="L5" s="130">
        <v>1055250</v>
      </c>
      <c r="M5" s="130">
        <v>1055250</v>
      </c>
      <c r="N5" s="130">
        <v>1055250</v>
      </c>
      <c r="O5" s="130">
        <v>1057212</v>
      </c>
      <c r="P5" s="130">
        <v>1057212</v>
      </c>
      <c r="Q5" s="130">
        <v>1057212</v>
      </c>
      <c r="R5" s="130">
        <v>11700786</v>
      </c>
      <c r="S5" s="131"/>
    </row>
    <row r="6" spans="2:19" s="137" customFormat="1">
      <c r="B6" s="133" t="s">
        <v>96</v>
      </c>
      <c r="C6" s="134" t="s">
        <v>97</v>
      </c>
      <c r="D6" s="135">
        <v>0</v>
      </c>
      <c r="E6" s="135">
        <v>7883386</v>
      </c>
      <c r="F6" s="135">
        <v>519750</v>
      </c>
      <c r="G6" s="135">
        <v>404250</v>
      </c>
      <c r="H6" s="135">
        <v>577500</v>
      </c>
      <c r="I6" s="135">
        <v>720000</v>
      </c>
      <c r="J6" s="135">
        <v>720000</v>
      </c>
      <c r="K6" s="135">
        <v>720000</v>
      </c>
      <c r="L6" s="135">
        <v>720000</v>
      </c>
      <c r="M6" s="135">
        <v>720000</v>
      </c>
      <c r="N6" s="135">
        <v>720000</v>
      </c>
      <c r="O6" s="135">
        <v>78000</v>
      </c>
      <c r="P6" s="135">
        <v>78000</v>
      </c>
      <c r="Q6" s="135">
        <v>78000</v>
      </c>
      <c r="R6" s="135">
        <v>6055500</v>
      </c>
      <c r="S6" s="136"/>
    </row>
    <row r="7" spans="2:19" s="137" customFormat="1">
      <c r="B7" s="133" t="s">
        <v>98</v>
      </c>
      <c r="C7" s="134" t="s">
        <v>15</v>
      </c>
      <c r="D7" s="135">
        <v>0</v>
      </c>
      <c r="E7" s="135">
        <v>1688932</v>
      </c>
      <c r="F7" s="135">
        <v>240975</v>
      </c>
      <c r="G7" s="135">
        <v>187425</v>
      </c>
      <c r="H7" s="135">
        <v>267750</v>
      </c>
      <c r="I7" s="135">
        <v>335250</v>
      </c>
      <c r="J7" s="135">
        <v>335250</v>
      </c>
      <c r="K7" s="135">
        <v>335250</v>
      </c>
      <c r="L7" s="135">
        <v>335250</v>
      </c>
      <c r="M7" s="135">
        <v>335250</v>
      </c>
      <c r="N7" s="135">
        <v>335250</v>
      </c>
      <c r="O7" s="135">
        <v>979212</v>
      </c>
      <c r="P7" s="135">
        <v>979212</v>
      </c>
      <c r="Q7" s="135">
        <v>979212</v>
      </c>
      <c r="R7" s="135">
        <v>5645286</v>
      </c>
      <c r="S7" s="136"/>
    </row>
    <row r="8" spans="2:19" s="137" customFormat="1">
      <c r="B8" s="133" t="s">
        <v>99</v>
      </c>
      <c r="C8" s="134" t="s">
        <v>100</v>
      </c>
      <c r="D8" s="135">
        <v>0</v>
      </c>
      <c r="E8" s="135">
        <v>233413</v>
      </c>
      <c r="F8" s="135">
        <v>0</v>
      </c>
      <c r="G8" s="135">
        <v>0</v>
      </c>
      <c r="H8" s="135">
        <v>0</v>
      </c>
      <c r="I8" s="135">
        <v>0</v>
      </c>
      <c r="J8" s="135">
        <v>0</v>
      </c>
      <c r="K8" s="135">
        <v>0</v>
      </c>
      <c r="L8" s="135">
        <v>0</v>
      </c>
      <c r="M8" s="135">
        <v>0</v>
      </c>
      <c r="N8" s="135">
        <v>0</v>
      </c>
      <c r="O8" s="135">
        <v>0</v>
      </c>
      <c r="P8" s="135">
        <v>0</v>
      </c>
      <c r="Q8" s="135">
        <v>0</v>
      </c>
      <c r="R8" s="135">
        <v>0</v>
      </c>
      <c r="S8" s="136"/>
    </row>
    <row r="9" spans="2:19" s="137" customFormat="1" hidden="1">
      <c r="B9" s="138">
        <v>1.4</v>
      </c>
      <c r="C9" s="134" t="s">
        <v>101</v>
      </c>
      <c r="D9" s="135"/>
      <c r="E9" s="135"/>
      <c r="F9" s="135">
        <v>0</v>
      </c>
      <c r="G9" s="135">
        <v>0</v>
      </c>
      <c r="H9" s="135">
        <v>0</v>
      </c>
      <c r="I9" s="135">
        <v>0</v>
      </c>
      <c r="J9" s="135">
        <v>0</v>
      </c>
      <c r="K9" s="135">
        <v>0</v>
      </c>
      <c r="L9" s="135">
        <v>0</v>
      </c>
      <c r="M9" s="135">
        <v>0</v>
      </c>
      <c r="N9" s="135">
        <v>0</v>
      </c>
      <c r="O9" s="135">
        <v>0</v>
      </c>
      <c r="P9" s="135">
        <v>0</v>
      </c>
      <c r="Q9" s="135">
        <v>0</v>
      </c>
      <c r="R9" s="135">
        <v>0</v>
      </c>
      <c r="S9" s="136"/>
    </row>
    <row r="10" spans="2:19" s="126" customFormat="1" ht="13">
      <c r="B10" s="139">
        <v>2</v>
      </c>
      <c r="C10" s="140" t="s">
        <v>102</v>
      </c>
      <c r="D10" s="141">
        <v>64684339330</v>
      </c>
      <c r="E10" s="141">
        <v>173927684403</v>
      </c>
      <c r="F10" s="141">
        <v>11515218750</v>
      </c>
      <c r="G10" s="141">
        <v>8956281250</v>
      </c>
      <c r="H10" s="141">
        <v>12794687500</v>
      </c>
      <c r="I10" s="141">
        <v>15974312500</v>
      </c>
      <c r="J10" s="141">
        <v>15974312500</v>
      </c>
      <c r="K10" s="141">
        <v>15974312500</v>
      </c>
      <c r="L10" s="141">
        <v>15974312500</v>
      </c>
      <c r="M10" s="141">
        <v>15974312500</v>
      </c>
      <c r="N10" s="141">
        <v>15974312500</v>
      </c>
      <c r="O10" s="141">
        <v>17334395000</v>
      </c>
      <c r="P10" s="141">
        <v>17334395000</v>
      </c>
      <c r="Q10" s="141">
        <v>17334395000</v>
      </c>
      <c r="R10" s="141">
        <v>181115247500</v>
      </c>
      <c r="S10" s="142"/>
    </row>
    <row r="11" spans="2:19" ht="13" outlineLevel="1">
      <c r="B11" s="143" t="s">
        <v>103</v>
      </c>
      <c r="C11" s="134" t="s">
        <v>97</v>
      </c>
      <c r="D11" s="144">
        <v>64684339330</v>
      </c>
      <c r="E11" s="144">
        <v>140227158729</v>
      </c>
      <c r="F11" s="144">
        <v>7626150000</v>
      </c>
      <c r="G11" s="144">
        <v>5931450000</v>
      </c>
      <c r="H11" s="144">
        <v>8473500000</v>
      </c>
      <c r="I11" s="144">
        <v>10563750000</v>
      </c>
      <c r="J11" s="144">
        <v>10563750000</v>
      </c>
      <c r="K11" s="144">
        <v>10563750000</v>
      </c>
      <c r="L11" s="144">
        <v>10563750000</v>
      </c>
      <c r="M11" s="144">
        <v>10563750000</v>
      </c>
      <c r="N11" s="144">
        <v>10563750000</v>
      </c>
      <c r="O11" s="144">
        <v>924300000</v>
      </c>
      <c r="P11" s="144">
        <v>924300000</v>
      </c>
      <c r="Q11" s="144">
        <v>924300000</v>
      </c>
      <c r="R11" s="144">
        <v>88186500000</v>
      </c>
    </row>
    <row r="12" spans="2:19" ht="13" outlineLevel="1">
      <c r="B12" s="143" t="s">
        <v>104</v>
      </c>
      <c r="C12" s="134" t="s">
        <v>15</v>
      </c>
      <c r="D12" s="144">
        <v>0</v>
      </c>
      <c r="E12" s="144">
        <v>30731028704</v>
      </c>
      <c r="F12" s="144">
        <v>3889068750</v>
      </c>
      <c r="G12" s="144">
        <v>3024831250</v>
      </c>
      <c r="H12" s="144">
        <v>4321187500</v>
      </c>
      <c r="I12" s="144">
        <v>5410562500</v>
      </c>
      <c r="J12" s="144">
        <v>5410562500</v>
      </c>
      <c r="K12" s="144">
        <v>5410562500</v>
      </c>
      <c r="L12" s="144">
        <v>5410562500</v>
      </c>
      <c r="M12" s="144">
        <v>5410562500</v>
      </c>
      <c r="N12" s="144">
        <v>5410562500</v>
      </c>
      <c r="O12" s="144">
        <v>16410095000</v>
      </c>
      <c r="P12" s="144">
        <v>16410095000</v>
      </c>
      <c r="Q12" s="144">
        <v>16410095000</v>
      </c>
      <c r="R12" s="144">
        <v>92928747500</v>
      </c>
    </row>
    <row r="13" spans="2:19" ht="13" outlineLevel="1">
      <c r="B13" s="143" t="s">
        <v>105</v>
      </c>
      <c r="C13" s="134" t="s">
        <v>100</v>
      </c>
      <c r="D13" s="144">
        <v>0</v>
      </c>
      <c r="E13" s="144">
        <v>2969496970</v>
      </c>
      <c r="F13" s="144">
        <v>0</v>
      </c>
      <c r="G13" s="144">
        <v>0</v>
      </c>
      <c r="H13" s="144">
        <v>0</v>
      </c>
      <c r="I13" s="144">
        <v>0</v>
      </c>
      <c r="J13" s="144">
        <v>0</v>
      </c>
      <c r="K13" s="144">
        <v>0</v>
      </c>
      <c r="L13" s="144">
        <v>0</v>
      </c>
      <c r="M13" s="144">
        <v>0</v>
      </c>
      <c r="N13" s="144">
        <v>0</v>
      </c>
      <c r="O13" s="144">
        <v>0</v>
      </c>
      <c r="P13" s="144">
        <v>0</v>
      </c>
      <c r="Q13" s="144">
        <v>0</v>
      </c>
      <c r="R13" s="144">
        <v>0</v>
      </c>
    </row>
    <row r="14" spans="2:19" ht="13" outlineLevel="1">
      <c r="B14" s="145" t="s">
        <v>106</v>
      </c>
      <c r="C14" s="134" t="s">
        <v>101</v>
      </c>
      <c r="D14" s="144"/>
      <c r="E14" s="144"/>
      <c r="F14" s="144">
        <v>0</v>
      </c>
      <c r="G14" s="144">
        <v>0</v>
      </c>
      <c r="H14" s="144">
        <v>0</v>
      </c>
      <c r="I14" s="144">
        <v>0</v>
      </c>
      <c r="J14" s="144">
        <v>0</v>
      </c>
      <c r="K14" s="144">
        <v>0</v>
      </c>
      <c r="L14" s="144">
        <v>0</v>
      </c>
      <c r="M14" s="144">
        <v>0</v>
      </c>
      <c r="N14" s="144">
        <v>0</v>
      </c>
      <c r="O14" s="144">
        <v>0</v>
      </c>
      <c r="P14" s="144">
        <v>0</v>
      </c>
      <c r="Q14" s="144">
        <v>0</v>
      </c>
      <c r="R14" s="144">
        <v>0</v>
      </c>
    </row>
    <row r="15" spans="2:19" ht="13" outlineLevel="1">
      <c r="B15" s="143" t="s">
        <v>106</v>
      </c>
      <c r="C15" s="146" t="s">
        <v>107</v>
      </c>
      <c r="D15" s="144">
        <v>0</v>
      </c>
      <c r="E15" s="144">
        <v>0</v>
      </c>
      <c r="F15" s="144">
        <v>0</v>
      </c>
      <c r="G15" s="144">
        <v>0</v>
      </c>
      <c r="H15" s="144">
        <v>0</v>
      </c>
      <c r="I15" s="144">
        <v>0</v>
      </c>
      <c r="J15" s="144">
        <v>0</v>
      </c>
      <c r="K15" s="144">
        <v>0</v>
      </c>
      <c r="L15" s="144">
        <v>0</v>
      </c>
      <c r="M15" s="144">
        <v>0</v>
      </c>
      <c r="N15" s="144">
        <v>0</v>
      </c>
      <c r="O15" s="144">
        <v>0</v>
      </c>
      <c r="P15" s="144">
        <v>0</v>
      </c>
      <c r="Q15" s="144">
        <v>0</v>
      </c>
      <c r="R15" s="144">
        <v>0</v>
      </c>
    </row>
    <row r="16" spans="2:19" s="126" customFormat="1" ht="13">
      <c r="B16" s="147">
        <v>3</v>
      </c>
      <c r="C16" s="148" t="s">
        <v>108</v>
      </c>
      <c r="D16" s="149">
        <v>0</v>
      </c>
      <c r="E16" s="149">
        <v>158046392045.08923</v>
      </c>
      <c r="F16" s="149">
        <v>10382402075.906801</v>
      </c>
      <c r="G16" s="149">
        <v>8057361963.9403315</v>
      </c>
      <c r="H16" s="149">
        <v>11544780960.486189</v>
      </c>
      <c r="I16" s="149">
        <v>14225483156.52232</v>
      </c>
      <c r="J16" s="149">
        <v>14236432309.714628</v>
      </c>
      <c r="K16" s="149">
        <v>14241531489.52232</v>
      </c>
      <c r="L16" s="149">
        <v>14266441668.560781</v>
      </c>
      <c r="M16" s="149">
        <v>14266556668.560781</v>
      </c>
      <c r="N16" s="149">
        <v>14201619566.599243</v>
      </c>
      <c r="O16" s="149">
        <v>15207174379.906912</v>
      </c>
      <c r="P16" s="149">
        <v>15205807355.829988</v>
      </c>
      <c r="Q16" s="149">
        <v>15196075867.86845</v>
      </c>
      <c r="R16" s="149">
        <v>161031667463.41873</v>
      </c>
    </row>
    <row r="17" spans="2:20" s="126" customFormat="1" ht="13">
      <c r="B17" s="150">
        <v>3.1</v>
      </c>
      <c r="C17" s="151" t="s">
        <v>109</v>
      </c>
      <c r="D17" s="149">
        <v>0</v>
      </c>
      <c r="E17" s="149">
        <v>154918492045.08923</v>
      </c>
      <c r="F17" s="149">
        <v>10123301450.906801</v>
      </c>
      <c r="G17" s="149">
        <v>7855839255.6069984</v>
      </c>
      <c r="H17" s="149">
        <v>11256891377.152855</v>
      </c>
      <c r="I17" s="149">
        <v>13866114406.52232</v>
      </c>
      <c r="J17" s="149">
        <v>13877063559.714628</v>
      </c>
      <c r="K17" s="149">
        <v>13882162739.52232</v>
      </c>
      <c r="L17" s="149">
        <v>13907072918.560781</v>
      </c>
      <c r="M17" s="149">
        <v>13907187918.560781</v>
      </c>
      <c r="N17" s="149">
        <v>13842250816.599243</v>
      </c>
      <c r="O17" s="149">
        <v>14877517346.573578</v>
      </c>
      <c r="P17" s="149">
        <v>14876150322.496655</v>
      </c>
      <c r="Q17" s="149">
        <v>14866418834.535116</v>
      </c>
      <c r="R17" s="149">
        <v>157137970946.75208</v>
      </c>
    </row>
    <row r="18" spans="2:20">
      <c r="B18" s="152" t="s">
        <v>110</v>
      </c>
      <c r="C18" s="153" t="s">
        <v>111</v>
      </c>
      <c r="D18" s="154">
        <v>0</v>
      </c>
      <c r="E18" s="154">
        <v>144569179803.24307</v>
      </c>
      <c r="F18" s="154">
        <v>9000000000</v>
      </c>
      <c r="G18" s="154">
        <v>7000000000</v>
      </c>
      <c r="H18" s="154">
        <v>10000000000</v>
      </c>
      <c r="I18" s="154">
        <v>12500000000</v>
      </c>
      <c r="J18" s="154">
        <v>12500000000</v>
      </c>
      <c r="K18" s="154">
        <v>12500000000</v>
      </c>
      <c r="L18" s="154">
        <v>12500000000</v>
      </c>
      <c r="M18" s="154">
        <v>12500000000</v>
      </c>
      <c r="N18" s="154">
        <v>12500000000</v>
      </c>
      <c r="O18" s="154">
        <v>13000000000</v>
      </c>
      <c r="P18" s="154">
        <v>13000000000</v>
      </c>
      <c r="Q18" s="154">
        <v>13000000000</v>
      </c>
      <c r="R18" s="154">
        <v>140000000000</v>
      </c>
    </row>
    <row r="19" spans="2:20" s="157" customFormat="1" ht="13" outlineLevel="1">
      <c r="B19" s="155" t="s">
        <v>112</v>
      </c>
      <c r="C19" s="156" t="s">
        <v>113</v>
      </c>
      <c r="D19" s="144">
        <v>0</v>
      </c>
      <c r="E19" s="144">
        <v>13748236145.861044</v>
      </c>
      <c r="F19" s="144">
        <v>1125000000</v>
      </c>
      <c r="G19" s="144">
        <v>875000000</v>
      </c>
      <c r="H19" s="144">
        <v>1250000000</v>
      </c>
      <c r="I19" s="144">
        <v>1575000000</v>
      </c>
      <c r="J19" s="144">
        <v>1575000000</v>
      </c>
      <c r="K19" s="144">
        <v>1575000000</v>
      </c>
      <c r="L19" s="144">
        <v>1575000000</v>
      </c>
      <c r="M19" s="144">
        <v>1575000000</v>
      </c>
      <c r="N19" s="144">
        <v>1575000000</v>
      </c>
      <c r="O19" s="144">
        <v>1638000000</v>
      </c>
      <c r="P19" s="144">
        <v>1638000000</v>
      </c>
      <c r="Q19" s="144">
        <v>1638000000</v>
      </c>
      <c r="R19" s="144">
        <v>17614000000</v>
      </c>
    </row>
    <row r="20" spans="2:20" s="157" customFormat="1" ht="13" outlineLevel="1">
      <c r="B20" s="155"/>
      <c r="C20" s="156" t="s">
        <v>114</v>
      </c>
      <c r="D20" s="144">
        <v>0</v>
      </c>
      <c r="E20" s="144">
        <v>1715398955.2401547</v>
      </c>
      <c r="F20" s="144">
        <v>267750000</v>
      </c>
      <c r="G20" s="144">
        <v>208250000</v>
      </c>
      <c r="H20" s="144">
        <v>297500000</v>
      </c>
      <c r="I20" s="144">
        <v>372500000</v>
      </c>
      <c r="J20" s="144">
        <v>372500000</v>
      </c>
      <c r="K20" s="144">
        <v>372500000</v>
      </c>
      <c r="L20" s="144">
        <v>372500000</v>
      </c>
      <c r="M20" s="144">
        <v>372500000</v>
      </c>
      <c r="N20" s="144">
        <v>372500000</v>
      </c>
      <c r="O20" s="144">
        <v>1192360000</v>
      </c>
      <c r="P20" s="144">
        <v>1192360000</v>
      </c>
      <c r="Q20" s="144">
        <v>1192360000</v>
      </c>
      <c r="R20" s="144">
        <v>6585580000</v>
      </c>
      <c r="T20" s="158"/>
    </row>
    <row r="21" spans="2:20" s="163" customFormat="1" ht="13">
      <c r="B21" s="159" t="s">
        <v>115</v>
      </c>
      <c r="C21" s="160" t="s">
        <v>116</v>
      </c>
      <c r="D21" s="161">
        <v>0</v>
      </c>
      <c r="E21" s="161">
        <v>0.83120280879649</v>
      </c>
      <c r="F21" s="161">
        <v>0.78157438389956768</v>
      </c>
      <c r="G21" s="161">
        <v>0.78157438389956768</v>
      </c>
      <c r="H21" s="161">
        <v>0.78157438389956768</v>
      </c>
      <c r="I21" s="161">
        <v>0.782506289394301</v>
      </c>
      <c r="J21" s="161">
        <v>0.782506289394301</v>
      </c>
      <c r="K21" s="161">
        <v>0.782506289394301</v>
      </c>
      <c r="L21" s="161">
        <v>0.782506289394301</v>
      </c>
      <c r="M21" s="161">
        <v>0.782506289394301</v>
      </c>
      <c r="N21" s="161">
        <v>0.782506289394301</v>
      </c>
      <c r="O21" s="161">
        <v>0.74995406531349951</v>
      </c>
      <c r="P21" s="161">
        <v>0.74995406531349951</v>
      </c>
      <c r="Q21" s="161">
        <v>0.74995406531349951</v>
      </c>
      <c r="R21" s="161">
        <v>0.77298848071860982</v>
      </c>
      <c r="S21" s="162"/>
    </row>
    <row r="22" spans="2:20" ht="25">
      <c r="B22" s="164" t="s">
        <v>117</v>
      </c>
      <c r="C22" s="146" t="s">
        <v>118</v>
      </c>
      <c r="D22" s="154">
        <v>0</v>
      </c>
      <c r="E22" s="154">
        <v>2778989541.8461542</v>
      </c>
      <c r="F22" s="154">
        <v>308026922.05015671</v>
      </c>
      <c r="G22" s="154">
        <v>238895383.81678861</v>
      </c>
      <c r="H22" s="154">
        <v>338114191.16684079</v>
      </c>
      <c r="I22" s="154">
        <v>422423758.48285818</v>
      </c>
      <c r="J22" s="154">
        <v>421123758.48285818</v>
      </c>
      <c r="K22" s="154">
        <v>420782091.48285818</v>
      </c>
      <c r="L22" s="154">
        <v>420158758.48285818</v>
      </c>
      <c r="M22" s="154">
        <v>420273758.48285818</v>
      </c>
      <c r="N22" s="154">
        <v>420008758.48285818</v>
      </c>
      <c r="O22" s="154">
        <v>671656557.57407856</v>
      </c>
      <c r="P22" s="154">
        <v>670116557.57407856</v>
      </c>
      <c r="Q22" s="154">
        <v>670231557.57407856</v>
      </c>
      <c r="R22" s="165">
        <v>5421812053.6531706</v>
      </c>
    </row>
    <row r="23" spans="2:20" ht="13">
      <c r="B23" s="155" t="s">
        <v>119</v>
      </c>
      <c r="C23" s="153" t="s">
        <v>120</v>
      </c>
      <c r="D23" s="154">
        <v>0</v>
      </c>
      <c r="E23" s="154">
        <v>1409501660</v>
      </c>
      <c r="F23" s="154">
        <v>115678431.81818181</v>
      </c>
      <c r="G23" s="154">
        <v>89972113.63636364</v>
      </c>
      <c r="H23" s="154">
        <v>128531590.90909091</v>
      </c>
      <c r="I23" s="154">
        <v>160712922.07792208</v>
      </c>
      <c r="J23" s="154">
        <v>160712922.07792208</v>
      </c>
      <c r="K23" s="154">
        <v>160712922.07792208</v>
      </c>
      <c r="L23" s="154">
        <v>160712922.07792208</v>
      </c>
      <c r="M23" s="154">
        <v>160712922.07792208</v>
      </c>
      <c r="N23" s="154">
        <v>160712922.07792208</v>
      </c>
      <c r="O23" s="154">
        <v>340096038.96103895</v>
      </c>
      <c r="P23" s="154">
        <v>340096038.96103895</v>
      </c>
      <c r="Q23" s="154">
        <v>340096038.96103895</v>
      </c>
      <c r="R23" s="165">
        <v>2318747785.7142859</v>
      </c>
    </row>
    <row r="24" spans="2:20" ht="13">
      <c r="B24" s="155" t="s">
        <v>121</v>
      </c>
      <c r="C24" s="153" t="s">
        <v>122</v>
      </c>
      <c r="D24" s="154">
        <v>0</v>
      </c>
      <c r="E24" s="154">
        <v>6160821040</v>
      </c>
      <c r="F24" s="154">
        <v>699596097.03846157</v>
      </c>
      <c r="G24" s="154">
        <v>526971758.15384614</v>
      </c>
      <c r="H24" s="154">
        <v>790245595.07692313</v>
      </c>
      <c r="I24" s="154">
        <v>782977725.96153843</v>
      </c>
      <c r="J24" s="154">
        <v>795226879.15384614</v>
      </c>
      <c r="K24" s="154">
        <v>800667725.96153843</v>
      </c>
      <c r="L24" s="154">
        <v>826201238</v>
      </c>
      <c r="M24" s="154">
        <v>826201238</v>
      </c>
      <c r="N24" s="154">
        <v>761529136.03846157</v>
      </c>
      <c r="O24" s="154">
        <v>865764750.03846157</v>
      </c>
      <c r="P24" s="154">
        <v>865937725.96153843</v>
      </c>
      <c r="Q24" s="154">
        <v>856091237.99999988</v>
      </c>
      <c r="R24" s="165">
        <v>9397411107.3846149</v>
      </c>
      <c r="S24" s="166">
        <v>9050781100</v>
      </c>
      <c r="T24" s="166"/>
    </row>
    <row r="25" spans="2:20" s="126" customFormat="1" ht="13">
      <c r="B25" s="150">
        <v>3.2</v>
      </c>
      <c r="C25" s="151" t="s">
        <v>123</v>
      </c>
      <c r="D25" s="149">
        <v>0</v>
      </c>
      <c r="E25" s="149">
        <v>3127900000</v>
      </c>
      <c r="F25" s="149">
        <v>259100625</v>
      </c>
      <c r="G25" s="149">
        <v>201522708.33333331</v>
      </c>
      <c r="H25" s="149">
        <v>287889583.33333331</v>
      </c>
      <c r="I25" s="149">
        <v>359368750</v>
      </c>
      <c r="J25" s="149">
        <v>359368750</v>
      </c>
      <c r="K25" s="149">
        <v>359368750</v>
      </c>
      <c r="L25" s="149">
        <v>359368750</v>
      </c>
      <c r="M25" s="149">
        <v>359368750</v>
      </c>
      <c r="N25" s="149">
        <v>359368750</v>
      </c>
      <c r="O25" s="149">
        <v>329657033.33333337</v>
      </c>
      <c r="P25" s="149">
        <v>329657033.33333337</v>
      </c>
      <c r="Q25" s="149">
        <v>329657033.33333337</v>
      </c>
      <c r="R25" s="149">
        <v>3893696516.666667</v>
      </c>
      <c r="S25" s="166">
        <v>-346630007.38461494</v>
      </c>
      <c r="T25" s="167"/>
    </row>
    <row r="26" spans="2:20" outlineLevel="1" collapsed="1">
      <c r="B26" s="152"/>
      <c r="C26" s="153" t="s">
        <v>124</v>
      </c>
      <c r="D26" s="154">
        <v>0</v>
      </c>
      <c r="E26" s="154">
        <v>3127900000</v>
      </c>
      <c r="F26" s="154">
        <v>259100625</v>
      </c>
      <c r="G26" s="154">
        <v>201522708.33333331</v>
      </c>
      <c r="H26" s="154">
        <v>287889583.33333331</v>
      </c>
      <c r="I26" s="154">
        <v>359368750</v>
      </c>
      <c r="J26" s="154">
        <v>359368750</v>
      </c>
      <c r="K26" s="154">
        <v>359368750</v>
      </c>
      <c r="L26" s="154">
        <v>359368750</v>
      </c>
      <c r="M26" s="154">
        <v>359368750</v>
      </c>
      <c r="N26" s="154">
        <v>359368750</v>
      </c>
      <c r="O26" s="154">
        <v>329657033.33333337</v>
      </c>
      <c r="P26" s="154">
        <v>329657033.33333337</v>
      </c>
      <c r="Q26" s="154">
        <v>329657033.33333337</v>
      </c>
      <c r="R26" s="154">
        <v>3893696516.666667</v>
      </c>
      <c r="S26" s="166"/>
      <c r="T26" s="166"/>
    </row>
    <row r="27" spans="2:20" s="126" customFormat="1" ht="13">
      <c r="B27" s="139">
        <v>4</v>
      </c>
      <c r="C27" s="140" t="s">
        <v>125</v>
      </c>
      <c r="D27" s="141">
        <v>64684339330</v>
      </c>
      <c r="E27" s="141">
        <v>15881292357.91078</v>
      </c>
      <c r="F27" s="141">
        <v>1132816674.0931988</v>
      </c>
      <c r="G27" s="141">
        <v>898919286.05966854</v>
      </c>
      <c r="H27" s="141">
        <v>1249906539.5138111</v>
      </c>
      <c r="I27" s="141">
        <v>1748829343.4776802</v>
      </c>
      <c r="J27" s="141">
        <v>1737880190.2853718</v>
      </c>
      <c r="K27" s="141">
        <v>1732781010.4776802</v>
      </c>
      <c r="L27" s="141">
        <v>1707870831.4392185</v>
      </c>
      <c r="M27" s="141">
        <v>1707755831.4392185</v>
      </c>
      <c r="N27" s="141">
        <v>1772692933.4007568</v>
      </c>
      <c r="O27" s="141">
        <v>2127220620.0930882</v>
      </c>
      <c r="P27" s="141">
        <v>2128587644.1700115</v>
      </c>
      <c r="Q27" s="141">
        <v>2138319132.1315498</v>
      </c>
      <c r="R27" s="141">
        <v>20083580036.581257</v>
      </c>
      <c r="S27" s="167">
        <v>208875731492.3299</v>
      </c>
      <c r="T27" s="167" t="e">
        <v>#DIV/0!</v>
      </c>
    </row>
    <row r="28" spans="2:20" s="163" customFormat="1" ht="13">
      <c r="B28" s="168" t="s">
        <v>126</v>
      </c>
      <c r="C28" s="160" t="s">
        <v>127</v>
      </c>
      <c r="D28" s="161">
        <v>0</v>
      </c>
      <c r="E28" s="161">
        <v>9.130974411821037E-2</v>
      </c>
      <c r="F28" s="161">
        <v>9.8375610458394352E-2</v>
      </c>
      <c r="G28" s="161">
        <v>0.10036746959678924</v>
      </c>
      <c r="H28" s="161">
        <v>9.7689493355254758E-2</v>
      </c>
      <c r="I28" s="161">
        <v>0.10947759682788728</v>
      </c>
      <c r="J28" s="161">
        <v>0.10879217432896544</v>
      </c>
      <c r="K28" s="161">
        <v>0.10847296310734375</v>
      </c>
      <c r="L28" s="161">
        <v>0.10691357336594101</v>
      </c>
      <c r="M28" s="161">
        <v>0.10690637430807857</v>
      </c>
      <c r="N28" s="161">
        <v>0.110971469564074</v>
      </c>
      <c r="O28" s="161">
        <v>0.12271675014288576</v>
      </c>
      <c r="P28" s="161">
        <v>0.12279561208626039</v>
      </c>
      <c r="Q28" s="161">
        <v>0.12335700969843769</v>
      </c>
      <c r="R28" s="161">
        <v>0.11088840014191106</v>
      </c>
      <c r="S28" s="169">
        <v>17406310957.694157</v>
      </c>
      <c r="T28" s="170" t="e">
        <v>#DIV/0!</v>
      </c>
    </row>
    <row r="29" spans="2:20" s="126" customFormat="1" ht="13">
      <c r="B29" s="150">
        <v>5</v>
      </c>
      <c r="C29" s="151" t="s">
        <v>128</v>
      </c>
      <c r="D29" s="149">
        <v>0</v>
      </c>
      <c r="E29" s="149">
        <v>11547786451</v>
      </c>
      <c r="F29" s="149">
        <v>983270292.07222223</v>
      </c>
      <c r="G29" s="149">
        <v>970092470.73888898</v>
      </c>
      <c r="H29" s="149">
        <v>946102015.73888874</v>
      </c>
      <c r="I29" s="149">
        <v>985198821.96111107</v>
      </c>
      <c r="J29" s="149">
        <v>995169981.25229883</v>
      </c>
      <c r="K29" s="149">
        <v>1029384282.2101533</v>
      </c>
      <c r="L29" s="149">
        <v>1031294034.3212645</v>
      </c>
      <c r="M29" s="149">
        <v>1038430056.6545978</v>
      </c>
      <c r="N29" s="149">
        <v>1092620660.4323754</v>
      </c>
      <c r="O29" s="149">
        <v>1084198349.6545978</v>
      </c>
      <c r="P29" s="149">
        <v>1124733981.6545978</v>
      </c>
      <c r="Q29" s="149">
        <v>1120582969.5434866</v>
      </c>
      <c r="R29" s="149">
        <v>12401077916.234486</v>
      </c>
      <c r="S29" s="167">
        <v>16957340236.721554</v>
      </c>
      <c r="T29" s="171" t="e">
        <v>#DIV/0!</v>
      </c>
    </row>
    <row r="30" spans="2:20" collapsed="1">
      <c r="B30" s="152">
        <v>5.0999999999999996</v>
      </c>
      <c r="C30" s="146" t="s">
        <v>129</v>
      </c>
      <c r="D30" s="154">
        <v>0</v>
      </c>
      <c r="E30" s="154">
        <v>3749845944</v>
      </c>
      <c r="F30" s="154">
        <v>296914317.33333331</v>
      </c>
      <c r="G30" s="154">
        <v>294603662.33333331</v>
      </c>
      <c r="H30" s="154">
        <v>282254749.33333331</v>
      </c>
      <c r="I30" s="154">
        <v>305060166.33333331</v>
      </c>
      <c r="J30" s="154">
        <v>289775491.33333331</v>
      </c>
      <c r="K30" s="154">
        <v>305322666.33333331</v>
      </c>
      <c r="L30" s="154">
        <v>298077765.33333331</v>
      </c>
      <c r="M30" s="154">
        <v>298077765.33333331</v>
      </c>
      <c r="N30" s="154">
        <v>304968925.33333331</v>
      </c>
      <c r="O30" s="154">
        <v>290167159.33333331</v>
      </c>
      <c r="P30" s="154">
        <v>305322666.33333331</v>
      </c>
      <c r="Q30" s="154">
        <v>298077765.33333331</v>
      </c>
      <c r="R30" s="154">
        <v>3568623100.0000005</v>
      </c>
    </row>
    <row r="31" spans="2:20">
      <c r="B31" s="152">
        <v>5.2</v>
      </c>
      <c r="C31" s="146" t="s">
        <v>130</v>
      </c>
      <c r="D31" s="154">
        <v>0</v>
      </c>
      <c r="E31" s="154">
        <v>5585152224</v>
      </c>
      <c r="F31" s="154">
        <v>461679352</v>
      </c>
      <c r="G31" s="154">
        <v>461679352</v>
      </c>
      <c r="H31" s="154">
        <v>461679352</v>
      </c>
      <c r="I31" s="154">
        <v>461679352</v>
      </c>
      <c r="J31" s="154">
        <v>461679352</v>
      </c>
      <c r="K31" s="154">
        <v>461679352</v>
      </c>
      <c r="L31" s="154">
        <v>461679352</v>
      </c>
      <c r="M31" s="154">
        <v>461679352</v>
      </c>
      <c r="N31" s="154">
        <v>461679352</v>
      </c>
      <c r="O31" s="154">
        <v>461679352</v>
      </c>
      <c r="P31" s="154">
        <v>461679352</v>
      </c>
      <c r="Q31" s="154">
        <v>461679352</v>
      </c>
      <c r="R31" s="154">
        <v>5540152224</v>
      </c>
    </row>
    <row r="32" spans="2:20" ht="25">
      <c r="B32" s="172">
        <v>5.3</v>
      </c>
      <c r="C32" s="146" t="s">
        <v>131</v>
      </c>
      <c r="D32" s="154">
        <v>0</v>
      </c>
      <c r="E32" s="154">
        <v>2212788283</v>
      </c>
      <c r="F32" s="154">
        <v>224676622.73888892</v>
      </c>
      <c r="G32" s="154">
        <v>213809456.40555567</v>
      </c>
      <c r="H32" s="154">
        <v>202167914.40555543</v>
      </c>
      <c r="I32" s="154">
        <v>218459303.62777776</v>
      </c>
      <c r="J32" s="154">
        <v>243715137.91896552</v>
      </c>
      <c r="K32" s="154">
        <v>262382263.87682003</v>
      </c>
      <c r="L32" s="154">
        <v>271536916.98793119</v>
      </c>
      <c r="M32" s="154">
        <v>278672939.32126445</v>
      </c>
      <c r="N32" s="154">
        <v>325972383.09904212</v>
      </c>
      <c r="O32" s="154">
        <v>332351838.32126445</v>
      </c>
      <c r="P32" s="154">
        <v>357731963.32126445</v>
      </c>
      <c r="Q32" s="154">
        <v>360825852.21015328</v>
      </c>
      <c r="R32" s="154">
        <v>3292302592.2344828</v>
      </c>
    </row>
    <row r="33" spans="2:19" s="126" customFormat="1" ht="13">
      <c r="B33" s="150">
        <v>6</v>
      </c>
      <c r="C33" s="148" t="s">
        <v>132</v>
      </c>
      <c r="D33" s="149">
        <v>0</v>
      </c>
      <c r="E33" s="149">
        <v>7149747131</v>
      </c>
      <c r="F33" s="173">
        <v>377484612.26281112</v>
      </c>
      <c r="G33" s="173">
        <v>377484612.26281112</v>
      </c>
      <c r="H33" s="173">
        <v>374920976.26281112</v>
      </c>
      <c r="I33" s="173">
        <v>374920976.26281112</v>
      </c>
      <c r="J33" s="173">
        <v>374920976.26281112</v>
      </c>
      <c r="K33" s="173">
        <v>374920976.26281112</v>
      </c>
      <c r="L33" s="173">
        <v>374920976.26281112</v>
      </c>
      <c r="M33" s="173">
        <v>374920976.26281112</v>
      </c>
      <c r="N33" s="173">
        <v>374920976.26281112</v>
      </c>
      <c r="O33" s="173">
        <v>392282087.37392223</v>
      </c>
      <c r="P33" s="173">
        <v>392282087.37392223</v>
      </c>
      <c r="Q33" s="173">
        <v>392282087.37392223</v>
      </c>
      <c r="R33" s="173">
        <v>4556262320.4870672</v>
      </c>
    </row>
    <row r="34" spans="2:19" s="126" customFormat="1" ht="13" collapsed="1">
      <c r="B34" s="139">
        <v>7</v>
      </c>
      <c r="C34" s="140" t="s">
        <v>133</v>
      </c>
      <c r="D34" s="141">
        <v>64684339330</v>
      </c>
      <c r="E34" s="141">
        <v>-2816241224.08922</v>
      </c>
      <c r="F34" s="141">
        <v>-227938230.24183458</v>
      </c>
      <c r="G34" s="141">
        <v>-448657796.94203156</v>
      </c>
      <c r="H34" s="141">
        <v>-71116452.487888753</v>
      </c>
      <c r="I34" s="141">
        <v>388709545.25375801</v>
      </c>
      <c r="J34" s="141">
        <v>367789232.77026182</v>
      </c>
      <c r="K34" s="141">
        <v>328475752.00471574</v>
      </c>
      <c r="L34" s="141">
        <v>301655820.85514289</v>
      </c>
      <c r="M34" s="141">
        <v>294404798.52180964</v>
      </c>
      <c r="N34" s="141">
        <v>305151296.70557028</v>
      </c>
      <c r="O34" s="141">
        <v>650740183.06456816</v>
      </c>
      <c r="P34" s="141">
        <v>611571575.14149153</v>
      </c>
      <c r="Q34" s="141">
        <v>625454075.21414101</v>
      </c>
      <c r="R34" s="141">
        <v>3126239799.859704</v>
      </c>
    </row>
    <row r="35" spans="2:19" s="163" customFormat="1" ht="13">
      <c r="B35" s="168" t="s">
        <v>134</v>
      </c>
      <c r="C35" s="160" t="s">
        <v>135</v>
      </c>
      <c r="D35" s="161">
        <v>0</v>
      </c>
      <c r="E35" s="161">
        <v>-1.6192023907843415E-2</v>
      </c>
      <c r="F35" s="161">
        <v>-1.9794520207602185E-2</v>
      </c>
      <c r="G35" s="161">
        <v>-5.0094205889529383E-2</v>
      </c>
      <c r="H35" s="161">
        <v>-5.5582797538344534E-3</v>
      </c>
      <c r="I35" s="161">
        <v>2.4333413112693145E-2</v>
      </c>
      <c r="J35" s="161">
        <v>2.3023791025138754E-2</v>
      </c>
      <c r="K35" s="161">
        <v>2.0562747348577021E-2</v>
      </c>
      <c r="L35" s="161">
        <v>1.8883806164123988E-2</v>
      </c>
      <c r="M35" s="161">
        <v>1.8429888517694244E-2</v>
      </c>
      <c r="N35" s="161">
        <v>1.9102624711114815E-2</v>
      </c>
      <c r="O35" s="161">
        <v>3.7540403519394139E-2</v>
      </c>
      <c r="P35" s="161">
        <v>3.5280814539041687E-2</v>
      </c>
      <c r="Q35" s="161">
        <v>3.6081678951826179E-2</v>
      </c>
      <c r="R35" s="161">
        <v>1.726105252325431E-2</v>
      </c>
      <c r="S35" s="162"/>
    </row>
    <row r="36" spans="2:19" s="126" customFormat="1" ht="13">
      <c r="B36" s="150">
        <v>8</v>
      </c>
      <c r="C36" s="148" t="s">
        <v>136</v>
      </c>
      <c r="D36" s="149">
        <v>0</v>
      </c>
      <c r="E36" s="149">
        <v>0</v>
      </c>
      <c r="F36" s="149">
        <v>0</v>
      </c>
      <c r="G36" s="149">
        <v>0</v>
      </c>
      <c r="H36" s="149">
        <v>0</v>
      </c>
      <c r="I36" s="149">
        <v>0</v>
      </c>
      <c r="J36" s="149">
        <v>0</v>
      </c>
      <c r="K36" s="149">
        <v>0</v>
      </c>
      <c r="L36" s="149">
        <v>0</v>
      </c>
      <c r="M36" s="149">
        <v>0</v>
      </c>
      <c r="N36" s="149">
        <v>0</v>
      </c>
      <c r="O36" s="149">
        <v>0</v>
      </c>
      <c r="P36" s="149">
        <v>0</v>
      </c>
      <c r="Q36" s="149">
        <v>0</v>
      </c>
      <c r="R36" s="149">
        <v>0</v>
      </c>
    </row>
    <row r="37" spans="2:19" outlineLevel="1" collapsed="1">
      <c r="B37" s="152">
        <v>8.1</v>
      </c>
      <c r="C37" s="146" t="s">
        <v>137</v>
      </c>
      <c r="D37" s="154">
        <v>0</v>
      </c>
      <c r="E37" s="154">
        <v>0</v>
      </c>
      <c r="F37" s="154">
        <v>0</v>
      </c>
      <c r="G37" s="154">
        <v>0</v>
      </c>
      <c r="H37" s="154">
        <v>0</v>
      </c>
      <c r="I37" s="154">
        <v>0</v>
      </c>
      <c r="J37" s="154">
        <v>0</v>
      </c>
      <c r="K37" s="154">
        <v>0</v>
      </c>
      <c r="L37" s="154">
        <v>0</v>
      </c>
      <c r="M37" s="154">
        <v>0</v>
      </c>
      <c r="N37" s="154">
        <v>0</v>
      </c>
      <c r="O37" s="154">
        <v>0</v>
      </c>
      <c r="P37" s="154">
        <v>0</v>
      </c>
      <c r="Q37" s="154">
        <v>0</v>
      </c>
      <c r="R37" s="154">
        <v>0</v>
      </c>
    </row>
    <row r="38" spans="2:19" outlineLevel="1">
      <c r="B38" s="152">
        <v>8.1999999999999993</v>
      </c>
      <c r="C38" s="146" t="s">
        <v>138</v>
      </c>
      <c r="D38" s="154">
        <v>0</v>
      </c>
      <c r="E38" s="154">
        <v>0</v>
      </c>
      <c r="F38" s="154">
        <v>0</v>
      </c>
      <c r="G38" s="154">
        <v>0</v>
      </c>
      <c r="H38" s="154">
        <v>0</v>
      </c>
      <c r="I38" s="154">
        <v>0</v>
      </c>
      <c r="J38" s="154">
        <v>0</v>
      </c>
      <c r="K38" s="154">
        <v>0</v>
      </c>
      <c r="L38" s="154">
        <v>0</v>
      </c>
      <c r="M38" s="154">
        <v>0</v>
      </c>
      <c r="N38" s="154">
        <v>0</v>
      </c>
      <c r="O38" s="154">
        <v>0</v>
      </c>
      <c r="P38" s="154">
        <v>0</v>
      </c>
      <c r="Q38" s="154">
        <v>0</v>
      </c>
      <c r="R38" s="154">
        <v>0</v>
      </c>
    </row>
    <row r="39" spans="2:19" outlineLevel="1">
      <c r="B39" s="152">
        <v>83</v>
      </c>
      <c r="C39" s="146" t="s">
        <v>139</v>
      </c>
      <c r="D39" s="154">
        <v>0</v>
      </c>
      <c r="E39" s="154">
        <v>0</v>
      </c>
      <c r="F39" s="154">
        <v>0</v>
      </c>
      <c r="G39" s="154">
        <v>0</v>
      </c>
      <c r="H39" s="154">
        <v>0</v>
      </c>
      <c r="I39" s="154">
        <v>0</v>
      </c>
      <c r="J39" s="154">
        <v>0</v>
      </c>
      <c r="K39" s="154">
        <v>0</v>
      </c>
      <c r="L39" s="154">
        <v>0</v>
      </c>
      <c r="M39" s="154">
        <v>0</v>
      </c>
      <c r="N39" s="154">
        <v>0</v>
      </c>
      <c r="O39" s="154">
        <v>0</v>
      </c>
      <c r="P39" s="154">
        <v>0</v>
      </c>
      <c r="Q39" s="154">
        <v>0</v>
      </c>
      <c r="R39" s="154">
        <v>0</v>
      </c>
    </row>
    <row r="40" spans="2:19" s="126" customFormat="1" ht="13">
      <c r="B40" s="150">
        <v>9</v>
      </c>
      <c r="C40" s="148" t="s">
        <v>140</v>
      </c>
      <c r="D40" s="149">
        <v>0</v>
      </c>
      <c r="E40" s="149">
        <v>3919574163</v>
      </c>
      <c r="F40" s="149">
        <v>551489225.9685992</v>
      </c>
      <c r="G40" s="149">
        <v>485344775.63526577</v>
      </c>
      <c r="H40" s="149">
        <v>514559412.30193239</v>
      </c>
      <c r="I40" s="149">
        <v>519391252.74637687</v>
      </c>
      <c r="J40" s="149">
        <v>500916290.24637687</v>
      </c>
      <c r="K40" s="149">
        <v>663703196.49082148</v>
      </c>
      <c r="L40" s="149">
        <v>488476334.29082137</v>
      </c>
      <c r="M40" s="149">
        <v>518851334.09082139</v>
      </c>
      <c r="N40" s="149">
        <v>497541535.79082137</v>
      </c>
      <c r="O40" s="149">
        <v>479061515.12415469</v>
      </c>
      <c r="P40" s="149">
        <v>494598239.12415469</v>
      </c>
      <c r="Q40" s="149">
        <v>490622345.12415469</v>
      </c>
      <c r="R40" s="149">
        <v>6204555456.9343014</v>
      </c>
      <c r="S40" s="111">
        <v>6204555456.9343004</v>
      </c>
    </row>
    <row r="41" spans="2:19" collapsed="1">
      <c r="B41" s="152">
        <v>9.1</v>
      </c>
      <c r="C41" s="153" t="s">
        <v>137</v>
      </c>
      <c r="D41" s="154">
        <v>0</v>
      </c>
      <c r="E41" s="154">
        <v>2289784061</v>
      </c>
      <c r="F41" s="154">
        <v>324799137.66666669</v>
      </c>
      <c r="G41" s="154">
        <v>325691015.66666669</v>
      </c>
      <c r="H41" s="154">
        <v>309654659.66666669</v>
      </c>
      <c r="I41" s="154">
        <v>332723245.66666669</v>
      </c>
      <c r="J41" s="154">
        <v>319935783.66666669</v>
      </c>
      <c r="K41" s="154">
        <v>333028245.66666669</v>
      </c>
      <c r="L41" s="154">
        <v>325801383.66666669</v>
      </c>
      <c r="M41" s="154">
        <v>325801383.66666669</v>
      </c>
      <c r="N41" s="154">
        <v>333409875.66666669</v>
      </c>
      <c r="O41" s="154">
        <v>317796521.66666669</v>
      </c>
      <c r="P41" s="154">
        <v>333333245.66666669</v>
      </c>
      <c r="Q41" s="154">
        <v>325496383.66666669</v>
      </c>
      <c r="R41" s="154">
        <v>3907470881.9999995</v>
      </c>
      <c r="S41" s="111" t="s">
        <v>141</v>
      </c>
    </row>
    <row r="42" spans="2:19">
      <c r="B42" s="152">
        <v>9.1999999999999993</v>
      </c>
      <c r="C42" s="153" t="s">
        <v>142</v>
      </c>
      <c r="D42" s="154">
        <v>0</v>
      </c>
      <c r="E42" s="154">
        <v>1543688629</v>
      </c>
      <c r="F42" s="154">
        <v>224046622.28438854</v>
      </c>
      <c r="G42" s="154">
        <v>157010293.95105523</v>
      </c>
      <c r="H42" s="154">
        <v>202261286.61772186</v>
      </c>
      <c r="I42" s="154">
        <v>184024541.06216633</v>
      </c>
      <c r="J42" s="154">
        <v>178337040.56216633</v>
      </c>
      <c r="K42" s="154">
        <v>328031484.80661094</v>
      </c>
      <c r="L42" s="154">
        <v>160031484.60661083</v>
      </c>
      <c r="M42" s="154">
        <v>190406484.40661085</v>
      </c>
      <c r="N42" s="154">
        <v>161488194.10661083</v>
      </c>
      <c r="O42" s="154">
        <v>158621527.43994415</v>
      </c>
      <c r="P42" s="154">
        <v>158621527.43994415</v>
      </c>
      <c r="Q42" s="154">
        <v>162482495.43994415</v>
      </c>
      <c r="R42" s="154">
        <v>2265362982.7237744</v>
      </c>
      <c r="S42" s="111" t="s">
        <v>143</v>
      </c>
    </row>
    <row r="43" spans="2:19">
      <c r="B43" s="152">
        <v>9.3000000000000007</v>
      </c>
      <c r="C43" s="153" t="s">
        <v>139</v>
      </c>
      <c r="D43" s="154">
        <v>0</v>
      </c>
      <c r="E43" s="154">
        <v>86101473</v>
      </c>
      <c r="F43" s="165">
        <v>2643466.0175438598</v>
      </c>
      <c r="G43" s="165">
        <v>2643466.0175438598</v>
      </c>
      <c r="H43" s="165">
        <v>2643466.0175438598</v>
      </c>
      <c r="I43" s="165">
        <v>2643466.0175438598</v>
      </c>
      <c r="J43" s="165">
        <v>2643466.0175438598</v>
      </c>
      <c r="K43" s="165">
        <v>2643466.0175438598</v>
      </c>
      <c r="L43" s="165">
        <v>2643466.0175438598</v>
      </c>
      <c r="M43" s="165">
        <v>2643466.0175438598</v>
      </c>
      <c r="N43" s="165">
        <v>2643466.0175438598</v>
      </c>
      <c r="O43" s="165">
        <v>2643466.0175438598</v>
      </c>
      <c r="P43" s="165">
        <v>2643466.0175438598</v>
      </c>
      <c r="Q43" s="165">
        <v>2643466.0175438598</v>
      </c>
      <c r="R43" s="165">
        <v>31721592.210526317</v>
      </c>
      <c r="S43" s="174"/>
    </row>
    <row r="44" spans="2:19" s="126" customFormat="1" ht="13">
      <c r="B44" s="150">
        <v>10</v>
      </c>
      <c r="C44" s="151" t="s">
        <v>144</v>
      </c>
      <c r="D44" s="149">
        <v>0</v>
      </c>
      <c r="E44" s="149">
        <v>82396393</v>
      </c>
      <c r="F44" s="149">
        <v>0</v>
      </c>
      <c r="G44" s="149">
        <v>0</v>
      </c>
      <c r="H44" s="149">
        <v>0</v>
      </c>
      <c r="I44" s="149">
        <v>0</v>
      </c>
      <c r="J44" s="149">
        <v>0</v>
      </c>
      <c r="K44" s="149">
        <v>0</v>
      </c>
      <c r="L44" s="149">
        <v>0</v>
      </c>
      <c r="M44" s="149">
        <v>0</v>
      </c>
      <c r="N44" s="149">
        <v>0</v>
      </c>
      <c r="O44" s="149">
        <v>0</v>
      </c>
      <c r="P44" s="149">
        <v>0</v>
      </c>
      <c r="Q44" s="149">
        <v>0</v>
      </c>
      <c r="R44" s="149">
        <v>0</v>
      </c>
    </row>
    <row r="45" spans="2:19" s="126" customFormat="1" ht="26" collapsed="1">
      <c r="B45" s="139">
        <v>11</v>
      </c>
      <c r="C45" s="140" t="s">
        <v>145</v>
      </c>
      <c r="D45" s="141">
        <v>64684339330</v>
      </c>
      <c r="E45" s="141">
        <v>-6653418994.08922</v>
      </c>
      <c r="F45" s="141">
        <v>-779427456.21043372</v>
      </c>
      <c r="G45" s="141">
        <v>-934002572.57729733</v>
      </c>
      <c r="H45" s="141">
        <v>-585675864.78982115</v>
      </c>
      <c r="I45" s="141">
        <v>-130681707.49261886</v>
      </c>
      <c r="J45" s="141">
        <v>-133127057.47611505</v>
      </c>
      <c r="K45" s="141">
        <v>-335227444.48610574</v>
      </c>
      <c r="L45" s="141">
        <v>-186820513.43567848</v>
      </c>
      <c r="M45" s="141">
        <v>-224446535.56901175</v>
      </c>
      <c r="N45" s="141">
        <v>-192390239.08525109</v>
      </c>
      <c r="O45" s="141">
        <v>171678667.94041348</v>
      </c>
      <c r="P45" s="141">
        <v>116973336.01733685</v>
      </c>
      <c r="Q45" s="141">
        <v>134831730.08998632</v>
      </c>
      <c r="R45" s="141">
        <v>-3078315657.0745969</v>
      </c>
    </row>
    <row r="46" spans="2:19" s="126" customFormat="1" ht="13">
      <c r="B46" s="150">
        <v>12</v>
      </c>
      <c r="C46" s="151" t="s">
        <v>146</v>
      </c>
      <c r="D46" s="149">
        <v>0</v>
      </c>
      <c r="E46" s="149">
        <v>0</v>
      </c>
      <c r="F46" s="149">
        <v>0</v>
      </c>
      <c r="G46" s="149">
        <v>0</v>
      </c>
      <c r="H46" s="149">
        <v>0</v>
      </c>
      <c r="I46" s="149">
        <v>0</v>
      </c>
      <c r="J46" s="149">
        <v>0</v>
      </c>
      <c r="K46" s="149">
        <v>0</v>
      </c>
      <c r="L46" s="149">
        <v>0</v>
      </c>
      <c r="M46" s="149">
        <v>0</v>
      </c>
      <c r="N46" s="149">
        <v>0</v>
      </c>
      <c r="O46" s="149">
        <v>0</v>
      </c>
      <c r="P46" s="149">
        <v>0</v>
      </c>
      <c r="Q46" s="149">
        <v>0</v>
      </c>
      <c r="R46" s="149">
        <v>0</v>
      </c>
    </row>
    <row r="47" spans="2:19" s="126" customFormat="1" ht="13">
      <c r="B47" s="150">
        <v>13</v>
      </c>
      <c r="C47" s="151" t="s">
        <v>147</v>
      </c>
      <c r="D47" s="149">
        <v>0</v>
      </c>
      <c r="E47" s="149">
        <v>0</v>
      </c>
      <c r="F47" s="149">
        <v>0</v>
      </c>
      <c r="G47" s="149">
        <v>0</v>
      </c>
      <c r="H47" s="149">
        <v>0</v>
      </c>
      <c r="I47" s="149">
        <v>0</v>
      </c>
      <c r="J47" s="149">
        <v>0</v>
      </c>
      <c r="K47" s="149">
        <v>0</v>
      </c>
      <c r="L47" s="149">
        <v>0</v>
      </c>
      <c r="M47" s="149">
        <v>0</v>
      </c>
      <c r="N47" s="149">
        <v>0</v>
      </c>
      <c r="O47" s="149">
        <v>0</v>
      </c>
      <c r="P47" s="149">
        <v>0</v>
      </c>
      <c r="Q47" s="149">
        <v>0</v>
      </c>
      <c r="R47" s="149">
        <v>0</v>
      </c>
    </row>
    <row r="48" spans="2:19" s="157" customFormat="1" ht="13">
      <c r="B48" s="155">
        <v>13.1</v>
      </c>
      <c r="C48" s="156" t="s">
        <v>148</v>
      </c>
      <c r="D48" s="144">
        <v>0</v>
      </c>
      <c r="E48" s="144">
        <v>0</v>
      </c>
      <c r="F48" s="144">
        <v>0</v>
      </c>
      <c r="G48" s="144">
        <v>0</v>
      </c>
      <c r="H48" s="144">
        <v>0</v>
      </c>
      <c r="I48" s="144">
        <v>0</v>
      </c>
      <c r="J48" s="144">
        <v>0</v>
      </c>
      <c r="K48" s="144">
        <v>0</v>
      </c>
      <c r="L48" s="144">
        <v>0</v>
      </c>
      <c r="M48" s="144">
        <v>0</v>
      </c>
      <c r="N48" s="144">
        <v>0</v>
      </c>
      <c r="O48" s="144">
        <v>0</v>
      </c>
      <c r="P48" s="144">
        <v>0</v>
      </c>
      <c r="Q48" s="144">
        <v>0</v>
      </c>
      <c r="R48" s="144">
        <v>0</v>
      </c>
    </row>
    <row r="49" spans="2:23" s="126" customFormat="1" ht="13" collapsed="1">
      <c r="B49" s="139">
        <v>14</v>
      </c>
      <c r="C49" s="140" t="s">
        <v>149</v>
      </c>
      <c r="D49" s="141">
        <v>64684339330</v>
      </c>
      <c r="E49" s="141">
        <v>-6653418994.08922</v>
      </c>
      <c r="F49" s="141">
        <v>-779427456.21043372</v>
      </c>
      <c r="G49" s="141">
        <v>-934002572.57729733</v>
      </c>
      <c r="H49" s="141">
        <v>-585675864.78982115</v>
      </c>
      <c r="I49" s="141">
        <v>-130681707.49261886</v>
      </c>
      <c r="J49" s="141">
        <v>-133127057.47611505</v>
      </c>
      <c r="K49" s="141">
        <v>-335227444.48610574</v>
      </c>
      <c r="L49" s="141">
        <v>-186820513.43567848</v>
      </c>
      <c r="M49" s="141">
        <v>-224446535.56901175</v>
      </c>
      <c r="N49" s="141">
        <v>-192390239.08525109</v>
      </c>
      <c r="O49" s="141">
        <v>171678667.94041348</v>
      </c>
      <c r="P49" s="141">
        <v>116973336.01733685</v>
      </c>
      <c r="Q49" s="141">
        <v>134831730.08998632</v>
      </c>
      <c r="R49" s="141">
        <v>-3078315657.0745969</v>
      </c>
    </row>
    <row r="50" spans="2:23">
      <c r="B50" s="152">
        <v>15</v>
      </c>
      <c r="C50" s="153" t="s">
        <v>150</v>
      </c>
      <c r="D50" s="154">
        <v>0</v>
      </c>
      <c r="E50" s="154">
        <v>0</v>
      </c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>
        <v>0</v>
      </c>
    </row>
    <row r="51" spans="2:23" s="126" customFormat="1" ht="13" collapsed="1">
      <c r="B51" s="139">
        <v>16</v>
      </c>
      <c r="C51" s="140" t="s">
        <v>151</v>
      </c>
      <c r="D51" s="141">
        <v>64684339330</v>
      </c>
      <c r="E51" s="141">
        <v>-6779760836.08922</v>
      </c>
      <c r="F51" s="141">
        <v>-779427456.21043372</v>
      </c>
      <c r="G51" s="141">
        <v>-934002572.57729733</v>
      </c>
      <c r="H51" s="141">
        <v>-585675864.78982115</v>
      </c>
      <c r="I51" s="141">
        <v>-130681707.49261886</v>
      </c>
      <c r="J51" s="141">
        <v>-133127057.47611505</v>
      </c>
      <c r="K51" s="141">
        <v>-335227444.48610574</v>
      </c>
      <c r="L51" s="141">
        <v>-186820513.43567848</v>
      </c>
      <c r="M51" s="141">
        <v>-224446535.56901175</v>
      </c>
      <c r="N51" s="141">
        <v>-192390239.08525109</v>
      </c>
      <c r="O51" s="141">
        <v>171678667.94041348</v>
      </c>
      <c r="P51" s="141">
        <v>116973336.01733685</v>
      </c>
      <c r="Q51" s="141">
        <v>134831730.08998632</v>
      </c>
      <c r="R51" s="141">
        <v>-3078315657.0745969</v>
      </c>
    </row>
    <row r="52" spans="2:23" s="177" customFormat="1" ht="13">
      <c r="B52" s="175" t="s">
        <v>152</v>
      </c>
      <c r="C52" s="160" t="s">
        <v>153</v>
      </c>
      <c r="D52" s="161">
        <v>0.37864333260711308</v>
      </c>
      <c r="E52" s="176">
        <v>-3.8980343234951267E-2</v>
      </c>
      <c r="F52" s="176">
        <v>-6.7686725986897442E-2</v>
      </c>
      <c r="G52" s="176">
        <v>-0.10428464074610178</v>
      </c>
      <c r="H52" s="176">
        <v>-4.5774925318795096E-2</v>
      </c>
      <c r="I52" s="176">
        <v>-8.1807406417408485E-3</v>
      </c>
      <c r="J52" s="176">
        <v>-8.3338207810893308E-3</v>
      </c>
      <c r="K52" s="176">
        <v>-2.098540669503653E-2</v>
      </c>
      <c r="L52" s="176">
        <v>-1.1695058140103274E-2</v>
      </c>
      <c r="M52" s="176">
        <v>-1.4050466057241071E-2</v>
      </c>
      <c r="N52" s="176">
        <v>-1.204372576818258E-2</v>
      </c>
      <c r="O52" s="176">
        <v>9.9039319191938039E-3</v>
      </c>
      <c r="P52" s="176">
        <v>6.7480483753449049E-3</v>
      </c>
      <c r="Q52" s="176">
        <v>7.7782772395567495E-3</v>
      </c>
      <c r="R52" s="176">
        <v>-1.6996446735245727E-2</v>
      </c>
      <c r="S52" s="162"/>
    </row>
    <row r="53" spans="2:23" ht="13">
      <c r="B53" s="152">
        <v>17</v>
      </c>
      <c r="C53" s="153" t="s">
        <v>139</v>
      </c>
      <c r="D53" s="154">
        <v>0</v>
      </c>
      <c r="E53" s="154">
        <v>7235848604</v>
      </c>
      <c r="F53" s="154">
        <v>380128078.28035498</v>
      </c>
      <c r="G53" s="154">
        <v>380128078.28035498</v>
      </c>
      <c r="H53" s="154">
        <v>377564442.28035498</v>
      </c>
      <c r="I53" s="154">
        <v>377564442.28035498</v>
      </c>
      <c r="J53" s="154">
        <v>377564442.28035498</v>
      </c>
      <c r="K53" s="154">
        <v>377564442.28035498</v>
      </c>
      <c r="L53" s="154">
        <v>377564442.28035498</v>
      </c>
      <c r="M53" s="154">
        <v>377564442.28035498</v>
      </c>
      <c r="N53" s="154">
        <v>377564442.28035498</v>
      </c>
      <c r="O53" s="154">
        <v>394925553.39146608</v>
      </c>
      <c r="P53" s="154">
        <v>394925553.39146608</v>
      </c>
      <c r="Q53" s="154">
        <v>394925553.39146608</v>
      </c>
      <c r="R53" s="154">
        <v>4587983912.6975927</v>
      </c>
      <c r="T53" s="162"/>
      <c r="U53" s="177"/>
      <c r="V53" s="177"/>
      <c r="W53" s="177"/>
    </row>
    <row r="54" spans="2:23" s="126" customFormat="1" ht="26" collapsed="1">
      <c r="B54" s="139">
        <v>18</v>
      </c>
      <c r="C54" s="140" t="s">
        <v>154</v>
      </c>
      <c r="D54" s="141">
        <v>64684339330</v>
      </c>
      <c r="E54" s="141">
        <v>582429609.91077995</v>
      </c>
      <c r="F54" s="141">
        <v>-399299377.93007874</v>
      </c>
      <c r="G54" s="141">
        <v>-553874494.29694235</v>
      </c>
      <c r="H54" s="141">
        <v>-208111422.50946617</v>
      </c>
      <c r="I54" s="141">
        <v>246882734.78773612</v>
      </c>
      <c r="J54" s="141">
        <v>244437384.80423993</v>
      </c>
      <c r="K54" s="141">
        <v>42336997.794249237</v>
      </c>
      <c r="L54" s="141">
        <v>190743928.84467649</v>
      </c>
      <c r="M54" s="141">
        <v>153117906.71134323</v>
      </c>
      <c r="N54" s="141">
        <v>185174203.19510388</v>
      </c>
      <c r="O54" s="141">
        <v>566604221.33187962</v>
      </c>
      <c r="P54" s="141">
        <v>511898889.40880293</v>
      </c>
      <c r="Q54" s="141">
        <v>529757283.48145241</v>
      </c>
      <c r="R54" s="141">
        <v>1509668255.6229966</v>
      </c>
      <c r="T54" s="177"/>
      <c r="U54" s="177"/>
      <c r="V54" s="177"/>
      <c r="W54" s="177"/>
    </row>
    <row r="55" spans="2:23" s="177" customFormat="1" ht="13">
      <c r="B55" s="175" t="s">
        <v>155</v>
      </c>
      <c r="C55" s="160" t="s">
        <v>156</v>
      </c>
      <c r="D55" s="178">
        <v>2.2164680788712459E-12</v>
      </c>
      <c r="E55" s="178">
        <v>3.3486883465961553E-3</v>
      </c>
      <c r="F55" s="178">
        <v>-3.4675796144131327E-2</v>
      </c>
      <c r="G55" s="178">
        <v>-6.1842016662545331E-2</v>
      </c>
      <c r="H55" s="178">
        <v>-1.6265455683029863E-2</v>
      </c>
      <c r="I55" s="178">
        <v>1.5454983417141497E-2</v>
      </c>
      <c r="J55" s="178">
        <v>1.5301903277793015E-2</v>
      </c>
      <c r="K55" s="178">
        <v>2.6503173638458143E-3</v>
      </c>
      <c r="L55" s="178">
        <v>1.1940665918779072E-2</v>
      </c>
      <c r="M55" s="178">
        <v>9.5852580016412749E-3</v>
      </c>
      <c r="N55" s="178">
        <v>1.1591998290699764E-2</v>
      </c>
      <c r="O55" s="178">
        <v>3.2686703016279461E-2</v>
      </c>
      <c r="P55" s="178">
        <v>2.953081947243056E-2</v>
      </c>
      <c r="Q55" s="178">
        <v>3.0561048336642405E-2</v>
      </c>
      <c r="R55" s="178">
        <v>8.3354012235938146E-3</v>
      </c>
      <c r="S55" s="162"/>
    </row>
    <row r="56" spans="2:23" s="158" customFormat="1" ht="13" collapsed="1">
      <c r="B56" s="179"/>
      <c r="C56" s="180"/>
      <c r="D56" s="180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57"/>
      <c r="T56" s="177"/>
      <c r="U56" s="177"/>
      <c r="V56" s="177"/>
      <c r="W56" s="177"/>
    </row>
    <row r="58" spans="2:23" s="126" customFormat="1" ht="26.5" customHeight="1">
      <c r="B58" s="182" t="s">
        <v>157</v>
      </c>
      <c r="C58" s="183"/>
      <c r="D58" s="184" t="s">
        <v>82</v>
      </c>
      <c r="E58" s="184" t="s">
        <v>83</v>
      </c>
      <c r="F58" s="185" t="s">
        <v>76</v>
      </c>
      <c r="G58" s="185" t="s">
        <v>77</v>
      </c>
      <c r="H58" s="185" t="s">
        <v>84</v>
      </c>
      <c r="I58" s="185" t="s">
        <v>85</v>
      </c>
      <c r="J58" s="185" t="s">
        <v>86</v>
      </c>
      <c r="K58" s="185" t="s">
        <v>87</v>
      </c>
      <c r="L58" s="185" t="s">
        <v>88</v>
      </c>
      <c r="M58" s="185" t="s">
        <v>89</v>
      </c>
      <c r="N58" s="185" t="s">
        <v>90</v>
      </c>
      <c r="O58" s="185" t="s">
        <v>91</v>
      </c>
      <c r="P58" s="185" t="s">
        <v>92</v>
      </c>
      <c r="Q58" s="185" t="s">
        <v>93</v>
      </c>
      <c r="R58" s="185" t="s">
        <v>94</v>
      </c>
    </row>
    <row r="59" spans="2:23" ht="18" customHeight="1">
      <c r="B59" s="122" t="s">
        <v>158</v>
      </c>
      <c r="D59" s="186">
        <v>0</v>
      </c>
      <c r="E59" s="186">
        <v>15458399.562368056</v>
      </c>
      <c r="F59" s="187">
        <v>1482857.3134967247</v>
      </c>
      <c r="G59" s="187">
        <v>1393138.9758007952</v>
      </c>
      <c r="H59" s="187">
        <v>1433406.9174880683</v>
      </c>
      <c r="I59" s="187">
        <v>1310797.1935501993</v>
      </c>
      <c r="J59" s="187">
        <v>1313087.5632256325</v>
      </c>
      <c r="K59" s="187">
        <v>1455615.5322065076</v>
      </c>
      <c r="L59" s="187">
        <v>1353073.8502193931</v>
      </c>
      <c r="M59" s="187">
        <v>1379954.8709163822</v>
      </c>
      <c r="N59" s="187">
        <v>1352027.3413263203</v>
      </c>
      <c r="O59" s="187">
        <v>1183488.7286517222</v>
      </c>
      <c r="P59" s="187">
        <v>1216641.712452339</v>
      </c>
      <c r="Q59" s="187">
        <v>1206211.9235374124</v>
      </c>
      <c r="R59" s="187">
        <v>15826759.859371284</v>
      </c>
    </row>
    <row r="60" spans="2:23" s="126" customFormat="1" ht="18" customHeight="1">
      <c r="B60" s="122" t="s">
        <v>159</v>
      </c>
      <c r="C60" s="188"/>
      <c r="D60" s="186">
        <v>0</v>
      </c>
      <c r="E60" s="186">
        <v>13964686.849619959</v>
      </c>
      <c r="F60" s="187">
        <v>1284137.0976373455</v>
      </c>
      <c r="G60" s="187">
        <v>1206442.0660755967</v>
      </c>
      <c r="H60" s="187">
        <v>1241313.6328106243</v>
      </c>
      <c r="I60" s="187">
        <v>1134103.8186106586</v>
      </c>
      <c r="J60" s="187">
        <v>1136085.4501000454</v>
      </c>
      <c r="K60" s="187">
        <v>1259400.8757626819</v>
      </c>
      <c r="L60" s="187">
        <v>1170681.6492640537</v>
      </c>
      <c r="M60" s="187">
        <v>1193939.1511648921</v>
      </c>
      <c r="N60" s="187">
        <v>1169776.2081037553</v>
      </c>
      <c r="O60" s="187">
        <v>971889.04563587869</v>
      </c>
      <c r="P60" s="187">
        <v>999114.50288435689</v>
      </c>
      <c r="Q60" s="187">
        <v>990549.48882946197</v>
      </c>
      <c r="R60" s="187">
        <v>13494226.844623962</v>
      </c>
    </row>
    <row r="61" spans="2:23" ht="18" customHeight="1">
      <c r="B61" s="122" t="s">
        <v>160</v>
      </c>
      <c r="D61" s="189">
        <v>0</v>
      </c>
      <c r="E61" s="189">
        <v>247696540642.14328</v>
      </c>
      <c r="F61" s="110">
        <v>19438193281.782696</v>
      </c>
      <c r="G61" s="110">
        <v>18262110881.149494</v>
      </c>
      <c r="H61" s="110">
        <v>18789967490.448605</v>
      </c>
      <c r="I61" s="110">
        <v>17167996973.162735</v>
      </c>
      <c r="J61" s="110">
        <v>17197994794.220592</v>
      </c>
      <c r="K61" s="110">
        <v>19064736462.645588</v>
      </c>
      <c r="L61" s="110">
        <v>17721710024.505463</v>
      </c>
      <c r="M61" s="110">
        <v>18073780721.81258</v>
      </c>
      <c r="N61" s="110">
        <v>17708003509.419018</v>
      </c>
      <c r="O61" s="110">
        <v>15935411831.520401</v>
      </c>
      <c r="P61" s="110">
        <v>16381809365.790476</v>
      </c>
      <c r="Q61" s="110">
        <v>16241374583.733423</v>
      </c>
      <c r="R61" s="110">
        <v>208875731492.3299</v>
      </c>
    </row>
    <row r="62" spans="2:23" s="126" customFormat="1" ht="26.5" customHeight="1">
      <c r="B62" s="182" t="s">
        <v>161</v>
      </c>
      <c r="C62" s="183"/>
      <c r="D62" s="190" t="s">
        <v>82</v>
      </c>
      <c r="E62" s="190" t="s">
        <v>83</v>
      </c>
      <c r="F62" s="191" t="s">
        <v>76</v>
      </c>
      <c r="G62" s="191" t="s">
        <v>77</v>
      </c>
      <c r="H62" s="191" t="s">
        <v>84</v>
      </c>
      <c r="I62" s="191" t="s">
        <v>85</v>
      </c>
      <c r="J62" s="191" t="s">
        <v>86</v>
      </c>
      <c r="K62" s="191" t="s">
        <v>87</v>
      </c>
      <c r="L62" s="191" t="s">
        <v>88</v>
      </c>
      <c r="M62" s="191" t="s">
        <v>89</v>
      </c>
      <c r="N62" s="191" t="s">
        <v>90</v>
      </c>
      <c r="O62" s="191" t="s">
        <v>91</v>
      </c>
      <c r="P62" s="191" t="s">
        <v>92</v>
      </c>
      <c r="Q62" s="191" t="s">
        <v>93</v>
      </c>
      <c r="R62" s="191" t="s">
        <v>94</v>
      </c>
    </row>
    <row r="63" spans="2:23" ht="18" customHeight="1">
      <c r="B63" s="122" t="s">
        <v>158</v>
      </c>
      <c r="D63" s="186">
        <v>0</v>
      </c>
      <c r="E63" s="186">
        <v>10512822.959269324</v>
      </c>
      <c r="F63" s="187">
        <v>1188085.4838904405</v>
      </c>
      <c r="G63" s="187">
        <v>1104217.0890584828</v>
      </c>
      <c r="H63" s="187">
        <v>1138566.7174004549</v>
      </c>
      <c r="I63" s="187">
        <v>1047478.4910238492</v>
      </c>
      <c r="J63" s="187">
        <v>1048109.8759036232</v>
      </c>
      <c r="K63" s="187">
        <v>1189858.0759093589</v>
      </c>
      <c r="L63" s="187">
        <v>1083440.1840266816</v>
      </c>
      <c r="M63" s="187">
        <v>1110303.0476364328</v>
      </c>
      <c r="N63" s="187">
        <v>1092253.375408194</v>
      </c>
      <c r="O63" s="187">
        <v>944480.84616633854</v>
      </c>
      <c r="P63" s="187">
        <v>977787.3258922121</v>
      </c>
      <c r="Q63" s="187">
        <v>968444.56302145391</v>
      </c>
      <c r="R63" s="187">
        <v>12691743.598814836</v>
      </c>
    </row>
    <row r="64" spans="2:23" s="126" customFormat="1" ht="18" customHeight="1">
      <c r="B64" s="122" t="s">
        <v>159</v>
      </c>
      <c r="C64" s="188"/>
      <c r="D64" s="187">
        <v>0</v>
      </c>
      <c r="E64" s="187">
        <v>9496990.9361821227</v>
      </c>
      <c r="F64" s="187">
        <v>1028868.1393292405</v>
      </c>
      <c r="G64" s="187">
        <v>956239.08989693248</v>
      </c>
      <c r="H64" s="187">
        <v>985985.4664649968</v>
      </c>
      <c r="I64" s="187">
        <v>906280.05798914109</v>
      </c>
      <c r="J64" s="187">
        <v>906826.33319226792</v>
      </c>
      <c r="K64" s="187">
        <v>1029467.1014962442</v>
      </c>
      <c r="L64" s="187">
        <v>937394.17202516156</v>
      </c>
      <c r="M64" s="187">
        <v>960635.96438521624</v>
      </c>
      <c r="N64" s="187">
        <v>945019.35923879058</v>
      </c>
      <c r="O64" s="187">
        <v>775614.13639123819</v>
      </c>
      <c r="P64" s="187">
        <v>802965.64554430591</v>
      </c>
      <c r="Q64" s="187">
        <v>795293.30471820617</v>
      </c>
      <c r="R64" s="187">
        <v>10821246.338352857</v>
      </c>
    </row>
    <row r="65" spans="2:18" ht="18" customHeight="1">
      <c r="B65" s="122" t="s">
        <v>160</v>
      </c>
      <c r="D65" s="110">
        <v>0</v>
      </c>
      <c r="E65" s="110">
        <v>168451453780.08386</v>
      </c>
      <c r="F65" s="110">
        <v>15574145307.807266</v>
      </c>
      <c r="G65" s="110">
        <v>14474747507.264902</v>
      </c>
      <c r="H65" s="110">
        <v>14925023274.725067</v>
      </c>
      <c r="I65" s="110">
        <v>13719214270.397215</v>
      </c>
      <c r="J65" s="110">
        <v>13727483752.326378</v>
      </c>
      <c r="K65" s="110">
        <v>15584012497.294691</v>
      </c>
      <c r="L65" s="110">
        <v>14190217900.600512</v>
      </c>
      <c r="M65" s="110">
        <v>14542050787.80224</v>
      </c>
      <c r="N65" s="110">
        <v>14305647536.631323</v>
      </c>
      <c r="O65" s="110">
        <v>12717223988.934666</v>
      </c>
      <c r="P65" s="110">
        <v>13165688311.611094</v>
      </c>
      <c r="Q65" s="110">
        <v>13039890092.84869</v>
      </c>
      <c r="R65" s="110">
        <v>167500944708.26544</v>
      </c>
    </row>
    <row r="69" spans="2:18" ht="13">
      <c r="E69" s="185"/>
    </row>
    <row r="70" spans="2:18" ht="13">
      <c r="E70" s="185"/>
    </row>
  </sheetData>
  <conditionalFormatting sqref="B27:B65 S58:IV65">
    <cfRule type="containsText" dxfId="7" priority="4" operator="containsText" text="xxx">
      <formula>NOT(ISERROR(SEARCH("xxx",B27)))</formula>
    </cfRule>
  </conditionalFormatting>
  <conditionalFormatting sqref="B3:D3 T3:IV3 U4:IV4 B5:R20 T5:IV57 B21:B24 E22:Q22 C22:C24 R22:R27 D22:D55 F23:Q27 E23:E57 B25:C26 F28:R57 T66:IV65536">
    <cfRule type="containsText" dxfId="6" priority="7" operator="containsText" text="xxx">
      <formula>NOT(ISERROR(SEARCH("xxx",B3)))</formula>
    </cfRule>
  </conditionalFormatting>
  <conditionalFormatting sqref="B66:R65536">
    <cfRule type="containsText" dxfId="5" priority="1" operator="containsText" text="xxx">
      <formula>NOT(ISERROR(SEARCH("xxx",B66)))</formula>
    </cfRule>
  </conditionalFormatting>
  <conditionalFormatting sqref="C27:C55 C56:D57">
    <cfRule type="containsText" dxfId="4" priority="6" operator="containsText" text="xxx">
      <formula>NOT(ISERROR(SEARCH("xxx",C27)))</formula>
    </cfRule>
  </conditionalFormatting>
  <conditionalFormatting sqref="C21:R21">
    <cfRule type="containsText" dxfId="3" priority="5" operator="containsText" text="xxx">
      <formula>NOT(ISERROR(SEARCH("xxx",C21)))</formula>
    </cfRule>
  </conditionalFormatting>
  <conditionalFormatting sqref="C58:R58">
    <cfRule type="containsText" dxfId="2" priority="3" operator="containsText" text="xxx">
      <formula>NOT(ISERROR(SEARCH("xxx",C58)))</formula>
    </cfRule>
  </conditionalFormatting>
  <conditionalFormatting sqref="E4:P4">
    <cfRule type="containsText" dxfId="1" priority="2" operator="containsText" text="xxx">
      <formula>NOT(ISERROR(SEARCH("xxx",E4)))</formula>
    </cfRule>
  </conditionalFormatting>
  <conditionalFormatting sqref="R3">
    <cfRule type="containsText" dxfId="0" priority="8" operator="containsText" text="xxx">
      <formula>NOT(ISERROR(SEARCH("xxx",R3)))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9ACC-F14A-4811-8E25-77E656F229EA}">
  <sheetPr>
    <tabColor theme="6" tint="0.79998168889431442"/>
  </sheetPr>
  <dimension ref="A2:N22"/>
  <sheetViews>
    <sheetView showGridLines="0" zoomScale="145" zoomScaleNormal="145" workbookViewId="0">
      <selection activeCell="H24" sqref="H24"/>
    </sheetView>
  </sheetViews>
  <sheetFormatPr defaultRowHeight="14.5"/>
  <cols>
    <col min="1" max="1" width="39" bestFit="1" customWidth="1"/>
    <col min="2" max="13" width="9.58203125" bestFit="1" customWidth="1"/>
    <col min="14" max="14" width="10.58203125" bestFit="1" customWidth="1"/>
  </cols>
  <sheetData>
    <row r="2" spans="1:14" ht="28">
      <c r="A2" s="259" t="s">
        <v>19</v>
      </c>
      <c r="B2" s="264" t="s">
        <v>43</v>
      </c>
      <c r="C2" s="264" t="s">
        <v>44</v>
      </c>
      <c r="D2" s="264" t="s">
        <v>45</v>
      </c>
      <c r="E2" s="264" t="s">
        <v>46</v>
      </c>
      <c r="F2" s="264" t="s">
        <v>47</v>
      </c>
      <c r="G2" s="264" t="s">
        <v>48</v>
      </c>
      <c r="H2" s="264" t="s">
        <v>49</v>
      </c>
      <c r="I2" s="264" t="s">
        <v>50</v>
      </c>
      <c r="J2" s="264" t="s">
        <v>51</v>
      </c>
      <c r="K2" s="264" t="s">
        <v>52</v>
      </c>
      <c r="L2" s="264" t="s">
        <v>53</v>
      </c>
      <c r="M2" s="264" t="s">
        <v>54</v>
      </c>
      <c r="N2" s="265">
        <v>2026</v>
      </c>
    </row>
    <row r="3" spans="1:14">
      <c r="A3" s="260" t="s">
        <v>56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</row>
    <row r="4" spans="1:14">
      <c r="A4" s="261" t="s">
        <v>20</v>
      </c>
      <c r="B4" s="267">
        <v>0</v>
      </c>
      <c r="C4" s="267">
        <v>0</v>
      </c>
      <c r="D4" s="267">
        <v>0</v>
      </c>
      <c r="E4" s="267">
        <v>0</v>
      </c>
      <c r="F4" s="267">
        <v>0</v>
      </c>
      <c r="G4" s="267">
        <v>0</v>
      </c>
      <c r="H4" s="267">
        <v>0</v>
      </c>
      <c r="I4" s="267">
        <v>0</v>
      </c>
      <c r="J4" s="267">
        <v>0</v>
      </c>
      <c r="K4" s="267">
        <v>0</v>
      </c>
      <c r="L4" s="267">
        <v>0</v>
      </c>
      <c r="M4" s="267">
        <v>0</v>
      </c>
      <c r="N4" s="268">
        <v>0</v>
      </c>
    </row>
    <row r="5" spans="1:14">
      <c r="A5" s="262" t="s">
        <v>21</v>
      </c>
      <c r="B5" s="269">
        <v>0</v>
      </c>
      <c r="C5" s="269">
        <v>0</v>
      </c>
      <c r="D5" s="269">
        <v>0</v>
      </c>
      <c r="E5" s="269">
        <v>0</v>
      </c>
      <c r="F5" s="269">
        <v>0</v>
      </c>
      <c r="G5" s="269">
        <v>0</v>
      </c>
      <c r="H5" s="269">
        <v>0</v>
      </c>
      <c r="I5" s="269">
        <v>0</v>
      </c>
      <c r="J5" s="269">
        <v>0</v>
      </c>
      <c r="K5" s="269">
        <v>0</v>
      </c>
      <c r="L5" s="269">
        <v>0</v>
      </c>
      <c r="M5" s="269">
        <v>0</v>
      </c>
      <c r="N5" s="268">
        <v>0</v>
      </c>
    </row>
    <row r="6" spans="1:14">
      <c r="A6" s="261" t="s">
        <v>22</v>
      </c>
      <c r="B6" s="270">
        <v>0</v>
      </c>
      <c r="C6" s="267">
        <v>0</v>
      </c>
      <c r="D6" s="267">
        <v>0</v>
      </c>
      <c r="E6" s="267">
        <v>0</v>
      </c>
      <c r="F6" s="267">
        <v>0</v>
      </c>
      <c r="G6" s="267">
        <v>0</v>
      </c>
      <c r="H6" s="267">
        <v>0</v>
      </c>
      <c r="I6" s="267">
        <v>0</v>
      </c>
      <c r="J6" s="267">
        <v>0</v>
      </c>
      <c r="K6" s="267">
        <v>0</v>
      </c>
      <c r="L6" s="267">
        <v>0</v>
      </c>
      <c r="M6" s="267">
        <v>0</v>
      </c>
      <c r="N6" s="268">
        <v>0</v>
      </c>
    </row>
    <row r="7" spans="1:14">
      <c r="A7" s="262" t="s">
        <v>23</v>
      </c>
      <c r="B7" s="271"/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3">
        <v>0</v>
      </c>
    </row>
    <row r="8" spans="1:14">
      <c r="A8" s="261" t="s">
        <v>24</v>
      </c>
      <c r="B8" s="274">
        <v>0</v>
      </c>
      <c r="C8" s="275">
        <v>0</v>
      </c>
      <c r="D8" s="275">
        <v>0</v>
      </c>
      <c r="E8" s="275">
        <v>0</v>
      </c>
      <c r="F8" s="275">
        <v>0</v>
      </c>
      <c r="G8" s="275">
        <v>0</v>
      </c>
      <c r="H8" s="275">
        <v>0</v>
      </c>
      <c r="I8" s="275">
        <v>0</v>
      </c>
      <c r="J8" s="275">
        <v>0</v>
      </c>
      <c r="K8" s="275">
        <v>0</v>
      </c>
      <c r="L8" s="275">
        <v>0</v>
      </c>
      <c r="M8" s="275">
        <v>0</v>
      </c>
      <c r="N8" s="276">
        <v>0</v>
      </c>
    </row>
    <row r="9" spans="1:14">
      <c r="A9" s="261" t="s">
        <v>25</v>
      </c>
      <c r="B9" s="274">
        <v>0</v>
      </c>
      <c r="C9" s="275">
        <v>0</v>
      </c>
      <c r="D9" s="275">
        <v>0</v>
      </c>
      <c r="E9" s="275">
        <v>0</v>
      </c>
      <c r="F9" s="275">
        <v>0</v>
      </c>
      <c r="G9" s="275">
        <v>0</v>
      </c>
      <c r="H9" s="275">
        <v>0</v>
      </c>
      <c r="I9" s="275">
        <v>0</v>
      </c>
      <c r="J9" s="275">
        <v>0</v>
      </c>
      <c r="K9" s="275">
        <v>0</v>
      </c>
      <c r="L9" s="275">
        <v>0</v>
      </c>
      <c r="M9" s="275">
        <v>0</v>
      </c>
      <c r="N9" s="276">
        <v>0</v>
      </c>
    </row>
    <row r="10" spans="1:14">
      <c r="A10" s="262" t="s">
        <v>26</v>
      </c>
      <c r="B10" s="277">
        <v>5548.1111111111113</v>
      </c>
      <c r="C10" s="278">
        <v>5548.1111111111113</v>
      </c>
      <c r="D10" s="278">
        <v>5548.1111111111113</v>
      </c>
      <c r="E10" s="278">
        <v>5548.1111111111113</v>
      </c>
      <c r="F10" s="278">
        <v>5548.1111111111113</v>
      </c>
      <c r="G10" s="278">
        <v>5548.1111111111113</v>
      </c>
      <c r="H10" s="278">
        <v>5548.1111111111113</v>
      </c>
      <c r="I10" s="278">
        <v>5548.1111111111113</v>
      </c>
      <c r="J10" s="278">
        <v>5548.1111111111113</v>
      </c>
      <c r="K10" s="278">
        <v>5548.1111111111113</v>
      </c>
      <c r="L10" s="278">
        <v>5548.1111111111113</v>
      </c>
      <c r="M10" s="278">
        <v>5548.1111111111113</v>
      </c>
      <c r="N10" s="279">
        <v>66577.333333333328</v>
      </c>
    </row>
    <row r="11" spans="1:14">
      <c r="A11" s="261" t="s">
        <v>27</v>
      </c>
      <c r="B11" s="274">
        <v>0</v>
      </c>
      <c r="C11" s="275">
        <v>0</v>
      </c>
      <c r="D11" s="275">
        <v>0</v>
      </c>
      <c r="E11" s="275">
        <v>0</v>
      </c>
      <c r="F11" s="275">
        <v>0</v>
      </c>
      <c r="G11" s="275">
        <v>0</v>
      </c>
      <c r="H11" s="275">
        <v>0</v>
      </c>
      <c r="I11" s="275">
        <v>0</v>
      </c>
      <c r="J11" s="275">
        <v>0</v>
      </c>
      <c r="K11" s="275">
        <v>0</v>
      </c>
      <c r="L11" s="275">
        <v>0</v>
      </c>
      <c r="M11" s="275">
        <v>0</v>
      </c>
      <c r="N11" s="276">
        <v>0</v>
      </c>
    </row>
    <row r="12" spans="1:14">
      <c r="A12" s="262" t="s">
        <v>28</v>
      </c>
      <c r="B12" s="277">
        <v>0</v>
      </c>
      <c r="C12" s="278">
        <v>0</v>
      </c>
      <c r="D12" s="278">
        <v>0</v>
      </c>
      <c r="E12" s="278">
        <v>0</v>
      </c>
      <c r="F12" s="278">
        <v>0</v>
      </c>
      <c r="G12" s="278">
        <v>0</v>
      </c>
      <c r="H12" s="278">
        <v>0</v>
      </c>
      <c r="I12" s="278">
        <v>0</v>
      </c>
      <c r="J12" s="278">
        <v>0</v>
      </c>
      <c r="K12" s="278">
        <v>0</v>
      </c>
      <c r="L12" s="278">
        <v>0</v>
      </c>
      <c r="M12" s="278">
        <v>0</v>
      </c>
      <c r="N12" s="279">
        <v>0</v>
      </c>
    </row>
    <row r="13" spans="1:14">
      <c r="A13" s="262" t="s">
        <v>29</v>
      </c>
      <c r="B13" s="280">
        <v>0</v>
      </c>
      <c r="C13" s="281">
        <v>0</v>
      </c>
      <c r="D13" s="281">
        <v>0</v>
      </c>
      <c r="E13" s="281">
        <v>0</v>
      </c>
      <c r="F13" s="281">
        <v>0</v>
      </c>
      <c r="G13" s="281">
        <v>0</v>
      </c>
      <c r="H13" s="281">
        <v>0</v>
      </c>
      <c r="I13" s="281">
        <v>0</v>
      </c>
      <c r="J13" s="281">
        <v>0</v>
      </c>
      <c r="K13" s="281">
        <v>0</v>
      </c>
      <c r="L13" s="281">
        <v>0</v>
      </c>
      <c r="M13" s="281">
        <v>0</v>
      </c>
      <c r="N13" s="282">
        <v>0</v>
      </c>
    </row>
    <row r="14" spans="1:14">
      <c r="A14" s="262" t="s">
        <v>30</v>
      </c>
      <c r="B14" s="280">
        <v>4984737</v>
      </c>
      <c r="C14" s="281">
        <v>4584737</v>
      </c>
      <c r="D14" s="281">
        <v>4584737</v>
      </c>
      <c r="E14" s="281">
        <v>4984737</v>
      </c>
      <c r="F14" s="281">
        <v>4584737</v>
      </c>
      <c r="G14" s="281">
        <v>4584737</v>
      </c>
      <c r="H14" s="281">
        <v>4584737</v>
      </c>
      <c r="I14" s="281">
        <v>4984737</v>
      </c>
      <c r="J14" s="281">
        <v>4584737</v>
      </c>
      <c r="K14" s="281">
        <v>4584737</v>
      </c>
      <c r="L14" s="281">
        <v>4984737</v>
      </c>
      <c r="M14" s="281">
        <v>4584737</v>
      </c>
      <c r="N14" s="282">
        <v>56616844</v>
      </c>
    </row>
    <row r="15" spans="1:14">
      <c r="A15" s="261" t="s">
        <v>31</v>
      </c>
      <c r="B15" s="274">
        <v>-4979188.888888889</v>
      </c>
      <c r="C15" s="275">
        <v>-4579188.888888889</v>
      </c>
      <c r="D15" s="275">
        <v>-4579188.888888889</v>
      </c>
      <c r="E15" s="275">
        <v>-4979188.888888889</v>
      </c>
      <c r="F15" s="275">
        <v>-4579188.888888889</v>
      </c>
      <c r="G15" s="275">
        <v>-4579188.888888889</v>
      </c>
      <c r="H15" s="275">
        <v>-4579188.888888889</v>
      </c>
      <c r="I15" s="275">
        <v>-4979188.888888889</v>
      </c>
      <c r="J15" s="275">
        <v>-4579188.888888889</v>
      </c>
      <c r="K15" s="275">
        <v>-4579188.888888889</v>
      </c>
      <c r="L15" s="275">
        <v>-4979188.888888889</v>
      </c>
      <c r="M15" s="275">
        <v>-4579188.888888889</v>
      </c>
      <c r="N15" s="276">
        <v>-56550266.666666664</v>
      </c>
    </row>
    <row r="16" spans="1:14">
      <c r="A16" s="262" t="s">
        <v>32</v>
      </c>
      <c r="B16" s="277">
        <v>0</v>
      </c>
      <c r="C16" s="278">
        <v>0</v>
      </c>
      <c r="D16" s="278">
        <v>0</v>
      </c>
      <c r="E16" s="278">
        <v>0</v>
      </c>
      <c r="F16" s="278">
        <v>0</v>
      </c>
      <c r="G16" s="278">
        <v>0</v>
      </c>
      <c r="H16" s="278">
        <v>0</v>
      </c>
      <c r="I16" s="278">
        <v>0</v>
      </c>
      <c r="J16" s="278">
        <v>0</v>
      </c>
      <c r="K16" s="278">
        <v>0</v>
      </c>
      <c r="L16" s="278">
        <v>0</v>
      </c>
      <c r="M16" s="278">
        <v>0</v>
      </c>
      <c r="N16" s="279">
        <v>0</v>
      </c>
    </row>
    <row r="17" spans="1:14">
      <c r="A17" s="262" t="s">
        <v>33</v>
      </c>
      <c r="B17" s="277">
        <v>0</v>
      </c>
      <c r="C17" s="278">
        <v>0</v>
      </c>
      <c r="D17" s="278">
        <v>0</v>
      </c>
      <c r="E17" s="278">
        <v>0</v>
      </c>
      <c r="F17" s="278">
        <v>0</v>
      </c>
      <c r="G17" s="278">
        <v>0</v>
      </c>
      <c r="H17" s="278">
        <v>0</v>
      </c>
      <c r="I17" s="278">
        <v>0</v>
      </c>
      <c r="J17" s="278">
        <v>0</v>
      </c>
      <c r="K17" s="278">
        <v>0</v>
      </c>
      <c r="L17" s="278">
        <v>0</v>
      </c>
      <c r="M17" s="278">
        <v>0</v>
      </c>
      <c r="N17" s="279">
        <v>0</v>
      </c>
    </row>
    <row r="18" spans="1:14">
      <c r="A18" s="261" t="s">
        <v>34</v>
      </c>
      <c r="B18" s="274">
        <v>0</v>
      </c>
      <c r="C18" s="275">
        <v>0</v>
      </c>
      <c r="D18" s="275">
        <v>0</v>
      </c>
      <c r="E18" s="275">
        <v>0</v>
      </c>
      <c r="F18" s="275">
        <v>0</v>
      </c>
      <c r="G18" s="275">
        <v>0</v>
      </c>
      <c r="H18" s="275">
        <v>0</v>
      </c>
      <c r="I18" s="275">
        <v>0</v>
      </c>
      <c r="J18" s="275">
        <v>0</v>
      </c>
      <c r="K18" s="275">
        <v>0</v>
      </c>
      <c r="L18" s="275">
        <v>0</v>
      </c>
      <c r="M18" s="275">
        <v>0</v>
      </c>
      <c r="N18" s="276">
        <v>0</v>
      </c>
    </row>
    <row r="19" spans="1:14">
      <c r="A19" s="261" t="s">
        <v>35</v>
      </c>
      <c r="B19" s="270">
        <v>-4979188.888888889</v>
      </c>
      <c r="C19" s="267">
        <v>-4579188.888888889</v>
      </c>
      <c r="D19" s="267">
        <v>-4579188.888888889</v>
      </c>
      <c r="E19" s="267">
        <v>-4979188.888888889</v>
      </c>
      <c r="F19" s="267">
        <v>-4579188.888888889</v>
      </c>
      <c r="G19" s="267">
        <v>-4579188.888888889</v>
      </c>
      <c r="H19" s="267">
        <v>-4579188.888888889</v>
      </c>
      <c r="I19" s="267">
        <v>-4979188.888888889</v>
      </c>
      <c r="J19" s="267">
        <v>-4579188.888888889</v>
      </c>
      <c r="K19" s="267">
        <v>-4579188.888888889</v>
      </c>
      <c r="L19" s="267">
        <v>-4979188.888888889</v>
      </c>
      <c r="M19" s="267">
        <v>-4579188.888888889</v>
      </c>
      <c r="N19" s="268">
        <v>-56550266.666666664</v>
      </c>
    </row>
    <row r="20" spans="1:14">
      <c r="A20" s="263" t="s">
        <v>36</v>
      </c>
      <c r="B20" s="283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5">
        <v>0</v>
      </c>
    </row>
    <row r="21" spans="1:14">
      <c r="A21" s="262" t="s">
        <v>37</v>
      </c>
      <c r="B21" s="277">
        <v>0</v>
      </c>
      <c r="C21" s="278">
        <v>0</v>
      </c>
      <c r="D21" s="278">
        <v>0</v>
      </c>
      <c r="E21" s="278">
        <v>0</v>
      </c>
      <c r="F21" s="278">
        <v>0</v>
      </c>
      <c r="G21" s="278">
        <v>0</v>
      </c>
      <c r="H21" s="278">
        <v>0</v>
      </c>
      <c r="I21" s="278">
        <v>0</v>
      </c>
      <c r="J21" s="278">
        <v>0</v>
      </c>
      <c r="K21" s="278">
        <v>0</v>
      </c>
      <c r="L21" s="278">
        <v>0</v>
      </c>
      <c r="M21" s="278">
        <v>0</v>
      </c>
      <c r="N21" s="279">
        <v>0</v>
      </c>
    </row>
    <row r="22" spans="1:14">
      <c r="A22" s="261" t="s">
        <v>38</v>
      </c>
      <c r="B22" s="274">
        <v>-4979188.888888889</v>
      </c>
      <c r="C22" s="275">
        <v>-4579188.888888889</v>
      </c>
      <c r="D22" s="275">
        <v>-4579188.888888889</v>
      </c>
      <c r="E22" s="275">
        <v>-4979188.888888889</v>
      </c>
      <c r="F22" s="275">
        <v>-4579188.888888889</v>
      </c>
      <c r="G22" s="275">
        <v>-4579188.888888889</v>
      </c>
      <c r="H22" s="275">
        <v>-4579188.888888889</v>
      </c>
      <c r="I22" s="275">
        <v>-4979188.888888889</v>
      </c>
      <c r="J22" s="275">
        <v>-4579188.888888889</v>
      </c>
      <c r="K22" s="275">
        <v>-4579188.888888889</v>
      </c>
      <c r="L22" s="275">
        <v>-4979188.888888889</v>
      </c>
      <c r="M22" s="275">
        <v>-4579188.888888889</v>
      </c>
      <c r="N22" s="276">
        <v>-56550266.666666664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CDD7-2D38-4EEB-AA79-18648677FD82}">
  <dimension ref="A1:EK5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B51" sqref="B51"/>
    </sheetView>
  </sheetViews>
  <sheetFormatPr defaultColWidth="9" defaultRowHeight="14" outlineLevelRow="2" outlineLevelCol="1"/>
  <cols>
    <col min="1" max="1" width="12" style="7" bestFit="1" customWidth="1"/>
    <col min="2" max="2" width="48.08203125" style="7" bestFit="1" customWidth="1"/>
    <col min="3" max="3" width="16.58203125" style="7" bestFit="1" customWidth="1"/>
    <col min="4" max="13" width="16.58203125" style="7" hidden="1" customWidth="1" outlineLevel="1"/>
    <col min="14" max="14" width="16.58203125" style="7" bestFit="1" customWidth="1" collapsed="1"/>
    <col min="15" max="15" width="18.25" style="7" bestFit="1" customWidth="1"/>
    <col min="16" max="16" width="2.75" style="7" customWidth="1"/>
    <col min="17" max="17" width="16.4140625" style="7" bestFit="1" customWidth="1"/>
    <col min="18" max="27" width="16.4140625" style="7" customWidth="1" outlineLevel="1"/>
    <col min="28" max="28" width="16.4140625" style="7" bestFit="1" customWidth="1"/>
    <col min="29" max="29" width="17.4140625" style="7" bestFit="1" customWidth="1"/>
    <col min="30" max="30" width="3.75" style="7" customWidth="1"/>
    <col min="31" max="31" width="16.58203125" style="7" bestFit="1" customWidth="1"/>
    <col min="32" max="41" width="16.58203125" style="7" hidden="1" customWidth="1" outlineLevel="1"/>
    <col min="42" max="42" width="16.58203125" style="7" bestFit="1" customWidth="1" collapsed="1"/>
    <col min="43" max="43" width="18.25" style="7" bestFit="1" customWidth="1"/>
    <col min="44" max="44" width="2.4140625" style="7" customWidth="1"/>
    <col min="45" max="45" width="16.58203125" style="7" bestFit="1" customWidth="1"/>
    <col min="46" max="55" width="16.58203125" style="7" hidden="1" customWidth="1" outlineLevel="1"/>
    <col min="56" max="56" width="16.58203125" style="7" bestFit="1" customWidth="1" collapsed="1"/>
    <col min="57" max="57" width="18.25" style="7" customWidth="1"/>
    <col min="58" max="58" width="1.4140625" style="7" customWidth="1"/>
    <col min="59" max="59" width="15.58203125" style="7" bestFit="1" customWidth="1"/>
    <col min="60" max="69" width="15.58203125" style="7" hidden="1" customWidth="1" outlineLevel="1"/>
    <col min="70" max="70" width="15.58203125" style="7" bestFit="1" customWidth="1" collapsed="1"/>
    <col min="71" max="71" width="16.58203125" style="7" bestFit="1" customWidth="1"/>
    <col min="72" max="72" width="9" style="7"/>
    <col min="73" max="73" width="15.58203125" style="7" bestFit="1" customWidth="1"/>
    <col min="74" max="74" width="14.33203125" style="7" hidden="1" customWidth="1" outlineLevel="1"/>
    <col min="75" max="83" width="15.58203125" style="7" hidden="1" customWidth="1" outlineLevel="1"/>
    <col min="84" max="84" width="15.58203125" style="7" bestFit="1" customWidth="1" collapsed="1"/>
    <col min="85" max="85" width="16.58203125" style="7" bestFit="1" customWidth="1"/>
    <col min="86" max="86" width="9" style="7"/>
    <col min="87" max="87" width="14.33203125" style="7" bestFit="1" customWidth="1"/>
    <col min="88" max="97" width="14.33203125" style="7" hidden="1" customWidth="1" outlineLevel="1"/>
    <col min="98" max="98" width="14.33203125" style="7" bestFit="1" customWidth="1" collapsed="1"/>
    <col min="99" max="99" width="15.58203125" style="7" bestFit="1" customWidth="1"/>
    <col min="100" max="100" width="9" style="7"/>
    <col min="101" max="101" width="15.58203125" style="7" bestFit="1" customWidth="1"/>
    <col min="102" max="102" width="14.33203125" style="7" hidden="1" customWidth="1" outlineLevel="1"/>
    <col min="103" max="111" width="15.58203125" style="7" hidden="1" customWidth="1" outlineLevel="1"/>
    <col min="112" max="112" width="15.58203125" style="7" bestFit="1" customWidth="1" collapsed="1"/>
    <col min="113" max="113" width="16.58203125" style="7" bestFit="1" customWidth="1"/>
    <col min="114" max="114" width="9" style="7"/>
    <col min="115" max="115" width="10.58203125" style="7" bestFit="1" customWidth="1"/>
    <col min="116" max="125" width="10.58203125" style="7" hidden="1" customWidth="1" outlineLevel="1"/>
    <col min="126" max="126" width="10.58203125" style="7" bestFit="1" customWidth="1" collapsed="1"/>
    <col min="127" max="127" width="11.58203125" style="7" bestFit="1" customWidth="1"/>
    <col min="128" max="128" width="9" style="7"/>
    <col min="129" max="141" width="9" style="7" customWidth="1"/>
    <col min="142" max="16384" width="9" style="7"/>
  </cols>
  <sheetData>
    <row r="1" spans="1:141" ht="18.5" thickTop="1" thickBot="1">
      <c r="B1" s="19" t="s">
        <v>57</v>
      </c>
      <c r="C1" s="289">
        <f ca="1">C17-C21-C27</f>
        <v>0</v>
      </c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Q1" s="292" t="s">
        <v>194</v>
      </c>
      <c r="R1" s="293">
        <v>0</v>
      </c>
      <c r="AE1" s="291"/>
      <c r="AF1" s="290"/>
      <c r="AG1" s="291"/>
      <c r="AH1" s="291"/>
      <c r="AP1" s="290"/>
    </row>
    <row r="2" spans="1:141" ht="15" thickTop="1" thickBot="1">
      <c r="B2" s="20" t="s">
        <v>11</v>
      </c>
      <c r="AE2" s="291"/>
      <c r="AF2" s="290"/>
      <c r="AG2" s="290"/>
      <c r="AH2" s="290"/>
      <c r="AM2" s="290"/>
      <c r="AN2" s="290"/>
      <c r="AO2" s="290"/>
      <c r="AP2" s="290"/>
      <c r="AS2" s="257"/>
    </row>
    <row r="3" spans="1:141" ht="17" thickTop="1">
      <c r="A3" s="840" t="s">
        <v>39</v>
      </c>
      <c r="B3" s="846" t="s">
        <v>19</v>
      </c>
      <c r="C3" s="833" t="s">
        <v>190</v>
      </c>
      <c r="D3" s="834"/>
      <c r="E3" s="834"/>
      <c r="F3" s="834"/>
      <c r="G3" s="834"/>
      <c r="H3" s="834"/>
      <c r="I3" s="834"/>
      <c r="J3" s="834"/>
      <c r="K3" s="834"/>
      <c r="L3" s="834"/>
      <c r="M3" s="834"/>
      <c r="N3" s="834"/>
      <c r="O3" s="835"/>
      <c r="Q3" s="841" t="s">
        <v>191</v>
      </c>
      <c r="R3" s="841"/>
      <c r="S3" s="841"/>
      <c r="T3" s="841"/>
      <c r="U3" s="841"/>
      <c r="V3" s="841"/>
      <c r="W3" s="841"/>
      <c r="X3" s="841"/>
      <c r="Y3" s="841"/>
      <c r="Z3" s="841"/>
      <c r="AA3" s="841"/>
      <c r="AB3" s="841"/>
      <c r="AC3" s="841"/>
      <c r="AE3" s="842" t="s">
        <v>17</v>
      </c>
      <c r="AF3" s="843"/>
      <c r="AG3" s="843"/>
      <c r="AH3" s="843"/>
      <c r="AI3" s="843"/>
      <c r="AJ3" s="843"/>
      <c r="AK3" s="843"/>
      <c r="AL3" s="843"/>
      <c r="AM3" s="843"/>
      <c r="AN3" s="843"/>
      <c r="AO3" s="843"/>
      <c r="AP3" s="843"/>
      <c r="AQ3" s="844"/>
      <c r="AS3" s="839" t="s">
        <v>0</v>
      </c>
      <c r="AT3" s="839"/>
      <c r="AU3" s="839"/>
      <c r="AV3" s="839"/>
      <c r="AW3" s="839"/>
      <c r="AX3" s="839"/>
      <c r="AY3" s="839"/>
      <c r="AZ3" s="839"/>
      <c r="BA3" s="839"/>
      <c r="BB3" s="839"/>
      <c r="BC3" s="839"/>
      <c r="BD3" s="839"/>
      <c r="BE3" s="839"/>
      <c r="BG3" s="839" t="s">
        <v>195</v>
      </c>
      <c r="BH3" s="839"/>
      <c r="BI3" s="839"/>
      <c r="BJ3" s="839"/>
      <c r="BK3" s="839"/>
      <c r="BL3" s="839"/>
      <c r="BM3" s="839"/>
      <c r="BN3" s="839"/>
      <c r="BO3" s="839"/>
      <c r="BP3" s="839"/>
      <c r="BQ3" s="839"/>
      <c r="BR3" s="839"/>
      <c r="BS3" s="839"/>
      <c r="BU3" s="845" t="s">
        <v>13</v>
      </c>
      <c r="BV3" s="845"/>
      <c r="BW3" s="845"/>
      <c r="BX3" s="845"/>
      <c r="BY3" s="845"/>
      <c r="BZ3" s="845"/>
      <c r="CA3" s="845"/>
      <c r="CB3" s="845"/>
      <c r="CC3" s="845"/>
      <c r="CD3" s="845"/>
      <c r="CE3" s="845"/>
      <c r="CF3" s="845"/>
      <c r="CG3" s="845"/>
      <c r="CI3" s="845" t="s">
        <v>14</v>
      </c>
      <c r="CJ3" s="845"/>
      <c r="CK3" s="845"/>
      <c r="CL3" s="845"/>
      <c r="CM3" s="845"/>
      <c r="CN3" s="845"/>
      <c r="CO3" s="845"/>
      <c r="CP3" s="845"/>
      <c r="CQ3" s="845"/>
      <c r="CR3" s="845"/>
      <c r="CS3" s="845"/>
      <c r="CT3" s="845"/>
      <c r="CU3" s="845"/>
      <c r="CW3" s="845" t="s">
        <v>16</v>
      </c>
      <c r="CX3" s="845"/>
      <c r="CY3" s="845"/>
      <c r="CZ3" s="845"/>
      <c r="DA3" s="845"/>
      <c r="DB3" s="845"/>
      <c r="DC3" s="845"/>
      <c r="DD3" s="845"/>
      <c r="DE3" s="845"/>
      <c r="DF3" s="845"/>
      <c r="DG3" s="845"/>
      <c r="DH3" s="845"/>
      <c r="DI3" s="845"/>
      <c r="DK3" s="839" t="s">
        <v>192</v>
      </c>
      <c r="DL3" s="839"/>
      <c r="DM3" s="839"/>
      <c r="DN3" s="839"/>
      <c r="DO3" s="839"/>
      <c r="DP3" s="839"/>
      <c r="DQ3" s="839"/>
      <c r="DR3" s="839"/>
      <c r="DS3" s="839"/>
      <c r="DT3" s="839"/>
      <c r="DU3" s="839"/>
      <c r="DV3" s="839"/>
      <c r="DW3" s="839"/>
      <c r="DY3" s="838" t="s">
        <v>193</v>
      </c>
      <c r="DZ3" s="838"/>
      <c r="EA3" s="838"/>
      <c r="EB3" s="838"/>
      <c r="EC3" s="838"/>
      <c r="ED3" s="838"/>
      <c r="EE3" s="838"/>
      <c r="EF3" s="838"/>
      <c r="EG3" s="838"/>
      <c r="EH3" s="838"/>
      <c r="EI3" s="838"/>
      <c r="EJ3" s="838"/>
      <c r="EK3" s="838"/>
    </row>
    <row r="4" spans="1:141" s="30" customFormat="1" ht="16.5">
      <c r="A4" s="840"/>
      <c r="B4" s="846"/>
      <c r="C4" s="294">
        <v>1</v>
      </c>
      <c r="D4" s="255">
        <v>2</v>
      </c>
      <c r="E4" s="255">
        <v>3</v>
      </c>
      <c r="F4" s="255">
        <v>4</v>
      </c>
      <c r="G4" s="255">
        <v>5</v>
      </c>
      <c r="H4" s="255">
        <v>6</v>
      </c>
      <c r="I4" s="255">
        <v>7</v>
      </c>
      <c r="J4" s="255">
        <v>8</v>
      </c>
      <c r="K4" s="255">
        <v>9</v>
      </c>
      <c r="L4" s="255">
        <v>10</v>
      </c>
      <c r="M4" s="255">
        <v>11</v>
      </c>
      <c r="N4" s="255">
        <v>12</v>
      </c>
      <c r="O4" s="295" t="s">
        <v>17</v>
      </c>
      <c r="Q4" s="254">
        <v>1</v>
      </c>
      <c r="R4" s="254">
        <v>2</v>
      </c>
      <c r="S4" s="254">
        <v>3</v>
      </c>
      <c r="T4" s="254">
        <v>4</v>
      </c>
      <c r="U4" s="254">
        <v>5</v>
      </c>
      <c r="V4" s="254">
        <v>6</v>
      </c>
      <c r="W4" s="254">
        <v>7</v>
      </c>
      <c r="X4" s="254">
        <v>8</v>
      </c>
      <c r="Y4" s="254">
        <v>9</v>
      </c>
      <c r="Z4" s="254">
        <v>10</v>
      </c>
      <c r="AA4" s="254">
        <v>11</v>
      </c>
      <c r="AB4" s="254">
        <v>12</v>
      </c>
      <c r="AC4" s="254" t="s">
        <v>17</v>
      </c>
      <c r="AE4" s="296">
        <v>1</v>
      </c>
      <c r="AF4" s="297">
        <v>2</v>
      </c>
      <c r="AG4" s="297">
        <v>3</v>
      </c>
      <c r="AH4" s="297">
        <v>4</v>
      </c>
      <c r="AI4" s="297">
        <v>5</v>
      </c>
      <c r="AJ4" s="297">
        <v>6</v>
      </c>
      <c r="AK4" s="297">
        <v>7</v>
      </c>
      <c r="AL4" s="297">
        <v>8</v>
      </c>
      <c r="AM4" s="297">
        <v>9</v>
      </c>
      <c r="AN4" s="297">
        <v>10</v>
      </c>
      <c r="AO4" s="297">
        <v>11</v>
      </c>
      <c r="AP4" s="297">
        <v>12</v>
      </c>
      <c r="AQ4" s="298" t="s">
        <v>17</v>
      </c>
      <c r="AS4" s="31">
        <v>1</v>
      </c>
      <c r="AT4" s="31">
        <v>2</v>
      </c>
      <c r="AU4" s="31">
        <v>3</v>
      </c>
      <c r="AV4" s="31">
        <v>4</v>
      </c>
      <c r="AW4" s="31">
        <v>5</v>
      </c>
      <c r="AX4" s="31">
        <v>6</v>
      </c>
      <c r="AY4" s="31">
        <v>7</v>
      </c>
      <c r="AZ4" s="31">
        <v>8</v>
      </c>
      <c r="BA4" s="31">
        <v>9</v>
      </c>
      <c r="BB4" s="31">
        <v>10</v>
      </c>
      <c r="BC4" s="31">
        <v>11</v>
      </c>
      <c r="BD4" s="31">
        <v>12</v>
      </c>
      <c r="BE4" s="31" t="s">
        <v>17</v>
      </c>
      <c r="BG4" s="31">
        <v>1</v>
      </c>
      <c r="BH4" s="31">
        <v>2</v>
      </c>
      <c r="BI4" s="31">
        <v>3</v>
      </c>
      <c r="BJ4" s="31">
        <v>4</v>
      </c>
      <c r="BK4" s="31">
        <v>5</v>
      </c>
      <c r="BL4" s="31">
        <v>6</v>
      </c>
      <c r="BM4" s="31">
        <v>7</v>
      </c>
      <c r="BN4" s="31">
        <v>8</v>
      </c>
      <c r="BO4" s="31">
        <v>9</v>
      </c>
      <c r="BP4" s="31">
        <v>10</v>
      </c>
      <c r="BQ4" s="31">
        <v>11</v>
      </c>
      <c r="BR4" s="31">
        <v>12</v>
      </c>
      <c r="BS4" s="31" t="s">
        <v>17</v>
      </c>
      <c r="BU4" s="256">
        <v>1</v>
      </c>
      <c r="BV4" s="256">
        <v>2</v>
      </c>
      <c r="BW4" s="256">
        <v>3</v>
      </c>
      <c r="BX4" s="256">
        <v>4</v>
      </c>
      <c r="BY4" s="256">
        <v>5</v>
      </c>
      <c r="BZ4" s="256">
        <v>6</v>
      </c>
      <c r="CA4" s="256">
        <v>7</v>
      </c>
      <c r="CB4" s="256">
        <v>8</v>
      </c>
      <c r="CC4" s="256">
        <v>9</v>
      </c>
      <c r="CD4" s="256">
        <v>10</v>
      </c>
      <c r="CE4" s="256">
        <v>11</v>
      </c>
      <c r="CF4" s="256">
        <v>12</v>
      </c>
      <c r="CG4" s="256" t="s">
        <v>17</v>
      </c>
      <c r="CI4" s="256">
        <v>1</v>
      </c>
      <c r="CJ4" s="256">
        <v>2</v>
      </c>
      <c r="CK4" s="256">
        <v>3</v>
      </c>
      <c r="CL4" s="256">
        <v>4</v>
      </c>
      <c r="CM4" s="256">
        <v>5</v>
      </c>
      <c r="CN4" s="256">
        <v>6</v>
      </c>
      <c r="CO4" s="256">
        <v>7</v>
      </c>
      <c r="CP4" s="256">
        <v>8</v>
      </c>
      <c r="CQ4" s="256">
        <v>9</v>
      </c>
      <c r="CR4" s="256">
        <v>10</v>
      </c>
      <c r="CS4" s="256">
        <v>11</v>
      </c>
      <c r="CT4" s="256">
        <v>12</v>
      </c>
      <c r="CU4" s="256" t="s">
        <v>17</v>
      </c>
      <c r="CW4" s="256">
        <v>1</v>
      </c>
      <c r="CX4" s="256">
        <v>2</v>
      </c>
      <c r="CY4" s="256">
        <v>3</v>
      </c>
      <c r="CZ4" s="256">
        <v>4</v>
      </c>
      <c r="DA4" s="256">
        <v>5</v>
      </c>
      <c r="DB4" s="256">
        <v>6</v>
      </c>
      <c r="DC4" s="256">
        <v>7</v>
      </c>
      <c r="DD4" s="256">
        <v>8</v>
      </c>
      <c r="DE4" s="256">
        <v>9</v>
      </c>
      <c r="DF4" s="256">
        <v>10</v>
      </c>
      <c r="DG4" s="256">
        <v>11</v>
      </c>
      <c r="DH4" s="256">
        <v>12</v>
      </c>
      <c r="DI4" s="256" t="s">
        <v>17</v>
      </c>
      <c r="DK4" s="31">
        <v>1</v>
      </c>
      <c r="DL4" s="31">
        <v>2</v>
      </c>
      <c r="DM4" s="31">
        <v>3</v>
      </c>
      <c r="DN4" s="31">
        <v>4</v>
      </c>
      <c r="DO4" s="31">
        <v>5</v>
      </c>
      <c r="DP4" s="31">
        <v>6</v>
      </c>
      <c r="DQ4" s="31">
        <v>7</v>
      </c>
      <c r="DR4" s="31">
        <v>8</v>
      </c>
      <c r="DS4" s="31">
        <v>9</v>
      </c>
      <c r="DT4" s="31">
        <v>10</v>
      </c>
      <c r="DU4" s="31">
        <v>11</v>
      </c>
      <c r="DV4" s="31">
        <v>12</v>
      </c>
      <c r="DW4" s="31" t="s">
        <v>17</v>
      </c>
      <c r="DY4" s="287">
        <v>1</v>
      </c>
      <c r="DZ4" s="287">
        <v>2</v>
      </c>
      <c r="EA4" s="287">
        <v>3</v>
      </c>
      <c r="EB4" s="287">
        <v>4</v>
      </c>
      <c r="EC4" s="287">
        <v>5</v>
      </c>
      <c r="ED4" s="287">
        <v>6</v>
      </c>
      <c r="EE4" s="287">
        <v>7</v>
      </c>
      <c r="EF4" s="287">
        <v>8</v>
      </c>
      <c r="EG4" s="287">
        <v>9</v>
      </c>
      <c r="EH4" s="287">
        <v>10</v>
      </c>
      <c r="EI4" s="287">
        <v>11</v>
      </c>
      <c r="EJ4" s="287">
        <v>12</v>
      </c>
      <c r="EK4" s="287" t="s">
        <v>17</v>
      </c>
    </row>
    <row r="5" spans="1:141">
      <c r="A5" s="32">
        <v>1</v>
      </c>
      <c r="B5" s="33" t="s">
        <v>40</v>
      </c>
      <c r="C5" s="299">
        <f t="shared" ref="C5:O5" si="0">SUM(C6:C8)</f>
        <v>4318.222932676138</v>
      </c>
      <c r="D5" s="101">
        <f t="shared" si="0"/>
        <v>4253.3145678240335</v>
      </c>
      <c r="E5" s="101">
        <f t="shared" si="0"/>
        <v>4678.5574034757401</v>
      </c>
      <c r="F5" s="101">
        <f t="shared" si="0"/>
        <v>4394.2315186767219</v>
      </c>
      <c r="G5" s="101">
        <f t="shared" si="0"/>
        <v>4663.4364391825357</v>
      </c>
      <c r="H5" s="101">
        <f t="shared" si="0"/>
        <v>4691.9521822275938</v>
      </c>
      <c r="I5" s="101">
        <f t="shared" si="0"/>
        <v>4689.4225169732681</v>
      </c>
      <c r="J5" s="101">
        <f t="shared" si="0"/>
        <v>4562.8494989087403</v>
      </c>
      <c r="K5" s="101">
        <f t="shared" si="0"/>
        <v>4774.6231018888848</v>
      </c>
      <c r="L5" s="101">
        <f t="shared" si="0"/>
        <v>4468.6262974285746</v>
      </c>
      <c r="M5" s="101">
        <f t="shared" si="0"/>
        <v>4720.2431243544625</v>
      </c>
      <c r="N5" s="101">
        <f t="shared" si="0"/>
        <v>4784.5204185700313</v>
      </c>
      <c r="O5" s="300">
        <f t="shared" si="0"/>
        <v>55000.000002186731</v>
      </c>
      <c r="Q5" s="101">
        <f t="shared" ref="Q5:AC5" si="1">SUM(Q6:Q8)</f>
        <v>-2101.9549999999999</v>
      </c>
      <c r="R5" s="101">
        <f t="shared" si="1"/>
        <v>-1488.2180000000001</v>
      </c>
      <c r="S5" s="101">
        <f t="shared" si="1"/>
        <v>-2386.5422749999998</v>
      </c>
      <c r="T5" s="101">
        <f t="shared" si="1"/>
        <v>-2581.6968750000001</v>
      </c>
      <c r="U5" s="101">
        <f t="shared" si="1"/>
        <v>-2580.5418749999999</v>
      </c>
      <c r="V5" s="101">
        <f t="shared" si="1"/>
        <v>-2584.9947499999998</v>
      </c>
      <c r="W5" s="101">
        <f t="shared" si="1"/>
        <v>-2625.747625</v>
      </c>
      <c r="X5" s="101">
        <f t="shared" si="1"/>
        <v>-2584.9947499999998</v>
      </c>
      <c r="Y5" s="101">
        <f t="shared" si="1"/>
        <v>-2503.489</v>
      </c>
      <c r="Z5" s="101">
        <f t="shared" si="1"/>
        <v>-2625.747625</v>
      </c>
      <c r="AA5" s="101">
        <f t="shared" si="1"/>
        <v>-2544.2418749999997</v>
      </c>
      <c r="AB5" s="101">
        <f t="shared" si="1"/>
        <v>-2625.747625</v>
      </c>
      <c r="AC5" s="101">
        <f t="shared" si="1"/>
        <v>-29233.917275</v>
      </c>
      <c r="AE5" s="301">
        <f t="shared" ref="AE5:AQ5" si="2">SUM(AE6:AE8)</f>
        <v>6420.177932676138</v>
      </c>
      <c r="AF5" s="101">
        <f t="shared" si="2"/>
        <v>5741.5325678240333</v>
      </c>
      <c r="AG5" s="101">
        <f t="shared" si="2"/>
        <v>7065.0996784757399</v>
      </c>
      <c r="AH5" s="101">
        <f t="shared" si="2"/>
        <v>6975.9283936767224</v>
      </c>
      <c r="AI5" s="101">
        <f t="shared" si="2"/>
        <v>7243.9783141825355</v>
      </c>
      <c r="AJ5" s="101">
        <f t="shared" si="2"/>
        <v>7276.9469322275936</v>
      </c>
      <c r="AK5" s="101">
        <f t="shared" si="2"/>
        <v>7315.1701419732681</v>
      </c>
      <c r="AL5" s="101">
        <f t="shared" si="2"/>
        <v>7147.8442489087402</v>
      </c>
      <c r="AM5" s="101">
        <f t="shared" si="2"/>
        <v>7278.1121018888844</v>
      </c>
      <c r="AN5" s="101">
        <f t="shared" si="2"/>
        <v>7094.3739224285746</v>
      </c>
      <c r="AO5" s="101">
        <f t="shared" si="2"/>
        <v>7264.4849993544622</v>
      </c>
      <c r="AP5" s="101">
        <f t="shared" si="2"/>
        <v>7410.2680435700313</v>
      </c>
      <c r="AQ5" s="302">
        <f t="shared" si="2"/>
        <v>84233.917277186731</v>
      </c>
      <c r="AS5" s="101">
        <f t="shared" ref="AS5:BE5" si="3">SUM(AS6:AS8)</f>
        <v>4318.222932676138</v>
      </c>
      <c r="AT5" s="101">
        <f t="shared" si="3"/>
        <v>4253.3145678240335</v>
      </c>
      <c r="AU5" s="101">
        <f t="shared" si="3"/>
        <v>4678.5574034757401</v>
      </c>
      <c r="AV5" s="101">
        <f t="shared" si="3"/>
        <v>4394.2315186767219</v>
      </c>
      <c r="AW5" s="101">
        <f t="shared" si="3"/>
        <v>4663.4364391825357</v>
      </c>
      <c r="AX5" s="101">
        <f t="shared" si="3"/>
        <v>4691.9521822275938</v>
      </c>
      <c r="AY5" s="101">
        <f t="shared" si="3"/>
        <v>4689.4225169732681</v>
      </c>
      <c r="AZ5" s="101">
        <f t="shared" si="3"/>
        <v>4562.8494989087403</v>
      </c>
      <c r="BA5" s="101">
        <f t="shared" si="3"/>
        <v>4774.6231018888848</v>
      </c>
      <c r="BB5" s="101">
        <f t="shared" si="3"/>
        <v>4468.6262974285746</v>
      </c>
      <c r="BC5" s="101">
        <f t="shared" si="3"/>
        <v>4720.2431243544625</v>
      </c>
      <c r="BD5" s="101">
        <f t="shared" si="3"/>
        <v>4784.5204185700313</v>
      </c>
      <c r="BE5" s="101">
        <f t="shared" si="3"/>
        <v>55000.000002186731</v>
      </c>
      <c r="BG5" s="101">
        <f t="shared" ref="BG5:BS5" si="4">SUM(BG6:BG8)</f>
        <v>2101.9549999999999</v>
      </c>
      <c r="BH5" s="101">
        <f t="shared" si="4"/>
        <v>1488.2180000000001</v>
      </c>
      <c r="BI5" s="101">
        <f t="shared" si="4"/>
        <v>2386.5422749999998</v>
      </c>
      <c r="BJ5" s="101">
        <f t="shared" si="4"/>
        <v>2581.6968750000001</v>
      </c>
      <c r="BK5" s="101">
        <f t="shared" si="4"/>
        <v>2580.5418749999999</v>
      </c>
      <c r="BL5" s="101">
        <f t="shared" si="4"/>
        <v>2584.9947499999998</v>
      </c>
      <c r="BM5" s="101">
        <f t="shared" si="4"/>
        <v>2625.747625</v>
      </c>
      <c r="BN5" s="101">
        <f t="shared" si="4"/>
        <v>2584.9947499999998</v>
      </c>
      <c r="BO5" s="101">
        <f t="shared" si="4"/>
        <v>2503.489</v>
      </c>
      <c r="BP5" s="101">
        <f t="shared" si="4"/>
        <v>2625.747625</v>
      </c>
      <c r="BQ5" s="101">
        <f t="shared" si="4"/>
        <v>2544.2418749999997</v>
      </c>
      <c r="BR5" s="101">
        <f t="shared" si="4"/>
        <v>2625.747625</v>
      </c>
      <c r="BS5" s="101">
        <f t="shared" si="4"/>
        <v>29233.917275</v>
      </c>
      <c r="BU5" s="101">
        <f t="shared" ref="BU5:CG5" si="5">SUM(BU6:BU8)</f>
        <v>798.98</v>
      </c>
      <c r="BV5" s="101">
        <f t="shared" si="5"/>
        <v>489.61799999999999</v>
      </c>
      <c r="BW5" s="101">
        <f t="shared" si="5"/>
        <v>953.61727499999984</v>
      </c>
      <c r="BX5" s="101">
        <f t="shared" si="5"/>
        <v>1018.821875</v>
      </c>
      <c r="BY5" s="101">
        <f t="shared" si="5"/>
        <v>1018.821875</v>
      </c>
      <c r="BZ5" s="101">
        <f t="shared" si="5"/>
        <v>1059.57475</v>
      </c>
      <c r="CA5" s="101">
        <f t="shared" si="5"/>
        <v>1100.3276249999999</v>
      </c>
      <c r="CB5" s="101">
        <f t="shared" si="5"/>
        <v>1059.57475</v>
      </c>
      <c r="CC5" s="101">
        <f t="shared" si="5"/>
        <v>978.06899999999996</v>
      </c>
      <c r="CD5" s="101">
        <f t="shared" si="5"/>
        <v>1100.3276249999999</v>
      </c>
      <c r="CE5" s="101">
        <f t="shared" si="5"/>
        <v>1018.821875</v>
      </c>
      <c r="CF5" s="101">
        <f t="shared" si="5"/>
        <v>1100.3276249999999</v>
      </c>
      <c r="CG5" s="101">
        <f t="shared" si="5"/>
        <v>11696.882274999998</v>
      </c>
      <c r="CI5" s="101">
        <f t="shared" ref="CI5:CU5" si="6">SUM(CI6:CI8)</f>
        <v>533.70000000000005</v>
      </c>
      <c r="CJ5" s="101">
        <f t="shared" si="6"/>
        <v>400.27499999999998</v>
      </c>
      <c r="CK5" s="101">
        <f t="shared" si="6"/>
        <v>578.17499999999995</v>
      </c>
      <c r="CL5" s="101">
        <f t="shared" si="6"/>
        <v>622.65</v>
      </c>
      <c r="CM5" s="101">
        <f t="shared" si="6"/>
        <v>622.65</v>
      </c>
      <c r="CN5" s="101">
        <f t="shared" si="6"/>
        <v>622.65</v>
      </c>
      <c r="CO5" s="101">
        <f t="shared" si="6"/>
        <v>622.65</v>
      </c>
      <c r="CP5" s="101">
        <f t="shared" si="6"/>
        <v>622.65</v>
      </c>
      <c r="CQ5" s="101">
        <f t="shared" si="6"/>
        <v>622.65</v>
      </c>
      <c r="CR5" s="101">
        <f t="shared" si="6"/>
        <v>622.65</v>
      </c>
      <c r="CS5" s="101">
        <f t="shared" si="6"/>
        <v>622.65</v>
      </c>
      <c r="CT5" s="101">
        <f t="shared" si="6"/>
        <v>622.65</v>
      </c>
      <c r="CU5" s="101">
        <f t="shared" si="6"/>
        <v>7115.9999999999991</v>
      </c>
      <c r="CW5" s="101">
        <f t="shared" ref="CW5:DI5" si="7">SUM(CW6:CW8)</f>
        <v>769.27499999999998</v>
      </c>
      <c r="CX5" s="101">
        <f t="shared" si="7"/>
        <v>598.32500000000005</v>
      </c>
      <c r="CY5" s="101">
        <f t="shared" si="7"/>
        <v>854.75</v>
      </c>
      <c r="CZ5" s="101">
        <f t="shared" si="7"/>
        <v>940.22500000000002</v>
      </c>
      <c r="DA5" s="101">
        <f t="shared" si="7"/>
        <v>939.07</v>
      </c>
      <c r="DB5" s="101">
        <f t="shared" si="7"/>
        <v>902.77</v>
      </c>
      <c r="DC5" s="101">
        <f t="shared" si="7"/>
        <v>902.77</v>
      </c>
      <c r="DD5" s="101">
        <f t="shared" si="7"/>
        <v>902.77</v>
      </c>
      <c r="DE5" s="101">
        <f t="shared" si="7"/>
        <v>902.77</v>
      </c>
      <c r="DF5" s="101">
        <f t="shared" si="7"/>
        <v>902.77</v>
      </c>
      <c r="DG5" s="101">
        <f t="shared" si="7"/>
        <v>902.77</v>
      </c>
      <c r="DH5" s="101">
        <f t="shared" si="7"/>
        <v>902.77</v>
      </c>
      <c r="DI5" s="101">
        <f t="shared" si="7"/>
        <v>10421.035000000002</v>
      </c>
      <c r="DK5" s="101">
        <f t="shared" ref="DK5:DW5" si="8">SUM(DK6:DK8)</f>
        <v>0</v>
      </c>
      <c r="DL5" s="101">
        <f t="shared" si="8"/>
        <v>0</v>
      </c>
      <c r="DM5" s="101">
        <f t="shared" si="8"/>
        <v>0</v>
      </c>
      <c r="DN5" s="101">
        <f t="shared" si="8"/>
        <v>0</v>
      </c>
      <c r="DO5" s="101">
        <f t="shared" si="8"/>
        <v>0</v>
      </c>
      <c r="DP5" s="101">
        <f t="shared" si="8"/>
        <v>0</v>
      </c>
      <c r="DQ5" s="101">
        <f t="shared" si="8"/>
        <v>0</v>
      </c>
      <c r="DR5" s="101">
        <f t="shared" si="8"/>
        <v>0</v>
      </c>
      <c r="DS5" s="101">
        <f t="shared" si="8"/>
        <v>0</v>
      </c>
      <c r="DT5" s="101">
        <f t="shared" si="8"/>
        <v>0</v>
      </c>
      <c r="DU5" s="101">
        <f t="shared" si="8"/>
        <v>0</v>
      </c>
      <c r="DV5" s="101">
        <f t="shared" si="8"/>
        <v>0</v>
      </c>
      <c r="DW5" s="101">
        <f t="shared" si="8"/>
        <v>0</v>
      </c>
      <c r="DY5" s="101">
        <f t="shared" ref="DY5:EK5" si="9">SUM(DY6:DY8)</f>
        <v>0</v>
      </c>
      <c r="DZ5" s="101">
        <f t="shared" si="9"/>
        <v>0</v>
      </c>
      <c r="EA5" s="101">
        <f t="shared" si="9"/>
        <v>0</v>
      </c>
      <c r="EB5" s="101">
        <f t="shared" si="9"/>
        <v>0</v>
      </c>
      <c r="EC5" s="101">
        <f t="shared" si="9"/>
        <v>0</v>
      </c>
      <c r="ED5" s="101">
        <f t="shared" si="9"/>
        <v>0</v>
      </c>
      <c r="EE5" s="101">
        <f t="shared" si="9"/>
        <v>0</v>
      </c>
      <c r="EF5" s="101">
        <f t="shared" si="9"/>
        <v>0</v>
      </c>
      <c r="EG5" s="101">
        <f t="shared" si="9"/>
        <v>0</v>
      </c>
      <c r="EH5" s="101">
        <f t="shared" si="9"/>
        <v>0</v>
      </c>
      <c r="EI5" s="101">
        <f t="shared" si="9"/>
        <v>0</v>
      </c>
      <c r="EJ5" s="101">
        <f t="shared" si="9"/>
        <v>0</v>
      </c>
      <c r="EK5" s="101">
        <f t="shared" si="9"/>
        <v>0</v>
      </c>
    </row>
    <row r="6" spans="1:141" s="97" customFormat="1" outlineLevel="1">
      <c r="A6" s="99" t="s">
        <v>73</v>
      </c>
      <c r="B6" s="100" t="s">
        <v>1</v>
      </c>
      <c r="C6" s="303">
        <f t="shared" ref="C6:N8" si="10">Q6+AE6</f>
        <v>4318.222932676138</v>
      </c>
      <c r="D6" s="98">
        <f t="shared" si="10"/>
        <v>4253.3145678240335</v>
      </c>
      <c r="E6" s="98">
        <f t="shared" si="10"/>
        <v>4678.5574034757401</v>
      </c>
      <c r="F6" s="98">
        <f t="shared" si="10"/>
        <v>4394.2315186767219</v>
      </c>
      <c r="G6" s="98">
        <f t="shared" si="10"/>
        <v>4663.4364391825357</v>
      </c>
      <c r="H6" s="98">
        <f t="shared" si="10"/>
        <v>4691.9521822275938</v>
      </c>
      <c r="I6" s="98">
        <f t="shared" si="10"/>
        <v>4689.4225169732681</v>
      </c>
      <c r="J6" s="98">
        <f t="shared" si="10"/>
        <v>4562.8494989087403</v>
      </c>
      <c r="K6" s="98">
        <f t="shared" si="10"/>
        <v>4774.6231018888848</v>
      </c>
      <c r="L6" s="98">
        <f t="shared" si="10"/>
        <v>4468.6262974285746</v>
      </c>
      <c r="M6" s="98">
        <f t="shared" si="10"/>
        <v>4720.2431243544625</v>
      </c>
      <c r="N6" s="98">
        <f t="shared" si="10"/>
        <v>4784.5204185700313</v>
      </c>
      <c r="O6" s="304">
        <f>SUM(C6:N6)</f>
        <v>55000.000002186731</v>
      </c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>
        <f>SUM(Q6:AB6)</f>
        <v>0</v>
      </c>
      <c r="AE6" s="305">
        <f t="shared" ref="AE6:AP8" si="11">AS6+BU6+CI6+CW6+DK6</f>
        <v>4318.222932676138</v>
      </c>
      <c r="AF6" s="98">
        <f t="shared" si="11"/>
        <v>4253.3145678240335</v>
      </c>
      <c r="AG6" s="98">
        <f t="shared" si="11"/>
        <v>4678.5574034757401</v>
      </c>
      <c r="AH6" s="98">
        <f t="shared" si="11"/>
        <v>4394.2315186767219</v>
      </c>
      <c r="AI6" s="98">
        <f t="shared" si="11"/>
        <v>4663.4364391825357</v>
      </c>
      <c r="AJ6" s="98">
        <f t="shared" si="11"/>
        <v>4691.9521822275938</v>
      </c>
      <c r="AK6" s="98">
        <f t="shared" si="11"/>
        <v>4689.4225169732681</v>
      </c>
      <c r="AL6" s="98">
        <f t="shared" si="11"/>
        <v>4562.8494989087403</v>
      </c>
      <c r="AM6" s="98">
        <f t="shared" si="11"/>
        <v>4774.6231018888848</v>
      </c>
      <c r="AN6" s="98">
        <f t="shared" si="11"/>
        <v>4468.6262974285746</v>
      </c>
      <c r="AO6" s="98">
        <f t="shared" si="11"/>
        <v>4720.2431243544625</v>
      </c>
      <c r="AP6" s="98">
        <f t="shared" si="11"/>
        <v>4784.5204185700313</v>
      </c>
      <c r="AQ6" s="306">
        <f>SUM(AE6:AP6)</f>
        <v>55000.000002186731</v>
      </c>
      <c r="AS6" s="98">
        <v>4318.222932676138</v>
      </c>
      <c r="AT6" s="98">
        <v>4253.3145678240335</v>
      </c>
      <c r="AU6" s="98">
        <v>4678.5574034757401</v>
      </c>
      <c r="AV6" s="98">
        <v>4394.2315186767219</v>
      </c>
      <c r="AW6" s="98">
        <v>4663.4364391825357</v>
      </c>
      <c r="AX6" s="98">
        <v>4691.9521822275938</v>
      </c>
      <c r="AY6" s="98">
        <v>4689.4225169732681</v>
      </c>
      <c r="AZ6" s="98">
        <v>4562.8494989087403</v>
      </c>
      <c r="BA6" s="98">
        <v>4774.6231018888848</v>
      </c>
      <c r="BB6" s="98">
        <v>4468.6262974285746</v>
      </c>
      <c r="BC6" s="98">
        <v>4720.2431243544625</v>
      </c>
      <c r="BD6" s="98">
        <v>4784.5204185700313</v>
      </c>
      <c r="BE6" s="98">
        <f>SUM(AS6:BD6)</f>
        <v>55000.000002186731</v>
      </c>
      <c r="BG6" s="98">
        <f t="shared" ref="BG6:BR8" si="12">BU6+CI6+CW6</f>
        <v>0</v>
      </c>
      <c r="BH6" s="98">
        <f t="shared" si="12"/>
        <v>0</v>
      </c>
      <c r="BI6" s="98">
        <f t="shared" si="12"/>
        <v>0</v>
      </c>
      <c r="BJ6" s="98">
        <f t="shared" si="12"/>
        <v>0</v>
      </c>
      <c r="BK6" s="98">
        <f t="shared" si="12"/>
        <v>0</v>
      </c>
      <c r="BL6" s="98">
        <f t="shared" si="12"/>
        <v>0</v>
      </c>
      <c r="BM6" s="98">
        <f t="shared" si="12"/>
        <v>0</v>
      </c>
      <c r="BN6" s="98">
        <f t="shared" si="12"/>
        <v>0</v>
      </c>
      <c r="BO6" s="98">
        <f t="shared" si="12"/>
        <v>0</v>
      </c>
      <c r="BP6" s="98">
        <f t="shared" si="12"/>
        <v>0</v>
      </c>
      <c r="BQ6" s="98">
        <f t="shared" si="12"/>
        <v>0</v>
      </c>
      <c r="BR6" s="98">
        <f t="shared" si="12"/>
        <v>0</v>
      </c>
      <c r="BS6" s="98">
        <f>SUM(BG6:BR6)</f>
        <v>0</v>
      </c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>
        <f>SUM(BU6:CF6)</f>
        <v>0</v>
      </c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>
        <f>SUM(CI6:CT6)</f>
        <v>0</v>
      </c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>
        <f>SUM(CW6:DH6)</f>
        <v>0</v>
      </c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>
        <f>SUM(DK6:DV6)</f>
        <v>0</v>
      </c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>
        <f>SUM(DY6:EJ6)</f>
        <v>0</v>
      </c>
    </row>
    <row r="7" spans="1:141" s="97" customFormat="1" outlineLevel="1">
      <c r="A7" s="99" t="s">
        <v>74</v>
      </c>
      <c r="B7" s="100" t="s">
        <v>2</v>
      </c>
      <c r="C7" s="303">
        <f t="shared" si="10"/>
        <v>0</v>
      </c>
      <c r="D7" s="98">
        <f t="shared" si="10"/>
        <v>0</v>
      </c>
      <c r="E7" s="98">
        <f t="shared" si="10"/>
        <v>0</v>
      </c>
      <c r="F7" s="98">
        <f t="shared" si="10"/>
        <v>0</v>
      </c>
      <c r="G7" s="98">
        <f t="shared" si="10"/>
        <v>0</v>
      </c>
      <c r="H7" s="98">
        <f t="shared" si="10"/>
        <v>0</v>
      </c>
      <c r="I7" s="98">
        <f t="shared" si="10"/>
        <v>0</v>
      </c>
      <c r="J7" s="98">
        <f t="shared" si="10"/>
        <v>0</v>
      </c>
      <c r="K7" s="98">
        <f t="shared" si="10"/>
        <v>0</v>
      </c>
      <c r="L7" s="98">
        <f t="shared" si="10"/>
        <v>0</v>
      </c>
      <c r="M7" s="98">
        <f t="shared" si="10"/>
        <v>0</v>
      </c>
      <c r="N7" s="98">
        <f t="shared" si="10"/>
        <v>0</v>
      </c>
      <c r="O7" s="304">
        <f>SUM(C7:N7)</f>
        <v>0</v>
      </c>
      <c r="Q7" s="98">
        <f t="shared" ref="Q7:AB7" si="13">-AE7</f>
        <v>-2101.9549999999999</v>
      </c>
      <c r="R7" s="98">
        <f t="shared" si="13"/>
        <v>-1488.2180000000001</v>
      </c>
      <c r="S7" s="98">
        <f t="shared" si="13"/>
        <v>-2386.5422749999998</v>
      </c>
      <c r="T7" s="98">
        <f t="shared" si="13"/>
        <v>-2581.6968750000001</v>
      </c>
      <c r="U7" s="98">
        <f t="shared" si="13"/>
        <v>-2580.5418749999999</v>
      </c>
      <c r="V7" s="98">
        <f t="shared" si="13"/>
        <v>-2584.9947499999998</v>
      </c>
      <c r="W7" s="98">
        <f t="shared" si="13"/>
        <v>-2625.747625</v>
      </c>
      <c r="X7" s="98">
        <f t="shared" si="13"/>
        <v>-2584.9947499999998</v>
      </c>
      <c r="Y7" s="98">
        <f t="shared" si="13"/>
        <v>-2503.489</v>
      </c>
      <c r="Z7" s="98">
        <f t="shared" si="13"/>
        <v>-2625.747625</v>
      </c>
      <c r="AA7" s="98">
        <f t="shared" si="13"/>
        <v>-2544.2418749999997</v>
      </c>
      <c r="AB7" s="98">
        <f t="shared" si="13"/>
        <v>-2625.747625</v>
      </c>
      <c r="AC7" s="98">
        <f>SUM(Q7:AB7)</f>
        <v>-29233.917275</v>
      </c>
      <c r="AE7" s="305">
        <f t="shared" si="11"/>
        <v>2101.9549999999999</v>
      </c>
      <c r="AF7" s="98">
        <f t="shared" si="11"/>
        <v>1488.2180000000001</v>
      </c>
      <c r="AG7" s="98">
        <f t="shared" si="11"/>
        <v>2386.5422749999998</v>
      </c>
      <c r="AH7" s="98">
        <f t="shared" si="11"/>
        <v>2581.6968750000001</v>
      </c>
      <c r="AI7" s="98">
        <f t="shared" si="11"/>
        <v>2580.5418749999999</v>
      </c>
      <c r="AJ7" s="98">
        <f t="shared" si="11"/>
        <v>2584.9947499999998</v>
      </c>
      <c r="AK7" s="98">
        <f t="shared" si="11"/>
        <v>2625.747625</v>
      </c>
      <c r="AL7" s="98">
        <f t="shared" si="11"/>
        <v>2584.9947499999998</v>
      </c>
      <c r="AM7" s="98">
        <f t="shared" si="11"/>
        <v>2503.489</v>
      </c>
      <c r="AN7" s="98">
        <f t="shared" si="11"/>
        <v>2625.747625</v>
      </c>
      <c r="AO7" s="98">
        <f t="shared" si="11"/>
        <v>2544.2418749999997</v>
      </c>
      <c r="AP7" s="98">
        <f t="shared" si="11"/>
        <v>2625.747625</v>
      </c>
      <c r="AQ7" s="306">
        <f>SUM(AE7:AP7)</f>
        <v>29233.917275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>
        <f>SUM(AS7:BD7)</f>
        <v>0</v>
      </c>
      <c r="BG7" s="98">
        <f t="shared" si="12"/>
        <v>2101.9549999999999</v>
      </c>
      <c r="BH7" s="98">
        <f t="shared" si="12"/>
        <v>1488.2180000000001</v>
      </c>
      <c r="BI7" s="98">
        <f t="shared" si="12"/>
        <v>2386.5422749999998</v>
      </c>
      <c r="BJ7" s="98">
        <f t="shared" si="12"/>
        <v>2581.6968750000001</v>
      </c>
      <c r="BK7" s="98">
        <f t="shared" si="12"/>
        <v>2580.5418749999999</v>
      </c>
      <c r="BL7" s="98">
        <f t="shared" si="12"/>
        <v>2584.9947499999998</v>
      </c>
      <c r="BM7" s="98">
        <f t="shared" si="12"/>
        <v>2625.747625</v>
      </c>
      <c r="BN7" s="98">
        <f t="shared" si="12"/>
        <v>2584.9947499999998</v>
      </c>
      <c r="BO7" s="98">
        <f t="shared" si="12"/>
        <v>2503.489</v>
      </c>
      <c r="BP7" s="98">
        <f t="shared" si="12"/>
        <v>2625.747625</v>
      </c>
      <c r="BQ7" s="98">
        <f t="shared" si="12"/>
        <v>2544.2418749999997</v>
      </c>
      <c r="BR7" s="98">
        <f t="shared" si="12"/>
        <v>2625.747625</v>
      </c>
      <c r="BS7" s="98">
        <f>SUM(BG7:BR7)</f>
        <v>29233.917275</v>
      </c>
      <c r="BU7" s="98">
        <v>798.98</v>
      </c>
      <c r="BV7" s="98">
        <v>489.61799999999999</v>
      </c>
      <c r="BW7" s="98">
        <v>953.61727499999984</v>
      </c>
      <c r="BX7" s="98">
        <v>1018.821875</v>
      </c>
      <c r="BY7" s="98">
        <v>1018.821875</v>
      </c>
      <c r="BZ7" s="98">
        <v>1059.57475</v>
      </c>
      <c r="CA7" s="98">
        <v>1100.3276249999999</v>
      </c>
      <c r="CB7" s="98">
        <v>1059.57475</v>
      </c>
      <c r="CC7" s="98">
        <v>978.06899999999996</v>
      </c>
      <c r="CD7" s="98">
        <v>1100.3276249999999</v>
      </c>
      <c r="CE7" s="98">
        <v>1018.821875</v>
      </c>
      <c r="CF7" s="98">
        <v>1100.3276249999999</v>
      </c>
      <c r="CG7" s="98">
        <f>SUM(BU7:CF7)</f>
        <v>11696.882274999998</v>
      </c>
      <c r="CI7" s="98">
        <v>533.70000000000005</v>
      </c>
      <c r="CJ7" s="98">
        <v>400.27499999999998</v>
      </c>
      <c r="CK7" s="98">
        <v>578.17499999999995</v>
      </c>
      <c r="CL7" s="98">
        <v>622.65</v>
      </c>
      <c r="CM7" s="98">
        <v>622.65</v>
      </c>
      <c r="CN7" s="98">
        <v>622.65</v>
      </c>
      <c r="CO7" s="98">
        <v>622.65</v>
      </c>
      <c r="CP7" s="98">
        <v>622.65</v>
      </c>
      <c r="CQ7" s="98">
        <v>622.65</v>
      </c>
      <c r="CR7" s="98">
        <v>622.65</v>
      </c>
      <c r="CS7" s="98">
        <v>622.65</v>
      </c>
      <c r="CT7" s="98">
        <v>622.65</v>
      </c>
      <c r="CU7" s="98">
        <f>SUM(CI7:CT7)</f>
        <v>7115.9999999999991</v>
      </c>
      <c r="CW7" s="98">
        <v>769.27499999999998</v>
      </c>
      <c r="CX7" s="98">
        <v>598.32500000000005</v>
      </c>
      <c r="CY7" s="98">
        <v>854.75</v>
      </c>
      <c r="CZ7" s="98">
        <v>940.22500000000002</v>
      </c>
      <c r="DA7" s="98">
        <v>939.07</v>
      </c>
      <c r="DB7" s="98">
        <v>902.77</v>
      </c>
      <c r="DC7" s="98">
        <v>902.77</v>
      </c>
      <c r="DD7" s="98">
        <v>902.77</v>
      </c>
      <c r="DE7" s="98">
        <v>902.77</v>
      </c>
      <c r="DF7" s="98">
        <v>902.77</v>
      </c>
      <c r="DG7" s="98">
        <v>902.77</v>
      </c>
      <c r="DH7" s="98">
        <v>902.77</v>
      </c>
      <c r="DI7" s="98">
        <f>SUM(CW7:DH7)</f>
        <v>10421.035000000002</v>
      </c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>
        <f>SUM(DK7:DV7)</f>
        <v>0</v>
      </c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>
        <f>SUM(DY7:EJ7)</f>
        <v>0</v>
      </c>
    </row>
    <row r="8" spans="1:141" s="97" customFormat="1" outlineLevel="1">
      <c r="A8" s="99" t="s">
        <v>75</v>
      </c>
      <c r="B8" s="100" t="s">
        <v>3</v>
      </c>
      <c r="C8" s="303">
        <f t="shared" si="10"/>
        <v>0</v>
      </c>
      <c r="D8" s="98">
        <f t="shared" si="10"/>
        <v>0</v>
      </c>
      <c r="E8" s="98">
        <f t="shared" si="10"/>
        <v>0</v>
      </c>
      <c r="F8" s="98">
        <f t="shared" si="10"/>
        <v>0</v>
      </c>
      <c r="G8" s="98">
        <f t="shared" si="10"/>
        <v>0</v>
      </c>
      <c r="H8" s="98">
        <f t="shared" si="10"/>
        <v>0</v>
      </c>
      <c r="I8" s="98">
        <f t="shared" si="10"/>
        <v>0</v>
      </c>
      <c r="J8" s="98">
        <f t="shared" si="10"/>
        <v>0</v>
      </c>
      <c r="K8" s="98">
        <f t="shared" si="10"/>
        <v>0</v>
      </c>
      <c r="L8" s="98">
        <f t="shared" si="10"/>
        <v>0</v>
      </c>
      <c r="M8" s="98">
        <f t="shared" si="10"/>
        <v>0</v>
      </c>
      <c r="N8" s="98">
        <f t="shared" si="10"/>
        <v>0</v>
      </c>
      <c r="O8" s="304">
        <f>SUM(C8:N8)</f>
        <v>0</v>
      </c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>
        <f>SUM(Q8:AB8)</f>
        <v>0</v>
      </c>
      <c r="AE8" s="305">
        <f t="shared" si="11"/>
        <v>0</v>
      </c>
      <c r="AF8" s="98">
        <f t="shared" si="11"/>
        <v>0</v>
      </c>
      <c r="AG8" s="98">
        <f t="shared" si="11"/>
        <v>0</v>
      </c>
      <c r="AH8" s="98">
        <f t="shared" si="11"/>
        <v>0</v>
      </c>
      <c r="AI8" s="98">
        <f t="shared" si="11"/>
        <v>0</v>
      </c>
      <c r="AJ8" s="98">
        <f t="shared" si="11"/>
        <v>0</v>
      </c>
      <c r="AK8" s="98">
        <f t="shared" si="11"/>
        <v>0</v>
      </c>
      <c r="AL8" s="98">
        <f t="shared" si="11"/>
        <v>0</v>
      </c>
      <c r="AM8" s="98">
        <f t="shared" si="11"/>
        <v>0</v>
      </c>
      <c r="AN8" s="98">
        <f t="shared" si="11"/>
        <v>0</v>
      </c>
      <c r="AO8" s="98">
        <f t="shared" si="11"/>
        <v>0</v>
      </c>
      <c r="AP8" s="98">
        <f t="shared" si="11"/>
        <v>0</v>
      </c>
      <c r="AQ8" s="306">
        <f>SUM(AE8:AP8)</f>
        <v>0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>
        <f>SUM(AS8:BD8)</f>
        <v>0</v>
      </c>
      <c r="BG8" s="98">
        <f t="shared" si="12"/>
        <v>0</v>
      </c>
      <c r="BH8" s="98">
        <f t="shared" si="12"/>
        <v>0</v>
      </c>
      <c r="BI8" s="98">
        <f t="shared" si="12"/>
        <v>0</v>
      </c>
      <c r="BJ8" s="98">
        <f t="shared" si="12"/>
        <v>0</v>
      </c>
      <c r="BK8" s="98">
        <f t="shared" si="12"/>
        <v>0</v>
      </c>
      <c r="BL8" s="98">
        <f t="shared" si="12"/>
        <v>0</v>
      </c>
      <c r="BM8" s="98">
        <f t="shared" si="12"/>
        <v>0</v>
      </c>
      <c r="BN8" s="98">
        <f t="shared" si="12"/>
        <v>0</v>
      </c>
      <c r="BO8" s="98">
        <f t="shared" si="12"/>
        <v>0</v>
      </c>
      <c r="BP8" s="98">
        <f t="shared" si="12"/>
        <v>0</v>
      </c>
      <c r="BQ8" s="98">
        <f t="shared" si="12"/>
        <v>0</v>
      </c>
      <c r="BR8" s="98">
        <f t="shared" si="12"/>
        <v>0</v>
      </c>
      <c r="BS8" s="98">
        <f>SUM(BG8:BR8)</f>
        <v>0</v>
      </c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>
        <f>SUM(BU8:CF8)</f>
        <v>0</v>
      </c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>
        <f>SUM(CI8:CT8)</f>
        <v>0</v>
      </c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>
        <f>SUM(CW8:DH8)</f>
        <v>0</v>
      </c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>
        <f>SUM(DK8:DV8)</f>
        <v>0</v>
      </c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>
        <f>SUM(DY8:EJ8)</f>
        <v>0</v>
      </c>
    </row>
    <row r="9" spans="1:141" s="49" customFormat="1" ht="15">
      <c r="A9" s="34">
        <v>2</v>
      </c>
      <c r="B9" s="35" t="s">
        <v>20</v>
      </c>
      <c r="C9" s="307">
        <f t="shared" ref="C9:O9" si="14">SUM(C10:C12)</f>
        <v>129505341136.8568</v>
      </c>
      <c r="D9" s="93">
        <f t="shared" si="14"/>
        <v>127974441177.86678</v>
      </c>
      <c r="E9" s="93">
        <f t="shared" si="14"/>
        <v>141599491827.82724</v>
      </c>
      <c r="F9" s="93">
        <f t="shared" si="14"/>
        <v>131782266518.60179</v>
      </c>
      <c r="G9" s="93">
        <f t="shared" si="14"/>
        <v>140244307484.73706</v>
      </c>
      <c r="H9" s="93">
        <f t="shared" si="14"/>
        <v>141409300219.24365</v>
      </c>
      <c r="I9" s="93">
        <f t="shared" si="14"/>
        <v>145404057387.95996</v>
      </c>
      <c r="J9" s="93">
        <f t="shared" si="14"/>
        <v>141276361518.14462</v>
      </c>
      <c r="K9" s="93">
        <f t="shared" si="14"/>
        <v>148196499542.28259</v>
      </c>
      <c r="L9" s="93">
        <f t="shared" si="14"/>
        <v>137984481243.16364</v>
      </c>
      <c r="M9" s="93">
        <f t="shared" si="14"/>
        <v>145929060338.8269</v>
      </c>
      <c r="N9" s="93">
        <f t="shared" si="14"/>
        <v>147442013746.17145</v>
      </c>
      <c r="O9" s="308">
        <f t="shared" si="14"/>
        <v>1678747622141.6824</v>
      </c>
      <c r="Q9" s="93">
        <f t="shared" ref="Q9:AC9" si="15">SUM(Q10:Q12)</f>
        <v>-30204664500</v>
      </c>
      <c r="R9" s="93">
        <f t="shared" si="15"/>
        <v>-21944360000</v>
      </c>
      <c r="S9" s="93">
        <f t="shared" si="15"/>
        <v>-35315047250</v>
      </c>
      <c r="T9" s="93">
        <f t="shared" si="15"/>
        <v>-38773623125</v>
      </c>
      <c r="U9" s="93">
        <f t="shared" si="15"/>
        <v>-38756394375</v>
      </c>
      <c r="V9" s="93">
        <f t="shared" si="15"/>
        <v>-39491807000</v>
      </c>
      <c r="W9" s="93">
        <f t="shared" si="15"/>
        <v>-40136084625</v>
      </c>
      <c r="X9" s="93">
        <f t="shared" si="15"/>
        <v>-39491807000</v>
      </c>
      <c r="Y9" s="93">
        <f t="shared" si="15"/>
        <v>-38203251750</v>
      </c>
      <c r="Z9" s="93">
        <f t="shared" si="15"/>
        <v>-40136084625</v>
      </c>
      <c r="AA9" s="93">
        <f t="shared" si="15"/>
        <v>-38847529375</v>
      </c>
      <c r="AB9" s="93">
        <f t="shared" si="15"/>
        <v>-40136084625</v>
      </c>
      <c r="AC9" s="93">
        <f t="shared" si="15"/>
        <v>-441436738250</v>
      </c>
      <c r="AE9" s="309">
        <f t="shared" ref="AE9:AQ9" si="16">SUM(AE10:AE12)</f>
        <v>159710005636.85681</v>
      </c>
      <c r="AF9" s="93">
        <f t="shared" si="16"/>
        <v>149918801177.86676</v>
      </c>
      <c r="AG9" s="93">
        <f t="shared" si="16"/>
        <v>176914539077.82724</v>
      </c>
      <c r="AH9" s="93">
        <f t="shared" si="16"/>
        <v>170555889643.60181</v>
      </c>
      <c r="AI9" s="93">
        <f t="shared" si="16"/>
        <v>179000701859.73706</v>
      </c>
      <c r="AJ9" s="93">
        <f t="shared" si="16"/>
        <v>180901107219.24365</v>
      </c>
      <c r="AK9" s="93">
        <f t="shared" si="16"/>
        <v>185540142012.95996</v>
      </c>
      <c r="AL9" s="93">
        <f t="shared" si="16"/>
        <v>180768168518.14462</v>
      </c>
      <c r="AM9" s="93">
        <f t="shared" si="16"/>
        <v>186399751292.28259</v>
      </c>
      <c r="AN9" s="93">
        <f t="shared" si="16"/>
        <v>178120565868.16364</v>
      </c>
      <c r="AO9" s="93">
        <f t="shared" si="16"/>
        <v>184776589713.8269</v>
      </c>
      <c r="AP9" s="93">
        <f t="shared" si="16"/>
        <v>187578098371.17145</v>
      </c>
      <c r="AQ9" s="310">
        <f t="shared" si="16"/>
        <v>2120184360391.6824</v>
      </c>
      <c r="AS9" s="93">
        <f t="shared" ref="AS9:BE9" si="17">SUM(AS10:AS12)</f>
        <v>129505341136.8568</v>
      </c>
      <c r="AT9" s="93">
        <f t="shared" si="17"/>
        <v>127974441177.86678</v>
      </c>
      <c r="AU9" s="93">
        <f t="shared" si="17"/>
        <v>141599491827.82724</v>
      </c>
      <c r="AV9" s="93">
        <f t="shared" si="17"/>
        <v>131782266518.60179</v>
      </c>
      <c r="AW9" s="93">
        <f t="shared" si="17"/>
        <v>140244307484.73706</v>
      </c>
      <c r="AX9" s="93">
        <f t="shared" si="17"/>
        <v>141409300219.24365</v>
      </c>
      <c r="AY9" s="93">
        <f t="shared" si="17"/>
        <v>145404057387.95996</v>
      </c>
      <c r="AZ9" s="93">
        <f t="shared" si="17"/>
        <v>141276361518.14462</v>
      </c>
      <c r="BA9" s="93">
        <f t="shared" si="17"/>
        <v>148196499542.28259</v>
      </c>
      <c r="BB9" s="93">
        <f t="shared" si="17"/>
        <v>137984481243.16364</v>
      </c>
      <c r="BC9" s="93">
        <f t="shared" si="17"/>
        <v>145929060338.8269</v>
      </c>
      <c r="BD9" s="93">
        <f t="shared" si="17"/>
        <v>147442013746.17145</v>
      </c>
      <c r="BE9" s="93">
        <f t="shared" si="17"/>
        <v>1678747622141.6824</v>
      </c>
      <c r="BG9" s="93">
        <f t="shared" ref="BG9:BS9" si="18">SUM(BG10:BG12)</f>
        <v>30204664500</v>
      </c>
      <c r="BH9" s="93">
        <f t="shared" si="18"/>
        <v>21944360000</v>
      </c>
      <c r="BI9" s="93">
        <f t="shared" si="18"/>
        <v>35315047250</v>
      </c>
      <c r="BJ9" s="93">
        <f t="shared" si="18"/>
        <v>38773623125</v>
      </c>
      <c r="BK9" s="93">
        <f t="shared" si="18"/>
        <v>38756394375</v>
      </c>
      <c r="BL9" s="93">
        <f t="shared" si="18"/>
        <v>39491807000</v>
      </c>
      <c r="BM9" s="93">
        <f t="shared" si="18"/>
        <v>40136084625</v>
      </c>
      <c r="BN9" s="93">
        <f t="shared" si="18"/>
        <v>39491807000</v>
      </c>
      <c r="BO9" s="93">
        <f t="shared" si="18"/>
        <v>38203251750</v>
      </c>
      <c r="BP9" s="93">
        <f t="shared" si="18"/>
        <v>40136084625</v>
      </c>
      <c r="BQ9" s="93">
        <f t="shared" si="18"/>
        <v>38847529375</v>
      </c>
      <c r="BR9" s="93">
        <f t="shared" si="18"/>
        <v>40136084625</v>
      </c>
      <c r="BS9" s="93">
        <f t="shared" si="18"/>
        <v>441436738250</v>
      </c>
      <c r="BU9" s="93">
        <f t="shared" ref="BU9:CG9" si="19">SUM(BU10:BU12)</f>
        <v>11319672000</v>
      </c>
      <c r="BV9" s="93">
        <f t="shared" si="19"/>
        <v>7463520000</v>
      </c>
      <c r="BW9" s="93">
        <f t="shared" si="19"/>
        <v>14539209750</v>
      </c>
      <c r="BX9" s="93">
        <f t="shared" si="19"/>
        <v>16106940625</v>
      </c>
      <c r="BY9" s="93">
        <f t="shared" si="19"/>
        <v>16106940625</v>
      </c>
      <c r="BZ9" s="93">
        <f t="shared" si="19"/>
        <v>16751218250</v>
      </c>
      <c r="CA9" s="93">
        <f t="shared" si="19"/>
        <v>17395495875</v>
      </c>
      <c r="CB9" s="93">
        <f t="shared" si="19"/>
        <v>16751218250</v>
      </c>
      <c r="CC9" s="93">
        <f t="shared" si="19"/>
        <v>15462663000</v>
      </c>
      <c r="CD9" s="93">
        <f t="shared" si="19"/>
        <v>17395495875</v>
      </c>
      <c r="CE9" s="93">
        <f t="shared" si="19"/>
        <v>16106940625</v>
      </c>
      <c r="CF9" s="93">
        <f t="shared" si="19"/>
        <v>17395495875</v>
      </c>
      <c r="CG9" s="93">
        <f t="shared" si="19"/>
        <v>182794810750</v>
      </c>
      <c r="CI9" s="93">
        <f t="shared" ref="CI9:CU9" si="20">SUM(CI10:CI12)</f>
        <v>7469550000</v>
      </c>
      <c r="CJ9" s="93">
        <f t="shared" si="20"/>
        <v>5602162500</v>
      </c>
      <c r="CK9" s="93">
        <f t="shared" si="20"/>
        <v>8092012500</v>
      </c>
      <c r="CL9" s="93">
        <f t="shared" si="20"/>
        <v>8714475000</v>
      </c>
      <c r="CM9" s="93">
        <f t="shared" si="20"/>
        <v>8714475000</v>
      </c>
      <c r="CN9" s="93">
        <f t="shared" si="20"/>
        <v>8714475000</v>
      </c>
      <c r="CO9" s="93">
        <f t="shared" si="20"/>
        <v>8714475000</v>
      </c>
      <c r="CP9" s="93">
        <f t="shared" si="20"/>
        <v>8714475000</v>
      </c>
      <c r="CQ9" s="93">
        <f t="shared" si="20"/>
        <v>8714475000</v>
      </c>
      <c r="CR9" s="93">
        <f t="shared" si="20"/>
        <v>8714475000</v>
      </c>
      <c r="CS9" s="93">
        <f t="shared" si="20"/>
        <v>8714475000</v>
      </c>
      <c r="CT9" s="93">
        <f t="shared" si="20"/>
        <v>8714475000</v>
      </c>
      <c r="CU9" s="93">
        <f t="shared" si="20"/>
        <v>99594000000</v>
      </c>
      <c r="CW9" s="93">
        <f t="shared" ref="CW9:DI9" si="21">SUM(CW10:CW12)</f>
        <v>11415442500</v>
      </c>
      <c r="CX9" s="93">
        <f t="shared" si="21"/>
        <v>8878677500</v>
      </c>
      <c r="CY9" s="93">
        <f t="shared" si="21"/>
        <v>12683825000</v>
      </c>
      <c r="CZ9" s="93">
        <f t="shared" si="21"/>
        <v>13952207500</v>
      </c>
      <c r="DA9" s="93">
        <f t="shared" si="21"/>
        <v>13934978750</v>
      </c>
      <c r="DB9" s="93">
        <f t="shared" si="21"/>
        <v>14026113750</v>
      </c>
      <c r="DC9" s="93">
        <f t="shared" si="21"/>
        <v>14026113750</v>
      </c>
      <c r="DD9" s="93">
        <f t="shared" si="21"/>
        <v>14026113750</v>
      </c>
      <c r="DE9" s="93">
        <f t="shared" si="21"/>
        <v>14026113750</v>
      </c>
      <c r="DF9" s="93">
        <f t="shared" si="21"/>
        <v>14026113750</v>
      </c>
      <c r="DG9" s="93">
        <f t="shared" si="21"/>
        <v>14026113750</v>
      </c>
      <c r="DH9" s="93">
        <f t="shared" si="21"/>
        <v>14026113750</v>
      </c>
      <c r="DI9" s="93">
        <f t="shared" si="21"/>
        <v>159047927500</v>
      </c>
      <c r="DK9" s="93">
        <f t="shared" ref="DK9:DW9" si="22">SUM(DK10:DK12)</f>
        <v>0</v>
      </c>
      <c r="DL9" s="93">
        <f t="shared" si="22"/>
        <v>0</v>
      </c>
      <c r="DM9" s="93">
        <f t="shared" si="22"/>
        <v>0</v>
      </c>
      <c r="DN9" s="93">
        <f t="shared" si="22"/>
        <v>0</v>
      </c>
      <c r="DO9" s="93">
        <f t="shared" si="22"/>
        <v>0</v>
      </c>
      <c r="DP9" s="93">
        <f t="shared" si="22"/>
        <v>0</v>
      </c>
      <c r="DQ9" s="93">
        <f t="shared" si="22"/>
        <v>0</v>
      </c>
      <c r="DR9" s="93">
        <f t="shared" si="22"/>
        <v>0</v>
      </c>
      <c r="DS9" s="93">
        <f t="shared" si="22"/>
        <v>0</v>
      </c>
      <c r="DT9" s="93">
        <f t="shared" si="22"/>
        <v>0</v>
      </c>
      <c r="DU9" s="93">
        <f t="shared" si="22"/>
        <v>0</v>
      </c>
      <c r="DV9" s="93">
        <f t="shared" si="22"/>
        <v>0</v>
      </c>
      <c r="DW9" s="93">
        <f t="shared" si="22"/>
        <v>0</v>
      </c>
      <c r="DY9" s="93">
        <f t="shared" ref="DY9:EK9" si="23">SUM(DY10:DY12)</f>
        <v>0</v>
      </c>
      <c r="DZ9" s="93">
        <f t="shared" si="23"/>
        <v>0</v>
      </c>
      <c r="EA9" s="93">
        <f t="shared" si="23"/>
        <v>0</v>
      </c>
      <c r="EB9" s="93">
        <f t="shared" si="23"/>
        <v>0</v>
      </c>
      <c r="EC9" s="93">
        <f t="shared" si="23"/>
        <v>0</v>
      </c>
      <c r="ED9" s="93">
        <f t="shared" si="23"/>
        <v>0</v>
      </c>
      <c r="EE9" s="93">
        <f t="shared" si="23"/>
        <v>0</v>
      </c>
      <c r="EF9" s="93">
        <f t="shared" si="23"/>
        <v>0</v>
      </c>
      <c r="EG9" s="93">
        <f t="shared" si="23"/>
        <v>0</v>
      </c>
      <c r="EH9" s="93">
        <f t="shared" si="23"/>
        <v>0</v>
      </c>
      <c r="EI9" s="93">
        <f t="shared" si="23"/>
        <v>0</v>
      </c>
      <c r="EJ9" s="93">
        <f t="shared" si="23"/>
        <v>0</v>
      </c>
      <c r="EK9" s="93">
        <f t="shared" si="23"/>
        <v>0</v>
      </c>
    </row>
    <row r="10" spans="1:141" s="29" customFormat="1" outlineLevel="1">
      <c r="A10" s="36" t="s">
        <v>62</v>
      </c>
      <c r="B10" s="37" t="s">
        <v>1</v>
      </c>
      <c r="C10" s="311">
        <f t="shared" ref="C10:N12" si="24">Q10+AE10</f>
        <v>129505341136.8568</v>
      </c>
      <c r="D10" s="52">
        <f t="shared" si="24"/>
        <v>127974441177.86678</v>
      </c>
      <c r="E10" s="52">
        <f t="shared" si="24"/>
        <v>141599491827.82724</v>
      </c>
      <c r="F10" s="52">
        <f t="shared" si="24"/>
        <v>131782266518.60179</v>
      </c>
      <c r="G10" s="52">
        <f t="shared" si="24"/>
        <v>140244307484.73706</v>
      </c>
      <c r="H10" s="52">
        <f t="shared" si="24"/>
        <v>141409300219.24365</v>
      </c>
      <c r="I10" s="52">
        <f t="shared" si="24"/>
        <v>145404057387.95996</v>
      </c>
      <c r="J10" s="52">
        <f t="shared" si="24"/>
        <v>141276361518.14462</v>
      </c>
      <c r="K10" s="52">
        <f t="shared" si="24"/>
        <v>148196499542.28259</v>
      </c>
      <c r="L10" s="52">
        <f t="shared" si="24"/>
        <v>137984481243.16364</v>
      </c>
      <c r="M10" s="52">
        <f t="shared" si="24"/>
        <v>145929060338.8269</v>
      </c>
      <c r="N10" s="52">
        <f t="shared" si="24"/>
        <v>147442013746.17145</v>
      </c>
      <c r="O10" s="312">
        <f>SUM(C10:N10)</f>
        <v>1678747622141.6824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>
        <f>SUM(Q10:AB10)</f>
        <v>0</v>
      </c>
      <c r="AE10" s="313">
        <f t="shared" ref="AE10:AP12" si="25">AS10+BU10+CI10+CW10+DK10</f>
        <v>129505341136.8568</v>
      </c>
      <c r="AF10" s="52">
        <f t="shared" si="25"/>
        <v>127974441177.86678</v>
      </c>
      <c r="AG10" s="52">
        <f t="shared" si="25"/>
        <v>141599491827.82724</v>
      </c>
      <c r="AH10" s="52">
        <f t="shared" si="25"/>
        <v>131782266518.60179</v>
      </c>
      <c r="AI10" s="52">
        <f t="shared" si="25"/>
        <v>140244307484.73706</v>
      </c>
      <c r="AJ10" s="52">
        <f t="shared" si="25"/>
        <v>141409300219.24365</v>
      </c>
      <c r="AK10" s="52">
        <f t="shared" si="25"/>
        <v>145404057387.95996</v>
      </c>
      <c r="AL10" s="52">
        <f t="shared" si="25"/>
        <v>141276361518.14462</v>
      </c>
      <c r="AM10" s="52">
        <f t="shared" si="25"/>
        <v>148196499542.28259</v>
      </c>
      <c r="AN10" s="52">
        <f t="shared" si="25"/>
        <v>137984481243.16364</v>
      </c>
      <c r="AO10" s="52">
        <f t="shared" si="25"/>
        <v>145929060338.8269</v>
      </c>
      <c r="AP10" s="52">
        <f t="shared" si="25"/>
        <v>147442013746.17145</v>
      </c>
      <c r="AQ10" s="314">
        <f>SUM(AE10:AP10)</f>
        <v>1678747622141.6824</v>
      </c>
      <c r="AS10" s="52">
        <v>129505341136.8568</v>
      </c>
      <c r="AT10" s="52">
        <v>127974441177.86678</v>
      </c>
      <c r="AU10" s="52">
        <v>141599491827.82724</v>
      </c>
      <c r="AV10" s="52">
        <v>131782266518.60179</v>
      </c>
      <c r="AW10" s="52">
        <v>140244307484.73706</v>
      </c>
      <c r="AX10" s="52">
        <v>141409300219.24365</v>
      </c>
      <c r="AY10" s="52">
        <v>145404057387.95996</v>
      </c>
      <c r="AZ10" s="52">
        <v>141276361518.14462</v>
      </c>
      <c r="BA10" s="52">
        <v>148196499542.28259</v>
      </c>
      <c r="BB10" s="52">
        <v>137984481243.16364</v>
      </c>
      <c r="BC10" s="52">
        <v>145929060338.8269</v>
      </c>
      <c r="BD10" s="52">
        <v>147442013746.17145</v>
      </c>
      <c r="BE10" s="52">
        <f>SUM(AS10:BD10)</f>
        <v>1678747622141.6824</v>
      </c>
      <c r="BG10" s="52">
        <f t="shared" ref="BG10:BR12" si="26">BU10+CI10+CW10</f>
        <v>0</v>
      </c>
      <c r="BH10" s="52">
        <f t="shared" si="26"/>
        <v>0</v>
      </c>
      <c r="BI10" s="52">
        <f t="shared" si="26"/>
        <v>0</v>
      </c>
      <c r="BJ10" s="52">
        <f t="shared" si="26"/>
        <v>0</v>
      </c>
      <c r="BK10" s="52">
        <f t="shared" si="26"/>
        <v>0</v>
      </c>
      <c r="BL10" s="52">
        <f t="shared" si="26"/>
        <v>0</v>
      </c>
      <c r="BM10" s="52">
        <f t="shared" si="26"/>
        <v>0</v>
      </c>
      <c r="BN10" s="52">
        <f t="shared" si="26"/>
        <v>0</v>
      </c>
      <c r="BO10" s="52">
        <f t="shared" si="26"/>
        <v>0</v>
      </c>
      <c r="BP10" s="52">
        <f t="shared" si="26"/>
        <v>0</v>
      </c>
      <c r="BQ10" s="52">
        <f t="shared" si="26"/>
        <v>0</v>
      </c>
      <c r="BR10" s="52">
        <f t="shared" si="26"/>
        <v>0</v>
      </c>
      <c r="BS10" s="52">
        <f>SUM(BG10:BR10)</f>
        <v>0</v>
      </c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>
        <f>SUM(BU10:CF10)</f>
        <v>0</v>
      </c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>
        <f>SUM(CI10:CT10)</f>
        <v>0</v>
      </c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>
        <f>SUM(CW10:DH10)</f>
        <v>0</v>
      </c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>
        <f>SUM(DK10:DV10)</f>
        <v>0</v>
      </c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>
        <f>SUM(DY10:EJ10)</f>
        <v>0</v>
      </c>
    </row>
    <row r="11" spans="1:141" s="29" customFormat="1" outlineLevel="1">
      <c r="A11" s="36" t="s">
        <v>65</v>
      </c>
      <c r="B11" s="37" t="s">
        <v>2</v>
      </c>
      <c r="C11" s="311">
        <f t="shared" si="24"/>
        <v>0</v>
      </c>
      <c r="D11" s="52">
        <f t="shared" si="24"/>
        <v>0</v>
      </c>
      <c r="E11" s="52">
        <f t="shared" si="24"/>
        <v>0</v>
      </c>
      <c r="F11" s="52">
        <f t="shared" si="24"/>
        <v>0</v>
      </c>
      <c r="G11" s="52">
        <f t="shared" si="24"/>
        <v>0</v>
      </c>
      <c r="H11" s="52">
        <f t="shared" si="24"/>
        <v>0</v>
      </c>
      <c r="I11" s="52">
        <f t="shared" si="24"/>
        <v>0</v>
      </c>
      <c r="J11" s="52">
        <f t="shared" si="24"/>
        <v>0</v>
      </c>
      <c r="K11" s="52">
        <f t="shared" si="24"/>
        <v>0</v>
      </c>
      <c r="L11" s="52">
        <f t="shared" si="24"/>
        <v>0</v>
      </c>
      <c r="M11" s="52">
        <f t="shared" si="24"/>
        <v>0</v>
      </c>
      <c r="N11" s="52">
        <f t="shared" si="24"/>
        <v>0</v>
      </c>
      <c r="O11" s="312">
        <f>SUM(C11:N11)</f>
        <v>0</v>
      </c>
      <c r="Q11" s="52">
        <f t="shared" ref="Q11:AB11" si="27">-AE11</f>
        <v>-30204664500</v>
      </c>
      <c r="R11" s="52">
        <f t="shared" si="27"/>
        <v>-21944360000</v>
      </c>
      <c r="S11" s="52">
        <f t="shared" si="27"/>
        <v>-35315047250</v>
      </c>
      <c r="T11" s="52">
        <f t="shared" si="27"/>
        <v>-38773623125</v>
      </c>
      <c r="U11" s="52">
        <f t="shared" si="27"/>
        <v>-38756394375</v>
      </c>
      <c r="V11" s="52">
        <f t="shared" si="27"/>
        <v>-39491807000</v>
      </c>
      <c r="W11" s="52">
        <f t="shared" si="27"/>
        <v>-40136084625</v>
      </c>
      <c r="X11" s="52">
        <f t="shared" si="27"/>
        <v>-39491807000</v>
      </c>
      <c r="Y11" s="52">
        <f t="shared" si="27"/>
        <v>-38203251750</v>
      </c>
      <c r="Z11" s="52">
        <f t="shared" si="27"/>
        <v>-40136084625</v>
      </c>
      <c r="AA11" s="52">
        <f t="shared" si="27"/>
        <v>-38847529375</v>
      </c>
      <c r="AB11" s="52">
        <f t="shared" si="27"/>
        <v>-40136084625</v>
      </c>
      <c r="AC11" s="52">
        <f>SUM(Q11:AB11)</f>
        <v>-441436738250</v>
      </c>
      <c r="AE11" s="313">
        <f t="shared" si="25"/>
        <v>30204664500</v>
      </c>
      <c r="AF11" s="52">
        <f t="shared" si="25"/>
        <v>21944360000</v>
      </c>
      <c r="AG11" s="52">
        <f t="shared" si="25"/>
        <v>35315047250</v>
      </c>
      <c r="AH11" s="52">
        <f t="shared" si="25"/>
        <v>38773623125</v>
      </c>
      <c r="AI11" s="52">
        <f t="shared" si="25"/>
        <v>38756394375</v>
      </c>
      <c r="AJ11" s="52">
        <f t="shared" si="25"/>
        <v>39491807000</v>
      </c>
      <c r="AK11" s="52">
        <f t="shared" si="25"/>
        <v>40136084625</v>
      </c>
      <c r="AL11" s="52">
        <f t="shared" si="25"/>
        <v>39491807000</v>
      </c>
      <c r="AM11" s="52">
        <f t="shared" si="25"/>
        <v>38203251750</v>
      </c>
      <c r="AN11" s="52">
        <f t="shared" si="25"/>
        <v>40136084625</v>
      </c>
      <c r="AO11" s="52">
        <f t="shared" si="25"/>
        <v>38847529375</v>
      </c>
      <c r="AP11" s="52">
        <f t="shared" si="25"/>
        <v>40136084625</v>
      </c>
      <c r="AQ11" s="314">
        <f>SUM(AE11:AP11)</f>
        <v>441436738250</v>
      </c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>
        <f>SUM(AS11:BD11)</f>
        <v>0</v>
      </c>
      <c r="BG11" s="52">
        <f t="shared" si="26"/>
        <v>30204664500</v>
      </c>
      <c r="BH11" s="52">
        <f t="shared" si="26"/>
        <v>21944360000</v>
      </c>
      <c r="BI11" s="52">
        <f t="shared" si="26"/>
        <v>35315047250</v>
      </c>
      <c r="BJ11" s="52">
        <f t="shared" si="26"/>
        <v>38773623125</v>
      </c>
      <c r="BK11" s="52">
        <f t="shared" si="26"/>
        <v>38756394375</v>
      </c>
      <c r="BL11" s="52">
        <f t="shared" si="26"/>
        <v>39491807000</v>
      </c>
      <c r="BM11" s="52">
        <f t="shared" si="26"/>
        <v>40136084625</v>
      </c>
      <c r="BN11" s="52">
        <f t="shared" si="26"/>
        <v>39491807000</v>
      </c>
      <c r="BO11" s="52">
        <f t="shared" si="26"/>
        <v>38203251750</v>
      </c>
      <c r="BP11" s="52">
        <f t="shared" si="26"/>
        <v>40136084625</v>
      </c>
      <c r="BQ11" s="52">
        <f t="shared" si="26"/>
        <v>38847529375</v>
      </c>
      <c r="BR11" s="52">
        <f t="shared" si="26"/>
        <v>40136084625</v>
      </c>
      <c r="BS11" s="52">
        <f>SUM(BG11:BR11)</f>
        <v>441436738250</v>
      </c>
      <c r="BU11" s="52">
        <v>11319672000</v>
      </c>
      <c r="BV11" s="52">
        <v>7463520000</v>
      </c>
      <c r="BW11" s="52">
        <v>14539209750</v>
      </c>
      <c r="BX11" s="52">
        <v>16106940625</v>
      </c>
      <c r="BY11" s="52">
        <v>16106940625</v>
      </c>
      <c r="BZ11" s="52">
        <v>16751218250</v>
      </c>
      <c r="CA11" s="52">
        <v>17395495875</v>
      </c>
      <c r="CB11" s="52">
        <v>16751218250</v>
      </c>
      <c r="CC11" s="52">
        <v>15462663000</v>
      </c>
      <c r="CD11" s="52">
        <v>17395495875</v>
      </c>
      <c r="CE11" s="52">
        <v>16106940625</v>
      </c>
      <c r="CF11" s="52">
        <v>17395495875</v>
      </c>
      <c r="CG11" s="52">
        <f>SUM(BU11:CF11)</f>
        <v>182794810750</v>
      </c>
      <c r="CI11" s="52">
        <v>7469550000</v>
      </c>
      <c r="CJ11" s="52">
        <v>5602162500</v>
      </c>
      <c r="CK11" s="52">
        <v>8092012500</v>
      </c>
      <c r="CL11" s="52">
        <v>8714475000</v>
      </c>
      <c r="CM11" s="52">
        <v>8714475000</v>
      </c>
      <c r="CN11" s="52">
        <v>8714475000</v>
      </c>
      <c r="CO11" s="52">
        <v>8714475000</v>
      </c>
      <c r="CP11" s="52">
        <v>8714475000</v>
      </c>
      <c r="CQ11" s="52">
        <v>8714475000</v>
      </c>
      <c r="CR11" s="52">
        <v>8714475000</v>
      </c>
      <c r="CS11" s="52">
        <v>8714475000</v>
      </c>
      <c r="CT11" s="52">
        <v>8714475000</v>
      </c>
      <c r="CU11" s="52">
        <f>SUM(CI11:CT11)</f>
        <v>99594000000</v>
      </c>
      <c r="CW11" s="52">
        <v>11415442500</v>
      </c>
      <c r="CX11" s="52">
        <v>8878677500</v>
      </c>
      <c r="CY11" s="52">
        <v>12683825000</v>
      </c>
      <c r="CZ11" s="52">
        <v>13952207500</v>
      </c>
      <c r="DA11" s="52">
        <v>13934978750</v>
      </c>
      <c r="DB11" s="52">
        <v>14026113750</v>
      </c>
      <c r="DC11" s="52">
        <v>14026113750</v>
      </c>
      <c r="DD11" s="52">
        <v>14026113750</v>
      </c>
      <c r="DE11" s="52">
        <v>14026113750</v>
      </c>
      <c r="DF11" s="52">
        <v>14026113750</v>
      </c>
      <c r="DG11" s="52">
        <v>14026113750</v>
      </c>
      <c r="DH11" s="52">
        <v>14026113750</v>
      </c>
      <c r="DI11" s="52">
        <f>SUM(CW11:DH11)</f>
        <v>159047927500</v>
      </c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>
        <f>SUM(DK11:DV11)</f>
        <v>0</v>
      </c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>
        <f>SUM(DY11:EJ11)</f>
        <v>0</v>
      </c>
    </row>
    <row r="12" spans="1:141" s="29" customFormat="1" outlineLevel="1">
      <c r="A12" s="36" t="s">
        <v>71</v>
      </c>
      <c r="B12" s="37" t="s">
        <v>3</v>
      </c>
      <c r="C12" s="311">
        <f t="shared" si="24"/>
        <v>0</v>
      </c>
      <c r="D12" s="52">
        <f t="shared" si="24"/>
        <v>0</v>
      </c>
      <c r="E12" s="52">
        <f t="shared" si="24"/>
        <v>0</v>
      </c>
      <c r="F12" s="52">
        <f t="shared" si="24"/>
        <v>0</v>
      </c>
      <c r="G12" s="52">
        <f t="shared" si="24"/>
        <v>0</v>
      </c>
      <c r="H12" s="52">
        <f t="shared" si="24"/>
        <v>0</v>
      </c>
      <c r="I12" s="52">
        <f t="shared" si="24"/>
        <v>0</v>
      </c>
      <c r="J12" s="52">
        <f t="shared" si="24"/>
        <v>0</v>
      </c>
      <c r="K12" s="52">
        <f t="shared" si="24"/>
        <v>0</v>
      </c>
      <c r="L12" s="52">
        <f t="shared" si="24"/>
        <v>0</v>
      </c>
      <c r="M12" s="52">
        <f t="shared" si="24"/>
        <v>0</v>
      </c>
      <c r="N12" s="52">
        <f t="shared" si="24"/>
        <v>0</v>
      </c>
      <c r="O12" s="312">
        <f>SUM(C12:N12)</f>
        <v>0</v>
      </c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>
        <f>SUM(Q12:AB12)</f>
        <v>0</v>
      </c>
      <c r="AE12" s="313">
        <f t="shared" si="25"/>
        <v>0</v>
      </c>
      <c r="AF12" s="52">
        <f t="shared" si="25"/>
        <v>0</v>
      </c>
      <c r="AG12" s="52">
        <f t="shared" si="25"/>
        <v>0</v>
      </c>
      <c r="AH12" s="52">
        <f t="shared" si="25"/>
        <v>0</v>
      </c>
      <c r="AI12" s="52">
        <f t="shared" si="25"/>
        <v>0</v>
      </c>
      <c r="AJ12" s="52">
        <f t="shared" si="25"/>
        <v>0</v>
      </c>
      <c r="AK12" s="52">
        <f t="shared" si="25"/>
        <v>0</v>
      </c>
      <c r="AL12" s="52">
        <f t="shared" si="25"/>
        <v>0</v>
      </c>
      <c r="AM12" s="52">
        <f t="shared" si="25"/>
        <v>0</v>
      </c>
      <c r="AN12" s="52">
        <f t="shared" si="25"/>
        <v>0</v>
      </c>
      <c r="AO12" s="52">
        <f t="shared" si="25"/>
        <v>0</v>
      </c>
      <c r="AP12" s="52">
        <f t="shared" si="25"/>
        <v>0</v>
      </c>
      <c r="AQ12" s="314">
        <f>SUM(AE12:AP12)</f>
        <v>0</v>
      </c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>
        <f>SUM(AS12:BD12)</f>
        <v>0</v>
      </c>
      <c r="BG12" s="52">
        <f t="shared" si="26"/>
        <v>0</v>
      </c>
      <c r="BH12" s="52">
        <f t="shared" si="26"/>
        <v>0</v>
      </c>
      <c r="BI12" s="52">
        <f t="shared" si="26"/>
        <v>0</v>
      </c>
      <c r="BJ12" s="52">
        <f t="shared" si="26"/>
        <v>0</v>
      </c>
      <c r="BK12" s="52">
        <f t="shared" si="26"/>
        <v>0</v>
      </c>
      <c r="BL12" s="52">
        <f t="shared" si="26"/>
        <v>0</v>
      </c>
      <c r="BM12" s="52">
        <f t="shared" si="26"/>
        <v>0</v>
      </c>
      <c r="BN12" s="52">
        <f t="shared" si="26"/>
        <v>0</v>
      </c>
      <c r="BO12" s="52">
        <f t="shared" si="26"/>
        <v>0</v>
      </c>
      <c r="BP12" s="52">
        <f t="shared" si="26"/>
        <v>0</v>
      </c>
      <c r="BQ12" s="52">
        <f t="shared" si="26"/>
        <v>0</v>
      </c>
      <c r="BR12" s="52">
        <f t="shared" si="26"/>
        <v>0</v>
      </c>
      <c r="BS12" s="52">
        <f>SUM(BG12:BR12)</f>
        <v>0</v>
      </c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>
        <f>SUM(BU12:CF12)</f>
        <v>0</v>
      </c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>
        <f>SUM(CI12:CT12)</f>
        <v>0</v>
      </c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>
        <f>SUM(CW12:DH12)</f>
        <v>0</v>
      </c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>
        <f>SUM(DK12:DV12)</f>
        <v>0</v>
      </c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>
        <f>SUM(DY12:EJ12)</f>
        <v>0</v>
      </c>
    </row>
    <row r="13" spans="1:141" s="51" customFormat="1">
      <c r="A13" s="50">
        <v>3</v>
      </c>
      <c r="B13" s="91" t="s">
        <v>21</v>
      </c>
      <c r="C13" s="315">
        <f t="shared" ref="C13:O13" si="28">SUM(C14:C16)</f>
        <v>0</v>
      </c>
      <c r="D13" s="92">
        <f t="shared" si="28"/>
        <v>0</v>
      </c>
      <c r="E13" s="92">
        <f t="shared" si="28"/>
        <v>0</v>
      </c>
      <c r="F13" s="92">
        <f t="shared" si="28"/>
        <v>0</v>
      </c>
      <c r="G13" s="92">
        <f t="shared" si="28"/>
        <v>0</v>
      </c>
      <c r="H13" s="92">
        <f t="shared" si="28"/>
        <v>0</v>
      </c>
      <c r="I13" s="92">
        <f t="shared" si="28"/>
        <v>0</v>
      </c>
      <c r="J13" s="92">
        <f t="shared" si="28"/>
        <v>0</v>
      </c>
      <c r="K13" s="92">
        <f t="shared" si="28"/>
        <v>0</v>
      </c>
      <c r="L13" s="92">
        <f t="shared" si="28"/>
        <v>0</v>
      </c>
      <c r="M13" s="92">
        <f t="shared" si="28"/>
        <v>0</v>
      </c>
      <c r="N13" s="92">
        <f t="shared" si="28"/>
        <v>0</v>
      </c>
      <c r="O13" s="316">
        <f t="shared" si="28"/>
        <v>0</v>
      </c>
      <c r="Q13" s="92">
        <f t="shared" ref="Q13:AC13" si="29">SUM(Q14:Q16)</f>
        <v>0</v>
      </c>
      <c r="R13" s="92">
        <f t="shared" si="29"/>
        <v>0</v>
      </c>
      <c r="S13" s="92">
        <f t="shared" si="29"/>
        <v>0</v>
      </c>
      <c r="T13" s="92">
        <f t="shared" si="29"/>
        <v>0</v>
      </c>
      <c r="U13" s="92">
        <f t="shared" si="29"/>
        <v>0</v>
      </c>
      <c r="V13" s="92">
        <f t="shared" si="29"/>
        <v>0</v>
      </c>
      <c r="W13" s="92">
        <f t="shared" si="29"/>
        <v>0</v>
      </c>
      <c r="X13" s="92">
        <f t="shared" si="29"/>
        <v>0</v>
      </c>
      <c r="Y13" s="92">
        <f t="shared" si="29"/>
        <v>0</v>
      </c>
      <c r="Z13" s="92">
        <f t="shared" si="29"/>
        <v>0</v>
      </c>
      <c r="AA13" s="92">
        <f t="shared" si="29"/>
        <v>0</v>
      </c>
      <c r="AB13" s="92">
        <f t="shared" si="29"/>
        <v>0</v>
      </c>
      <c r="AC13" s="92">
        <f t="shared" si="29"/>
        <v>0</v>
      </c>
      <c r="AE13" s="317">
        <f t="shared" ref="AE13:AQ13" si="30">SUM(AE14:AE16)</f>
        <v>0</v>
      </c>
      <c r="AF13" s="92">
        <f t="shared" si="30"/>
        <v>0</v>
      </c>
      <c r="AG13" s="92">
        <f t="shared" si="30"/>
        <v>0</v>
      </c>
      <c r="AH13" s="92">
        <f t="shared" si="30"/>
        <v>0</v>
      </c>
      <c r="AI13" s="92">
        <f t="shared" si="30"/>
        <v>0</v>
      </c>
      <c r="AJ13" s="92">
        <f t="shared" si="30"/>
        <v>0</v>
      </c>
      <c r="AK13" s="92">
        <f t="shared" si="30"/>
        <v>0</v>
      </c>
      <c r="AL13" s="92">
        <f t="shared" si="30"/>
        <v>0</v>
      </c>
      <c r="AM13" s="92">
        <f t="shared" si="30"/>
        <v>0</v>
      </c>
      <c r="AN13" s="92">
        <f t="shared" si="30"/>
        <v>0</v>
      </c>
      <c r="AO13" s="92">
        <f t="shared" si="30"/>
        <v>0</v>
      </c>
      <c r="AP13" s="92">
        <f t="shared" si="30"/>
        <v>0</v>
      </c>
      <c r="AQ13" s="318">
        <f t="shared" si="30"/>
        <v>0</v>
      </c>
      <c r="AS13" s="92">
        <f t="shared" ref="AS13:BE13" si="31">SUM(AS14:AS16)</f>
        <v>0</v>
      </c>
      <c r="AT13" s="92">
        <f t="shared" si="31"/>
        <v>0</v>
      </c>
      <c r="AU13" s="92">
        <f t="shared" si="31"/>
        <v>0</v>
      </c>
      <c r="AV13" s="92">
        <f t="shared" si="31"/>
        <v>0</v>
      </c>
      <c r="AW13" s="92">
        <f t="shared" si="31"/>
        <v>0</v>
      </c>
      <c r="AX13" s="92">
        <f t="shared" si="31"/>
        <v>0</v>
      </c>
      <c r="AY13" s="92">
        <f t="shared" si="31"/>
        <v>0</v>
      </c>
      <c r="AZ13" s="92">
        <f t="shared" si="31"/>
        <v>0</v>
      </c>
      <c r="BA13" s="92">
        <f t="shared" si="31"/>
        <v>0</v>
      </c>
      <c r="BB13" s="92">
        <f t="shared" si="31"/>
        <v>0</v>
      </c>
      <c r="BC13" s="92">
        <f t="shared" si="31"/>
        <v>0</v>
      </c>
      <c r="BD13" s="92">
        <f t="shared" si="31"/>
        <v>0</v>
      </c>
      <c r="BE13" s="92">
        <f t="shared" si="31"/>
        <v>0</v>
      </c>
      <c r="BG13" s="92">
        <f t="shared" ref="BG13:BS13" si="32">SUM(BG14:BG16)</f>
        <v>0</v>
      </c>
      <c r="BH13" s="92">
        <f t="shared" si="32"/>
        <v>0</v>
      </c>
      <c r="BI13" s="92">
        <f t="shared" si="32"/>
        <v>0</v>
      </c>
      <c r="BJ13" s="92">
        <f t="shared" si="32"/>
        <v>0</v>
      </c>
      <c r="BK13" s="92">
        <f t="shared" si="32"/>
        <v>0</v>
      </c>
      <c r="BL13" s="92">
        <f t="shared" si="32"/>
        <v>0</v>
      </c>
      <c r="BM13" s="92">
        <f t="shared" si="32"/>
        <v>0</v>
      </c>
      <c r="BN13" s="92">
        <f t="shared" si="32"/>
        <v>0</v>
      </c>
      <c r="BO13" s="92">
        <f t="shared" si="32"/>
        <v>0</v>
      </c>
      <c r="BP13" s="92">
        <f t="shared" si="32"/>
        <v>0</v>
      </c>
      <c r="BQ13" s="92">
        <f t="shared" si="32"/>
        <v>0</v>
      </c>
      <c r="BR13" s="92">
        <f t="shared" si="32"/>
        <v>0</v>
      </c>
      <c r="BS13" s="92">
        <f t="shared" si="32"/>
        <v>0</v>
      </c>
      <c r="BU13" s="92">
        <f t="shared" ref="BU13:CG13" si="33">SUM(BU14:BU16)</f>
        <v>0</v>
      </c>
      <c r="BV13" s="92">
        <f t="shared" si="33"/>
        <v>0</v>
      </c>
      <c r="BW13" s="92">
        <f t="shared" si="33"/>
        <v>0</v>
      </c>
      <c r="BX13" s="92">
        <f t="shared" si="33"/>
        <v>0</v>
      </c>
      <c r="BY13" s="92">
        <f t="shared" si="33"/>
        <v>0</v>
      </c>
      <c r="BZ13" s="92">
        <f t="shared" si="33"/>
        <v>0</v>
      </c>
      <c r="CA13" s="92">
        <f t="shared" si="33"/>
        <v>0</v>
      </c>
      <c r="CB13" s="92">
        <f t="shared" si="33"/>
        <v>0</v>
      </c>
      <c r="CC13" s="92">
        <f t="shared" si="33"/>
        <v>0</v>
      </c>
      <c r="CD13" s="92">
        <f t="shared" si="33"/>
        <v>0</v>
      </c>
      <c r="CE13" s="92">
        <f t="shared" si="33"/>
        <v>0</v>
      </c>
      <c r="CF13" s="92">
        <f t="shared" si="33"/>
        <v>0</v>
      </c>
      <c r="CG13" s="92">
        <f t="shared" si="33"/>
        <v>0</v>
      </c>
      <c r="CI13" s="92">
        <f t="shared" ref="CI13:CU13" si="34">SUM(CI14:CI16)</f>
        <v>0</v>
      </c>
      <c r="CJ13" s="92">
        <f t="shared" si="34"/>
        <v>0</v>
      </c>
      <c r="CK13" s="92">
        <f t="shared" si="34"/>
        <v>0</v>
      </c>
      <c r="CL13" s="92">
        <f t="shared" si="34"/>
        <v>0</v>
      </c>
      <c r="CM13" s="92">
        <f t="shared" si="34"/>
        <v>0</v>
      </c>
      <c r="CN13" s="92">
        <f t="shared" si="34"/>
        <v>0</v>
      </c>
      <c r="CO13" s="92">
        <f t="shared" si="34"/>
        <v>0</v>
      </c>
      <c r="CP13" s="92">
        <f t="shared" si="34"/>
        <v>0</v>
      </c>
      <c r="CQ13" s="92">
        <f t="shared" si="34"/>
        <v>0</v>
      </c>
      <c r="CR13" s="92">
        <f t="shared" si="34"/>
        <v>0</v>
      </c>
      <c r="CS13" s="92">
        <f t="shared" si="34"/>
        <v>0</v>
      </c>
      <c r="CT13" s="92">
        <f t="shared" si="34"/>
        <v>0</v>
      </c>
      <c r="CU13" s="92">
        <f t="shared" si="34"/>
        <v>0</v>
      </c>
      <c r="CW13" s="92">
        <f t="shared" ref="CW13:DI13" si="35">SUM(CW14:CW16)</f>
        <v>0</v>
      </c>
      <c r="CX13" s="92">
        <f t="shared" si="35"/>
        <v>0</v>
      </c>
      <c r="CY13" s="92">
        <f t="shared" si="35"/>
        <v>0</v>
      </c>
      <c r="CZ13" s="92">
        <f t="shared" si="35"/>
        <v>0</v>
      </c>
      <c r="DA13" s="92">
        <f t="shared" si="35"/>
        <v>0</v>
      </c>
      <c r="DB13" s="92">
        <f t="shared" si="35"/>
        <v>0</v>
      </c>
      <c r="DC13" s="92">
        <f t="shared" si="35"/>
        <v>0</v>
      </c>
      <c r="DD13" s="92">
        <f t="shared" si="35"/>
        <v>0</v>
      </c>
      <c r="DE13" s="92">
        <f t="shared" si="35"/>
        <v>0</v>
      </c>
      <c r="DF13" s="92">
        <f t="shared" si="35"/>
        <v>0</v>
      </c>
      <c r="DG13" s="92">
        <f t="shared" si="35"/>
        <v>0</v>
      </c>
      <c r="DH13" s="92">
        <f t="shared" si="35"/>
        <v>0</v>
      </c>
      <c r="DI13" s="92">
        <f t="shared" si="35"/>
        <v>0</v>
      </c>
      <c r="DK13" s="92">
        <f t="shared" ref="DK13:DW13" si="36">SUM(DK14:DK16)</f>
        <v>0</v>
      </c>
      <c r="DL13" s="92">
        <f t="shared" si="36"/>
        <v>0</v>
      </c>
      <c r="DM13" s="92">
        <f t="shared" si="36"/>
        <v>0</v>
      </c>
      <c r="DN13" s="92">
        <f t="shared" si="36"/>
        <v>0</v>
      </c>
      <c r="DO13" s="92">
        <f t="shared" si="36"/>
        <v>0</v>
      </c>
      <c r="DP13" s="92">
        <f t="shared" si="36"/>
        <v>0</v>
      </c>
      <c r="DQ13" s="92">
        <f t="shared" si="36"/>
        <v>0</v>
      </c>
      <c r="DR13" s="92">
        <f t="shared" si="36"/>
        <v>0</v>
      </c>
      <c r="DS13" s="92">
        <f t="shared" si="36"/>
        <v>0</v>
      </c>
      <c r="DT13" s="92">
        <f t="shared" si="36"/>
        <v>0</v>
      </c>
      <c r="DU13" s="92">
        <f t="shared" si="36"/>
        <v>0</v>
      </c>
      <c r="DV13" s="92">
        <f t="shared" si="36"/>
        <v>0</v>
      </c>
      <c r="DW13" s="92">
        <f t="shared" si="36"/>
        <v>0</v>
      </c>
      <c r="DY13" s="92">
        <f t="shared" ref="DY13:EK13" si="37">SUM(DY14:DY16)</f>
        <v>0</v>
      </c>
      <c r="DZ13" s="92">
        <f t="shared" si="37"/>
        <v>0</v>
      </c>
      <c r="EA13" s="92">
        <f t="shared" si="37"/>
        <v>0</v>
      </c>
      <c r="EB13" s="92">
        <f t="shared" si="37"/>
        <v>0</v>
      </c>
      <c r="EC13" s="92">
        <f t="shared" si="37"/>
        <v>0</v>
      </c>
      <c r="ED13" s="92">
        <f t="shared" si="37"/>
        <v>0</v>
      </c>
      <c r="EE13" s="92">
        <f t="shared" si="37"/>
        <v>0</v>
      </c>
      <c r="EF13" s="92">
        <f t="shared" si="37"/>
        <v>0</v>
      </c>
      <c r="EG13" s="92">
        <f t="shared" si="37"/>
        <v>0</v>
      </c>
      <c r="EH13" s="92">
        <f t="shared" si="37"/>
        <v>0</v>
      </c>
      <c r="EI13" s="92">
        <f t="shared" si="37"/>
        <v>0</v>
      </c>
      <c r="EJ13" s="92">
        <f t="shared" si="37"/>
        <v>0</v>
      </c>
      <c r="EK13" s="92">
        <f t="shared" si="37"/>
        <v>0</v>
      </c>
    </row>
    <row r="14" spans="1:141" outlineLevel="1">
      <c r="A14" s="38" t="s">
        <v>63</v>
      </c>
      <c r="B14" s="39" t="s">
        <v>1</v>
      </c>
      <c r="C14" s="319">
        <f t="shared" ref="C14:N16" si="38">Q14+AE14</f>
        <v>0</v>
      </c>
      <c r="D14" s="54">
        <f t="shared" si="38"/>
        <v>0</v>
      </c>
      <c r="E14" s="54">
        <f t="shared" si="38"/>
        <v>0</v>
      </c>
      <c r="F14" s="54">
        <f t="shared" si="38"/>
        <v>0</v>
      </c>
      <c r="G14" s="54">
        <f t="shared" si="38"/>
        <v>0</v>
      </c>
      <c r="H14" s="54">
        <f t="shared" si="38"/>
        <v>0</v>
      </c>
      <c r="I14" s="54">
        <f t="shared" si="38"/>
        <v>0</v>
      </c>
      <c r="J14" s="54">
        <f t="shared" si="38"/>
        <v>0</v>
      </c>
      <c r="K14" s="54">
        <f t="shared" si="38"/>
        <v>0</v>
      </c>
      <c r="L14" s="54">
        <f t="shared" si="38"/>
        <v>0</v>
      </c>
      <c r="M14" s="54">
        <f t="shared" si="38"/>
        <v>0</v>
      </c>
      <c r="N14" s="54">
        <f t="shared" si="38"/>
        <v>0</v>
      </c>
      <c r="O14" s="320">
        <f>SUM(C14:N14)</f>
        <v>0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>
        <f>SUM(Q14:AB14)</f>
        <v>0</v>
      </c>
      <c r="AE14" s="321">
        <f t="shared" ref="AE14:AP16" si="39">AS14+BU14+CI14+CW14+DK14</f>
        <v>0</v>
      </c>
      <c r="AF14" s="54">
        <f t="shared" si="39"/>
        <v>0</v>
      </c>
      <c r="AG14" s="54">
        <f t="shared" si="39"/>
        <v>0</v>
      </c>
      <c r="AH14" s="54">
        <f t="shared" si="39"/>
        <v>0</v>
      </c>
      <c r="AI14" s="54">
        <f t="shared" si="39"/>
        <v>0</v>
      </c>
      <c r="AJ14" s="54">
        <f t="shared" si="39"/>
        <v>0</v>
      </c>
      <c r="AK14" s="54">
        <f t="shared" si="39"/>
        <v>0</v>
      </c>
      <c r="AL14" s="54">
        <f t="shared" si="39"/>
        <v>0</v>
      </c>
      <c r="AM14" s="54">
        <f t="shared" si="39"/>
        <v>0</v>
      </c>
      <c r="AN14" s="54">
        <f t="shared" si="39"/>
        <v>0</v>
      </c>
      <c r="AO14" s="54">
        <f t="shared" si="39"/>
        <v>0</v>
      </c>
      <c r="AP14" s="54">
        <f t="shared" si="39"/>
        <v>0</v>
      </c>
      <c r="AQ14" s="322">
        <f>SUM(AE14:AP14)</f>
        <v>0</v>
      </c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>
        <f>SUM(AS14:BD14)</f>
        <v>0</v>
      </c>
      <c r="BG14" s="54">
        <f t="shared" ref="BG14:BR16" si="40">BU14+CI14+CW14</f>
        <v>0</v>
      </c>
      <c r="BH14" s="54">
        <f t="shared" si="40"/>
        <v>0</v>
      </c>
      <c r="BI14" s="54">
        <f t="shared" si="40"/>
        <v>0</v>
      </c>
      <c r="BJ14" s="54">
        <f t="shared" si="40"/>
        <v>0</v>
      </c>
      <c r="BK14" s="54">
        <f t="shared" si="40"/>
        <v>0</v>
      </c>
      <c r="BL14" s="54">
        <f t="shared" si="40"/>
        <v>0</v>
      </c>
      <c r="BM14" s="54">
        <f t="shared" si="40"/>
        <v>0</v>
      </c>
      <c r="BN14" s="54">
        <f t="shared" si="40"/>
        <v>0</v>
      </c>
      <c r="BO14" s="54">
        <f t="shared" si="40"/>
        <v>0</v>
      </c>
      <c r="BP14" s="54">
        <f t="shared" si="40"/>
        <v>0</v>
      </c>
      <c r="BQ14" s="54">
        <f t="shared" si="40"/>
        <v>0</v>
      </c>
      <c r="BR14" s="54">
        <f t="shared" si="40"/>
        <v>0</v>
      </c>
      <c r="BS14" s="54">
        <f>SUM(BG14:BR14)</f>
        <v>0</v>
      </c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>
        <f>SUM(BU14:CF14)</f>
        <v>0</v>
      </c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>
        <f>SUM(CI14:CT14)</f>
        <v>0</v>
      </c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>
        <f>SUM(CW14:DH14)</f>
        <v>0</v>
      </c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>
        <f>SUM(DK14:DV14)</f>
        <v>0</v>
      </c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>
        <f>SUM(DY14:EJ14)</f>
        <v>0</v>
      </c>
    </row>
    <row r="15" spans="1:141" outlineLevel="1">
      <c r="A15" s="38" t="s">
        <v>66</v>
      </c>
      <c r="B15" s="39" t="s">
        <v>2</v>
      </c>
      <c r="C15" s="319">
        <f t="shared" si="38"/>
        <v>0</v>
      </c>
      <c r="D15" s="54">
        <f t="shared" si="38"/>
        <v>0</v>
      </c>
      <c r="E15" s="54">
        <f t="shared" si="38"/>
        <v>0</v>
      </c>
      <c r="F15" s="54">
        <f t="shared" si="38"/>
        <v>0</v>
      </c>
      <c r="G15" s="54">
        <f t="shared" si="38"/>
        <v>0</v>
      </c>
      <c r="H15" s="54">
        <f t="shared" si="38"/>
        <v>0</v>
      </c>
      <c r="I15" s="54">
        <f t="shared" si="38"/>
        <v>0</v>
      </c>
      <c r="J15" s="54">
        <f t="shared" si="38"/>
        <v>0</v>
      </c>
      <c r="K15" s="54">
        <f t="shared" si="38"/>
        <v>0</v>
      </c>
      <c r="L15" s="54">
        <f t="shared" si="38"/>
        <v>0</v>
      </c>
      <c r="M15" s="54">
        <f t="shared" si="38"/>
        <v>0</v>
      </c>
      <c r="N15" s="54">
        <f t="shared" si="38"/>
        <v>0</v>
      </c>
      <c r="O15" s="320">
        <f>SUM(C15:N15)</f>
        <v>0</v>
      </c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>
        <f>SUM(Q15:AB15)</f>
        <v>0</v>
      </c>
      <c r="AE15" s="321">
        <f t="shared" si="39"/>
        <v>0</v>
      </c>
      <c r="AF15" s="54">
        <f t="shared" si="39"/>
        <v>0</v>
      </c>
      <c r="AG15" s="54">
        <f t="shared" si="39"/>
        <v>0</v>
      </c>
      <c r="AH15" s="54">
        <f t="shared" si="39"/>
        <v>0</v>
      </c>
      <c r="AI15" s="54">
        <f t="shared" si="39"/>
        <v>0</v>
      </c>
      <c r="AJ15" s="54">
        <f t="shared" si="39"/>
        <v>0</v>
      </c>
      <c r="AK15" s="54">
        <f t="shared" si="39"/>
        <v>0</v>
      </c>
      <c r="AL15" s="54">
        <f t="shared" si="39"/>
        <v>0</v>
      </c>
      <c r="AM15" s="54">
        <f t="shared" si="39"/>
        <v>0</v>
      </c>
      <c r="AN15" s="54">
        <f t="shared" si="39"/>
        <v>0</v>
      </c>
      <c r="AO15" s="54">
        <f t="shared" si="39"/>
        <v>0</v>
      </c>
      <c r="AP15" s="54">
        <f t="shared" si="39"/>
        <v>0</v>
      </c>
      <c r="AQ15" s="322">
        <f>SUM(AE15:AP15)</f>
        <v>0</v>
      </c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>
        <f>SUM(AS15:BD15)</f>
        <v>0</v>
      </c>
      <c r="BG15" s="54">
        <f t="shared" si="40"/>
        <v>0</v>
      </c>
      <c r="BH15" s="54">
        <f t="shared" si="40"/>
        <v>0</v>
      </c>
      <c r="BI15" s="54">
        <f t="shared" si="40"/>
        <v>0</v>
      </c>
      <c r="BJ15" s="54">
        <f t="shared" si="40"/>
        <v>0</v>
      </c>
      <c r="BK15" s="54">
        <f t="shared" si="40"/>
        <v>0</v>
      </c>
      <c r="BL15" s="54">
        <f t="shared" si="40"/>
        <v>0</v>
      </c>
      <c r="BM15" s="54">
        <f t="shared" si="40"/>
        <v>0</v>
      </c>
      <c r="BN15" s="54">
        <f t="shared" si="40"/>
        <v>0</v>
      </c>
      <c r="BO15" s="54">
        <f t="shared" si="40"/>
        <v>0</v>
      </c>
      <c r="BP15" s="54">
        <f t="shared" si="40"/>
        <v>0</v>
      </c>
      <c r="BQ15" s="54">
        <f t="shared" si="40"/>
        <v>0</v>
      </c>
      <c r="BR15" s="54">
        <f t="shared" si="40"/>
        <v>0</v>
      </c>
      <c r="BS15" s="54">
        <f>SUM(BG15:BR15)</f>
        <v>0</v>
      </c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>
        <f>SUM(BU15:CF15)</f>
        <v>0</v>
      </c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>
        <f>SUM(CI15:CT15)</f>
        <v>0</v>
      </c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>
        <f>SUM(CW15:DH15)</f>
        <v>0</v>
      </c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>
        <f>SUM(DK15:DV15)</f>
        <v>0</v>
      </c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>
        <f>SUM(DY15:EJ15)</f>
        <v>0</v>
      </c>
    </row>
    <row r="16" spans="1:141" outlineLevel="1">
      <c r="A16" s="55" t="s">
        <v>72</v>
      </c>
      <c r="B16" s="56" t="s">
        <v>3</v>
      </c>
      <c r="C16" s="323">
        <f t="shared" si="38"/>
        <v>0</v>
      </c>
      <c r="D16" s="57">
        <f t="shared" si="38"/>
        <v>0</v>
      </c>
      <c r="E16" s="57">
        <f t="shared" si="38"/>
        <v>0</v>
      </c>
      <c r="F16" s="57">
        <f t="shared" si="38"/>
        <v>0</v>
      </c>
      <c r="G16" s="57">
        <f t="shared" si="38"/>
        <v>0</v>
      </c>
      <c r="H16" s="57">
        <f t="shared" si="38"/>
        <v>0</v>
      </c>
      <c r="I16" s="57">
        <f t="shared" si="38"/>
        <v>0</v>
      </c>
      <c r="J16" s="57">
        <f t="shared" si="38"/>
        <v>0</v>
      </c>
      <c r="K16" s="57">
        <f t="shared" si="38"/>
        <v>0</v>
      </c>
      <c r="L16" s="57">
        <f t="shared" si="38"/>
        <v>0</v>
      </c>
      <c r="M16" s="57">
        <f t="shared" si="38"/>
        <v>0</v>
      </c>
      <c r="N16" s="57">
        <f t="shared" si="38"/>
        <v>0</v>
      </c>
      <c r="O16" s="324">
        <f>SUM(C16:N16)</f>
        <v>0</v>
      </c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>
        <f>SUM(Q16:AB16)</f>
        <v>0</v>
      </c>
      <c r="AE16" s="325">
        <f t="shared" si="39"/>
        <v>0</v>
      </c>
      <c r="AF16" s="57">
        <f t="shared" si="39"/>
        <v>0</v>
      </c>
      <c r="AG16" s="57">
        <f t="shared" si="39"/>
        <v>0</v>
      </c>
      <c r="AH16" s="57">
        <f t="shared" si="39"/>
        <v>0</v>
      </c>
      <c r="AI16" s="57">
        <f t="shared" si="39"/>
        <v>0</v>
      </c>
      <c r="AJ16" s="57">
        <f t="shared" si="39"/>
        <v>0</v>
      </c>
      <c r="AK16" s="57">
        <f t="shared" si="39"/>
        <v>0</v>
      </c>
      <c r="AL16" s="57">
        <f t="shared" si="39"/>
        <v>0</v>
      </c>
      <c r="AM16" s="57">
        <f t="shared" si="39"/>
        <v>0</v>
      </c>
      <c r="AN16" s="57">
        <f t="shared" si="39"/>
        <v>0</v>
      </c>
      <c r="AO16" s="57">
        <f t="shared" si="39"/>
        <v>0</v>
      </c>
      <c r="AP16" s="57">
        <f t="shared" si="39"/>
        <v>0</v>
      </c>
      <c r="AQ16" s="326">
        <f>SUM(AE16:AP16)</f>
        <v>0</v>
      </c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>
        <f>SUM(AS16:BD16)</f>
        <v>0</v>
      </c>
      <c r="BG16" s="57">
        <f t="shared" si="40"/>
        <v>0</v>
      </c>
      <c r="BH16" s="57">
        <f t="shared" si="40"/>
        <v>0</v>
      </c>
      <c r="BI16" s="57">
        <f t="shared" si="40"/>
        <v>0</v>
      </c>
      <c r="BJ16" s="57">
        <f t="shared" si="40"/>
        <v>0</v>
      </c>
      <c r="BK16" s="57">
        <f t="shared" si="40"/>
        <v>0</v>
      </c>
      <c r="BL16" s="57">
        <f t="shared" si="40"/>
        <v>0</v>
      </c>
      <c r="BM16" s="57">
        <f t="shared" si="40"/>
        <v>0</v>
      </c>
      <c r="BN16" s="57">
        <f t="shared" si="40"/>
        <v>0</v>
      </c>
      <c r="BO16" s="57">
        <f t="shared" si="40"/>
        <v>0</v>
      </c>
      <c r="BP16" s="57">
        <f t="shared" si="40"/>
        <v>0</v>
      </c>
      <c r="BQ16" s="57">
        <f t="shared" si="40"/>
        <v>0</v>
      </c>
      <c r="BR16" s="57">
        <f t="shared" si="40"/>
        <v>0</v>
      </c>
      <c r="BS16" s="57">
        <f>SUM(BG16:BR16)</f>
        <v>0</v>
      </c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>
        <f>SUM(BU16:CF16)</f>
        <v>0</v>
      </c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>
        <f>SUM(CI16:CT16)</f>
        <v>0</v>
      </c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>
        <f>SUM(CW16:DH16)</f>
        <v>0</v>
      </c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>
        <f>SUM(DK16:DV16)</f>
        <v>0</v>
      </c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>
        <f>SUM(DY16:EJ16)</f>
        <v>0</v>
      </c>
    </row>
    <row r="17" spans="1:141">
      <c r="A17" s="61">
        <v>4</v>
      </c>
      <c r="B17" s="62" t="s">
        <v>22</v>
      </c>
      <c r="C17" s="327">
        <f t="shared" ref="C17:O17" si="41">SUM(C18:C20)</f>
        <v>129505341136.8568</v>
      </c>
      <c r="D17" s="63">
        <f t="shared" si="41"/>
        <v>127974441177.86678</v>
      </c>
      <c r="E17" s="63">
        <f t="shared" si="41"/>
        <v>141599491827.82724</v>
      </c>
      <c r="F17" s="63">
        <f t="shared" si="41"/>
        <v>131782266518.60179</v>
      </c>
      <c r="G17" s="63">
        <f t="shared" si="41"/>
        <v>140244307484.73706</v>
      </c>
      <c r="H17" s="63">
        <f t="shared" si="41"/>
        <v>141409300219.24365</v>
      </c>
      <c r="I17" s="63">
        <f t="shared" si="41"/>
        <v>145404057387.95996</v>
      </c>
      <c r="J17" s="63">
        <f t="shared" si="41"/>
        <v>141276361518.14462</v>
      </c>
      <c r="K17" s="63">
        <f t="shared" si="41"/>
        <v>148196499542.28259</v>
      </c>
      <c r="L17" s="63">
        <f t="shared" si="41"/>
        <v>137984481243.16364</v>
      </c>
      <c r="M17" s="63">
        <f t="shared" si="41"/>
        <v>145929060338.8269</v>
      </c>
      <c r="N17" s="63">
        <f t="shared" si="41"/>
        <v>147442013746.17145</v>
      </c>
      <c r="O17" s="328">
        <f t="shared" si="41"/>
        <v>1678747622141.6824</v>
      </c>
      <c r="Q17" s="63">
        <f t="shared" ref="Q17:AC17" si="42">SUM(Q18:Q20)</f>
        <v>-30204664500</v>
      </c>
      <c r="R17" s="63">
        <f t="shared" si="42"/>
        <v>-21944360000</v>
      </c>
      <c r="S17" s="63">
        <f t="shared" si="42"/>
        <v>-35315047250</v>
      </c>
      <c r="T17" s="63">
        <f t="shared" si="42"/>
        <v>-38773623125</v>
      </c>
      <c r="U17" s="63">
        <f t="shared" si="42"/>
        <v>-38756394375</v>
      </c>
      <c r="V17" s="63">
        <f t="shared" si="42"/>
        <v>-39491807000</v>
      </c>
      <c r="W17" s="63">
        <f t="shared" si="42"/>
        <v>-40136084625</v>
      </c>
      <c r="X17" s="63">
        <f t="shared" si="42"/>
        <v>-39491807000</v>
      </c>
      <c r="Y17" s="63">
        <f t="shared" si="42"/>
        <v>-38203251750</v>
      </c>
      <c r="Z17" s="63">
        <f t="shared" si="42"/>
        <v>-40136084625</v>
      </c>
      <c r="AA17" s="63">
        <f t="shared" si="42"/>
        <v>-38847529375</v>
      </c>
      <c r="AB17" s="63">
        <f t="shared" si="42"/>
        <v>-40136084625</v>
      </c>
      <c r="AC17" s="63">
        <f t="shared" si="42"/>
        <v>-441436738250</v>
      </c>
      <c r="AE17" s="329">
        <f t="shared" ref="AE17:AQ17" si="43">SUM(AE18:AE20)</f>
        <v>159710005636.85681</v>
      </c>
      <c r="AF17" s="63">
        <f t="shared" si="43"/>
        <v>149918801177.86676</v>
      </c>
      <c r="AG17" s="63">
        <f t="shared" si="43"/>
        <v>176914539077.82724</v>
      </c>
      <c r="AH17" s="63">
        <f t="shared" si="43"/>
        <v>170555889643.60181</v>
      </c>
      <c r="AI17" s="63">
        <f t="shared" si="43"/>
        <v>179000701859.73706</v>
      </c>
      <c r="AJ17" s="63">
        <f t="shared" si="43"/>
        <v>180901107219.24365</v>
      </c>
      <c r="AK17" s="63">
        <f t="shared" si="43"/>
        <v>185540142012.95996</v>
      </c>
      <c r="AL17" s="63">
        <f t="shared" si="43"/>
        <v>180768168518.14462</v>
      </c>
      <c r="AM17" s="63">
        <f t="shared" si="43"/>
        <v>186399751292.28259</v>
      </c>
      <c r="AN17" s="63">
        <f t="shared" si="43"/>
        <v>178120565868.16364</v>
      </c>
      <c r="AO17" s="63">
        <f t="shared" si="43"/>
        <v>184776589713.8269</v>
      </c>
      <c r="AP17" s="63">
        <f t="shared" si="43"/>
        <v>187578098371.17145</v>
      </c>
      <c r="AQ17" s="330">
        <f t="shared" si="43"/>
        <v>2120184360391.6824</v>
      </c>
      <c r="AS17" s="63">
        <f t="shared" ref="AS17:BE17" si="44">SUM(AS18:AS20)</f>
        <v>129505341136.8568</v>
      </c>
      <c r="AT17" s="63">
        <f t="shared" si="44"/>
        <v>127974441177.86678</v>
      </c>
      <c r="AU17" s="63">
        <f t="shared" si="44"/>
        <v>141599491827.82724</v>
      </c>
      <c r="AV17" s="63">
        <f t="shared" si="44"/>
        <v>131782266518.60179</v>
      </c>
      <c r="AW17" s="63">
        <f t="shared" si="44"/>
        <v>140244307484.73706</v>
      </c>
      <c r="AX17" s="63">
        <f t="shared" si="44"/>
        <v>141409300219.24365</v>
      </c>
      <c r="AY17" s="63">
        <f t="shared" si="44"/>
        <v>145404057387.95996</v>
      </c>
      <c r="AZ17" s="63">
        <f t="shared" si="44"/>
        <v>141276361518.14462</v>
      </c>
      <c r="BA17" s="63">
        <f t="shared" si="44"/>
        <v>148196499542.28259</v>
      </c>
      <c r="BB17" s="63">
        <f t="shared" si="44"/>
        <v>137984481243.16364</v>
      </c>
      <c r="BC17" s="63">
        <f t="shared" si="44"/>
        <v>145929060338.8269</v>
      </c>
      <c r="BD17" s="63">
        <f t="shared" si="44"/>
        <v>147442013746.17145</v>
      </c>
      <c r="BE17" s="63">
        <f t="shared" si="44"/>
        <v>1678747622141.6824</v>
      </c>
      <c r="BG17" s="63">
        <f t="shared" ref="BG17:BS17" si="45">SUM(BG18:BG20)</f>
        <v>30204664500</v>
      </c>
      <c r="BH17" s="63">
        <f t="shared" si="45"/>
        <v>21944360000</v>
      </c>
      <c r="BI17" s="63">
        <f t="shared" si="45"/>
        <v>35315047250</v>
      </c>
      <c r="BJ17" s="63">
        <f t="shared" si="45"/>
        <v>38773623125</v>
      </c>
      <c r="BK17" s="63">
        <f t="shared" si="45"/>
        <v>38756394375</v>
      </c>
      <c r="BL17" s="63">
        <f t="shared" si="45"/>
        <v>39491807000</v>
      </c>
      <c r="BM17" s="63">
        <f t="shared" si="45"/>
        <v>40136084625</v>
      </c>
      <c r="BN17" s="63">
        <f t="shared" si="45"/>
        <v>39491807000</v>
      </c>
      <c r="BO17" s="63">
        <f t="shared" si="45"/>
        <v>38203251750</v>
      </c>
      <c r="BP17" s="63">
        <f t="shared" si="45"/>
        <v>40136084625</v>
      </c>
      <c r="BQ17" s="63">
        <f t="shared" si="45"/>
        <v>38847529375</v>
      </c>
      <c r="BR17" s="63">
        <f t="shared" si="45"/>
        <v>40136084625</v>
      </c>
      <c r="BS17" s="63">
        <f t="shared" si="45"/>
        <v>441436738250</v>
      </c>
      <c r="BU17" s="63">
        <f t="shared" ref="BU17:CG17" si="46">SUM(BU18:BU20)</f>
        <v>11319672000</v>
      </c>
      <c r="BV17" s="63">
        <f t="shared" si="46"/>
        <v>7463520000</v>
      </c>
      <c r="BW17" s="63">
        <f t="shared" si="46"/>
        <v>14539209750</v>
      </c>
      <c r="BX17" s="63">
        <f t="shared" si="46"/>
        <v>16106940625</v>
      </c>
      <c r="BY17" s="63">
        <f t="shared" si="46"/>
        <v>16106940625</v>
      </c>
      <c r="BZ17" s="63">
        <f t="shared" si="46"/>
        <v>16751218250</v>
      </c>
      <c r="CA17" s="63">
        <f t="shared" si="46"/>
        <v>17395495875</v>
      </c>
      <c r="CB17" s="63">
        <f t="shared" si="46"/>
        <v>16751218250</v>
      </c>
      <c r="CC17" s="63">
        <f t="shared" si="46"/>
        <v>15462663000</v>
      </c>
      <c r="CD17" s="63">
        <f t="shared" si="46"/>
        <v>17395495875</v>
      </c>
      <c r="CE17" s="63">
        <f t="shared" si="46"/>
        <v>16106940625</v>
      </c>
      <c r="CF17" s="63">
        <f t="shared" si="46"/>
        <v>17395495875</v>
      </c>
      <c r="CG17" s="63">
        <f t="shared" si="46"/>
        <v>182794810750</v>
      </c>
      <c r="CI17" s="63">
        <f t="shared" ref="CI17:CU17" si="47">SUM(CI18:CI20)</f>
        <v>7469550000</v>
      </c>
      <c r="CJ17" s="63">
        <f t="shared" si="47"/>
        <v>5602162500</v>
      </c>
      <c r="CK17" s="63">
        <f t="shared" si="47"/>
        <v>8092012500</v>
      </c>
      <c r="CL17" s="63">
        <f t="shared" si="47"/>
        <v>8714475000</v>
      </c>
      <c r="CM17" s="63">
        <f t="shared" si="47"/>
        <v>8714475000</v>
      </c>
      <c r="CN17" s="63">
        <f t="shared" si="47"/>
        <v>8714475000</v>
      </c>
      <c r="CO17" s="63">
        <f t="shared" si="47"/>
        <v>8714475000</v>
      </c>
      <c r="CP17" s="63">
        <f t="shared" si="47"/>
        <v>8714475000</v>
      </c>
      <c r="CQ17" s="63">
        <f t="shared" si="47"/>
        <v>8714475000</v>
      </c>
      <c r="CR17" s="63">
        <f t="shared" si="47"/>
        <v>8714475000</v>
      </c>
      <c r="CS17" s="63">
        <f t="shared" si="47"/>
        <v>8714475000</v>
      </c>
      <c r="CT17" s="63">
        <f t="shared" si="47"/>
        <v>8714475000</v>
      </c>
      <c r="CU17" s="63">
        <f t="shared" si="47"/>
        <v>99594000000</v>
      </c>
      <c r="CW17" s="63">
        <f t="shared" ref="CW17:DI17" si="48">SUM(CW18:CW20)</f>
        <v>11415442500</v>
      </c>
      <c r="CX17" s="63">
        <f t="shared" si="48"/>
        <v>8878677500</v>
      </c>
      <c r="CY17" s="63">
        <f t="shared" si="48"/>
        <v>12683825000</v>
      </c>
      <c r="CZ17" s="63">
        <f t="shared" si="48"/>
        <v>13952207500</v>
      </c>
      <c r="DA17" s="63">
        <f t="shared" si="48"/>
        <v>13934978750</v>
      </c>
      <c r="DB17" s="63">
        <f t="shared" si="48"/>
        <v>14026113750</v>
      </c>
      <c r="DC17" s="63">
        <f t="shared" si="48"/>
        <v>14026113750</v>
      </c>
      <c r="DD17" s="63">
        <f t="shared" si="48"/>
        <v>14026113750</v>
      </c>
      <c r="DE17" s="63">
        <f t="shared" si="48"/>
        <v>14026113750</v>
      </c>
      <c r="DF17" s="63">
        <f t="shared" si="48"/>
        <v>14026113750</v>
      </c>
      <c r="DG17" s="63">
        <f t="shared" si="48"/>
        <v>14026113750</v>
      </c>
      <c r="DH17" s="63">
        <f t="shared" si="48"/>
        <v>14026113750</v>
      </c>
      <c r="DI17" s="63">
        <f t="shared" si="48"/>
        <v>159047927500</v>
      </c>
      <c r="DK17" s="63">
        <f t="shared" ref="DK17:DW17" si="49">SUM(DK18:DK20)</f>
        <v>0</v>
      </c>
      <c r="DL17" s="63">
        <f t="shared" si="49"/>
        <v>0</v>
      </c>
      <c r="DM17" s="63">
        <f t="shared" si="49"/>
        <v>0</v>
      </c>
      <c r="DN17" s="63">
        <f t="shared" si="49"/>
        <v>0</v>
      </c>
      <c r="DO17" s="63">
        <f t="shared" si="49"/>
        <v>0</v>
      </c>
      <c r="DP17" s="63">
        <f t="shared" si="49"/>
        <v>0</v>
      </c>
      <c r="DQ17" s="63">
        <f t="shared" si="49"/>
        <v>0</v>
      </c>
      <c r="DR17" s="63">
        <f t="shared" si="49"/>
        <v>0</v>
      </c>
      <c r="DS17" s="63">
        <f t="shared" si="49"/>
        <v>0</v>
      </c>
      <c r="DT17" s="63">
        <f t="shared" si="49"/>
        <v>0</v>
      </c>
      <c r="DU17" s="63">
        <f t="shared" si="49"/>
        <v>0</v>
      </c>
      <c r="DV17" s="63">
        <f t="shared" si="49"/>
        <v>0</v>
      </c>
      <c r="DW17" s="63">
        <f t="shared" si="49"/>
        <v>0</v>
      </c>
      <c r="DY17" s="63">
        <f t="shared" ref="DY17:EK17" si="50">SUM(DY18:DY20)</f>
        <v>0</v>
      </c>
      <c r="DZ17" s="63">
        <f t="shared" si="50"/>
        <v>0</v>
      </c>
      <c r="EA17" s="63">
        <f t="shared" si="50"/>
        <v>0</v>
      </c>
      <c r="EB17" s="63">
        <f t="shared" si="50"/>
        <v>0</v>
      </c>
      <c r="EC17" s="63">
        <f t="shared" si="50"/>
        <v>0</v>
      </c>
      <c r="ED17" s="63">
        <f t="shared" si="50"/>
        <v>0</v>
      </c>
      <c r="EE17" s="63">
        <f t="shared" si="50"/>
        <v>0</v>
      </c>
      <c r="EF17" s="63">
        <f t="shared" si="50"/>
        <v>0</v>
      </c>
      <c r="EG17" s="63">
        <f t="shared" si="50"/>
        <v>0</v>
      </c>
      <c r="EH17" s="63">
        <f t="shared" si="50"/>
        <v>0</v>
      </c>
      <c r="EI17" s="63">
        <f t="shared" si="50"/>
        <v>0</v>
      </c>
      <c r="EJ17" s="63">
        <f t="shared" si="50"/>
        <v>0</v>
      </c>
      <c r="EK17" s="63">
        <f t="shared" si="50"/>
        <v>0</v>
      </c>
    </row>
    <row r="18" spans="1:141" s="29" customFormat="1" outlineLevel="1">
      <c r="A18" s="58" t="s">
        <v>58</v>
      </c>
      <c r="B18" s="59" t="s">
        <v>1</v>
      </c>
      <c r="C18" s="331">
        <f t="shared" ref="C18:O18" si="51">C10-C14</f>
        <v>129505341136.8568</v>
      </c>
      <c r="D18" s="60">
        <f t="shared" si="51"/>
        <v>127974441177.86678</v>
      </c>
      <c r="E18" s="60">
        <f t="shared" si="51"/>
        <v>141599491827.82724</v>
      </c>
      <c r="F18" s="60">
        <f t="shared" si="51"/>
        <v>131782266518.60179</v>
      </c>
      <c r="G18" s="60">
        <f t="shared" si="51"/>
        <v>140244307484.73706</v>
      </c>
      <c r="H18" s="60">
        <f t="shared" si="51"/>
        <v>141409300219.24365</v>
      </c>
      <c r="I18" s="60">
        <f t="shared" si="51"/>
        <v>145404057387.95996</v>
      </c>
      <c r="J18" s="60">
        <f t="shared" si="51"/>
        <v>141276361518.14462</v>
      </c>
      <c r="K18" s="60">
        <f t="shared" si="51"/>
        <v>148196499542.28259</v>
      </c>
      <c r="L18" s="60">
        <f t="shared" si="51"/>
        <v>137984481243.16364</v>
      </c>
      <c r="M18" s="60">
        <f t="shared" si="51"/>
        <v>145929060338.8269</v>
      </c>
      <c r="N18" s="60">
        <f t="shared" si="51"/>
        <v>147442013746.17145</v>
      </c>
      <c r="O18" s="332">
        <f t="shared" si="51"/>
        <v>1678747622141.6824</v>
      </c>
      <c r="Q18" s="60">
        <f t="shared" ref="Q18:AC18" si="52">Q10-Q14</f>
        <v>0</v>
      </c>
      <c r="R18" s="60">
        <f t="shared" si="52"/>
        <v>0</v>
      </c>
      <c r="S18" s="60">
        <f t="shared" si="52"/>
        <v>0</v>
      </c>
      <c r="T18" s="60">
        <f t="shared" si="52"/>
        <v>0</v>
      </c>
      <c r="U18" s="60">
        <f t="shared" si="52"/>
        <v>0</v>
      </c>
      <c r="V18" s="60">
        <f t="shared" si="52"/>
        <v>0</v>
      </c>
      <c r="W18" s="60">
        <f t="shared" si="52"/>
        <v>0</v>
      </c>
      <c r="X18" s="60">
        <f t="shared" si="52"/>
        <v>0</v>
      </c>
      <c r="Y18" s="60">
        <f t="shared" si="52"/>
        <v>0</v>
      </c>
      <c r="Z18" s="60">
        <f t="shared" si="52"/>
        <v>0</v>
      </c>
      <c r="AA18" s="60">
        <f t="shared" si="52"/>
        <v>0</v>
      </c>
      <c r="AB18" s="60">
        <f t="shared" si="52"/>
        <v>0</v>
      </c>
      <c r="AC18" s="60">
        <f t="shared" si="52"/>
        <v>0</v>
      </c>
      <c r="AE18" s="333">
        <f t="shared" ref="AE18:AQ18" si="53">AE10-AE14</f>
        <v>129505341136.8568</v>
      </c>
      <c r="AF18" s="60">
        <f t="shared" si="53"/>
        <v>127974441177.86678</v>
      </c>
      <c r="AG18" s="60">
        <f t="shared" si="53"/>
        <v>141599491827.82724</v>
      </c>
      <c r="AH18" s="60">
        <f t="shared" si="53"/>
        <v>131782266518.60179</v>
      </c>
      <c r="AI18" s="60">
        <f t="shared" si="53"/>
        <v>140244307484.73706</v>
      </c>
      <c r="AJ18" s="60">
        <f t="shared" si="53"/>
        <v>141409300219.24365</v>
      </c>
      <c r="AK18" s="60">
        <f t="shared" si="53"/>
        <v>145404057387.95996</v>
      </c>
      <c r="AL18" s="60">
        <f t="shared" si="53"/>
        <v>141276361518.14462</v>
      </c>
      <c r="AM18" s="60">
        <f t="shared" si="53"/>
        <v>148196499542.28259</v>
      </c>
      <c r="AN18" s="60">
        <f t="shared" si="53"/>
        <v>137984481243.16364</v>
      </c>
      <c r="AO18" s="60">
        <f t="shared" si="53"/>
        <v>145929060338.8269</v>
      </c>
      <c r="AP18" s="60">
        <f t="shared" si="53"/>
        <v>147442013746.17145</v>
      </c>
      <c r="AQ18" s="334">
        <f t="shared" si="53"/>
        <v>1678747622141.6824</v>
      </c>
      <c r="AS18" s="60">
        <f t="shared" ref="AS18:BE18" si="54">AS10-AS14</f>
        <v>129505341136.8568</v>
      </c>
      <c r="AT18" s="60">
        <f t="shared" si="54"/>
        <v>127974441177.86678</v>
      </c>
      <c r="AU18" s="60">
        <f t="shared" si="54"/>
        <v>141599491827.82724</v>
      </c>
      <c r="AV18" s="60">
        <f t="shared" si="54"/>
        <v>131782266518.60179</v>
      </c>
      <c r="AW18" s="60">
        <f t="shared" si="54"/>
        <v>140244307484.73706</v>
      </c>
      <c r="AX18" s="60">
        <f t="shared" si="54"/>
        <v>141409300219.24365</v>
      </c>
      <c r="AY18" s="60">
        <f t="shared" si="54"/>
        <v>145404057387.95996</v>
      </c>
      <c r="AZ18" s="60">
        <f t="shared" si="54"/>
        <v>141276361518.14462</v>
      </c>
      <c r="BA18" s="60">
        <f t="shared" si="54"/>
        <v>148196499542.28259</v>
      </c>
      <c r="BB18" s="60">
        <f t="shared" si="54"/>
        <v>137984481243.16364</v>
      </c>
      <c r="BC18" s="60">
        <f t="shared" si="54"/>
        <v>145929060338.8269</v>
      </c>
      <c r="BD18" s="60">
        <f t="shared" si="54"/>
        <v>147442013746.17145</v>
      </c>
      <c r="BE18" s="60">
        <f t="shared" si="54"/>
        <v>1678747622141.6824</v>
      </c>
      <c r="BG18" s="60">
        <f t="shared" ref="BG18:BS18" si="55">BG10-BG14</f>
        <v>0</v>
      </c>
      <c r="BH18" s="60">
        <f t="shared" si="55"/>
        <v>0</v>
      </c>
      <c r="BI18" s="60">
        <f t="shared" si="55"/>
        <v>0</v>
      </c>
      <c r="BJ18" s="60">
        <f t="shared" si="55"/>
        <v>0</v>
      </c>
      <c r="BK18" s="60">
        <f t="shared" si="55"/>
        <v>0</v>
      </c>
      <c r="BL18" s="60">
        <f t="shared" si="55"/>
        <v>0</v>
      </c>
      <c r="BM18" s="60">
        <f t="shared" si="55"/>
        <v>0</v>
      </c>
      <c r="BN18" s="60">
        <f t="shared" si="55"/>
        <v>0</v>
      </c>
      <c r="BO18" s="60">
        <f t="shared" si="55"/>
        <v>0</v>
      </c>
      <c r="BP18" s="60">
        <f t="shared" si="55"/>
        <v>0</v>
      </c>
      <c r="BQ18" s="60">
        <f t="shared" si="55"/>
        <v>0</v>
      </c>
      <c r="BR18" s="60">
        <f t="shared" si="55"/>
        <v>0</v>
      </c>
      <c r="BS18" s="60">
        <f t="shared" si="55"/>
        <v>0</v>
      </c>
      <c r="BU18" s="60">
        <f t="shared" ref="BU18:CG18" si="56">BU10-BU14</f>
        <v>0</v>
      </c>
      <c r="BV18" s="60">
        <f t="shared" si="56"/>
        <v>0</v>
      </c>
      <c r="BW18" s="60">
        <f t="shared" si="56"/>
        <v>0</v>
      </c>
      <c r="BX18" s="60">
        <f t="shared" si="56"/>
        <v>0</v>
      </c>
      <c r="BY18" s="60">
        <f t="shared" si="56"/>
        <v>0</v>
      </c>
      <c r="BZ18" s="60">
        <f t="shared" si="56"/>
        <v>0</v>
      </c>
      <c r="CA18" s="60">
        <f t="shared" si="56"/>
        <v>0</v>
      </c>
      <c r="CB18" s="60">
        <f t="shared" si="56"/>
        <v>0</v>
      </c>
      <c r="CC18" s="60">
        <f t="shared" si="56"/>
        <v>0</v>
      </c>
      <c r="CD18" s="60">
        <f t="shared" si="56"/>
        <v>0</v>
      </c>
      <c r="CE18" s="60">
        <f t="shared" si="56"/>
        <v>0</v>
      </c>
      <c r="CF18" s="60">
        <f t="shared" si="56"/>
        <v>0</v>
      </c>
      <c r="CG18" s="60">
        <f t="shared" si="56"/>
        <v>0</v>
      </c>
      <c r="CI18" s="60">
        <f t="shared" ref="CI18:CU18" si="57">CI10-CI14</f>
        <v>0</v>
      </c>
      <c r="CJ18" s="60">
        <f t="shared" si="57"/>
        <v>0</v>
      </c>
      <c r="CK18" s="60">
        <f t="shared" si="57"/>
        <v>0</v>
      </c>
      <c r="CL18" s="60">
        <f t="shared" si="57"/>
        <v>0</v>
      </c>
      <c r="CM18" s="60">
        <f t="shared" si="57"/>
        <v>0</v>
      </c>
      <c r="CN18" s="60">
        <f t="shared" si="57"/>
        <v>0</v>
      </c>
      <c r="CO18" s="60">
        <f t="shared" si="57"/>
        <v>0</v>
      </c>
      <c r="CP18" s="60">
        <f t="shared" si="57"/>
        <v>0</v>
      </c>
      <c r="CQ18" s="60">
        <f t="shared" si="57"/>
        <v>0</v>
      </c>
      <c r="CR18" s="60">
        <f t="shared" si="57"/>
        <v>0</v>
      </c>
      <c r="CS18" s="60">
        <f t="shared" si="57"/>
        <v>0</v>
      </c>
      <c r="CT18" s="60">
        <f t="shared" si="57"/>
        <v>0</v>
      </c>
      <c r="CU18" s="60">
        <f t="shared" si="57"/>
        <v>0</v>
      </c>
      <c r="CW18" s="60">
        <f t="shared" ref="CW18:DI18" si="58">CW10-CW14</f>
        <v>0</v>
      </c>
      <c r="CX18" s="60">
        <f t="shared" si="58"/>
        <v>0</v>
      </c>
      <c r="CY18" s="60">
        <f t="shared" si="58"/>
        <v>0</v>
      </c>
      <c r="CZ18" s="60">
        <f t="shared" si="58"/>
        <v>0</v>
      </c>
      <c r="DA18" s="60">
        <f t="shared" si="58"/>
        <v>0</v>
      </c>
      <c r="DB18" s="60">
        <f t="shared" si="58"/>
        <v>0</v>
      </c>
      <c r="DC18" s="60">
        <f t="shared" si="58"/>
        <v>0</v>
      </c>
      <c r="DD18" s="60">
        <f t="shared" si="58"/>
        <v>0</v>
      </c>
      <c r="DE18" s="60">
        <f t="shared" si="58"/>
        <v>0</v>
      </c>
      <c r="DF18" s="60">
        <f t="shared" si="58"/>
        <v>0</v>
      </c>
      <c r="DG18" s="60">
        <f t="shared" si="58"/>
        <v>0</v>
      </c>
      <c r="DH18" s="60">
        <f t="shared" si="58"/>
        <v>0</v>
      </c>
      <c r="DI18" s="60">
        <f t="shared" si="58"/>
        <v>0</v>
      </c>
      <c r="DK18" s="60">
        <f t="shared" ref="DK18:DW18" si="59">DK10-DK14</f>
        <v>0</v>
      </c>
      <c r="DL18" s="60">
        <f t="shared" si="59"/>
        <v>0</v>
      </c>
      <c r="DM18" s="60">
        <f t="shared" si="59"/>
        <v>0</v>
      </c>
      <c r="DN18" s="60">
        <f t="shared" si="59"/>
        <v>0</v>
      </c>
      <c r="DO18" s="60">
        <f t="shared" si="59"/>
        <v>0</v>
      </c>
      <c r="DP18" s="60">
        <f t="shared" si="59"/>
        <v>0</v>
      </c>
      <c r="DQ18" s="60">
        <f t="shared" si="59"/>
        <v>0</v>
      </c>
      <c r="DR18" s="60">
        <f t="shared" si="59"/>
        <v>0</v>
      </c>
      <c r="DS18" s="60">
        <f t="shared" si="59"/>
        <v>0</v>
      </c>
      <c r="DT18" s="60">
        <f t="shared" si="59"/>
        <v>0</v>
      </c>
      <c r="DU18" s="60">
        <f t="shared" si="59"/>
        <v>0</v>
      </c>
      <c r="DV18" s="60">
        <f t="shared" si="59"/>
        <v>0</v>
      </c>
      <c r="DW18" s="60">
        <f t="shared" si="59"/>
        <v>0</v>
      </c>
      <c r="DY18" s="60">
        <f t="shared" ref="DY18:EK18" si="60">DY10-DY14</f>
        <v>0</v>
      </c>
      <c r="DZ18" s="60">
        <f t="shared" si="60"/>
        <v>0</v>
      </c>
      <c r="EA18" s="60">
        <f t="shared" si="60"/>
        <v>0</v>
      </c>
      <c r="EB18" s="60">
        <f t="shared" si="60"/>
        <v>0</v>
      </c>
      <c r="EC18" s="60">
        <f t="shared" si="60"/>
        <v>0</v>
      </c>
      <c r="ED18" s="60">
        <f t="shared" si="60"/>
        <v>0</v>
      </c>
      <c r="EE18" s="60">
        <f t="shared" si="60"/>
        <v>0</v>
      </c>
      <c r="EF18" s="60">
        <f t="shared" si="60"/>
        <v>0</v>
      </c>
      <c r="EG18" s="60">
        <f t="shared" si="60"/>
        <v>0</v>
      </c>
      <c r="EH18" s="60">
        <f t="shared" si="60"/>
        <v>0</v>
      </c>
      <c r="EI18" s="60">
        <f t="shared" si="60"/>
        <v>0</v>
      </c>
      <c r="EJ18" s="60">
        <f t="shared" si="60"/>
        <v>0</v>
      </c>
      <c r="EK18" s="60">
        <f t="shared" si="60"/>
        <v>0</v>
      </c>
    </row>
    <row r="19" spans="1:141" s="29" customFormat="1" outlineLevel="1">
      <c r="A19" s="40" t="s">
        <v>59</v>
      </c>
      <c r="B19" s="41" t="s">
        <v>2</v>
      </c>
      <c r="C19" s="335">
        <f t="shared" ref="C19:O19" si="61">C11-C15</f>
        <v>0</v>
      </c>
      <c r="D19" s="42">
        <f t="shared" si="61"/>
        <v>0</v>
      </c>
      <c r="E19" s="42">
        <f t="shared" si="61"/>
        <v>0</v>
      </c>
      <c r="F19" s="42">
        <f t="shared" si="61"/>
        <v>0</v>
      </c>
      <c r="G19" s="42">
        <f t="shared" si="61"/>
        <v>0</v>
      </c>
      <c r="H19" s="42">
        <f t="shared" si="61"/>
        <v>0</v>
      </c>
      <c r="I19" s="42">
        <f t="shared" si="61"/>
        <v>0</v>
      </c>
      <c r="J19" s="42">
        <f t="shared" si="61"/>
        <v>0</v>
      </c>
      <c r="K19" s="42">
        <f t="shared" si="61"/>
        <v>0</v>
      </c>
      <c r="L19" s="42">
        <f t="shared" si="61"/>
        <v>0</v>
      </c>
      <c r="M19" s="42">
        <f t="shared" si="61"/>
        <v>0</v>
      </c>
      <c r="N19" s="42">
        <f t="shared" si="61"/>
        <v>0</v>
      </c>
      <c r="O19" s="336">
        <f t="shared" si="61"/>
        <v>0</v>
      </c>
      <c r="Q19" s="42">
        <f t="shared" ref="Q19:AC19" si="62">Q11-Q15</f>
        <v>-30204664500</v>
      </c>
      <c r="R19" s="42">
        <f t="shared" si="62"/>
        <v>-21944360000</v>
      </c>
      <c r="S19" s="42">
        <f t="shared" si="62"/>
        <v>-35315047250</v>
      </c>
      <c r="T19" s="42">
        <f t="shared" si="62"/>
        <v>-38773623125</v>
      </c>
      <c r="U19" s="42">
        <f t="shared" si="62"/>
        <v>-38756394375</v>
      </c>
      <c r="V19" s="42">
        <f t="shared" si="62"/>
        <v>-39491807000</v>
      </c>
      <c r="W19" s="42">
        <f t="shared" si="62"/>
        <v>-40136084625</v>
      </c>
      <c r="X19" s="42">
        <f t="shared" si="62"/>
        <v>-39491807000</v>
      </c>
      <c r="Y19" s="42">
        <f t="shared" si="62"/>
        <v>-38203251750</v>
      </c>
      <c r="Z19" s="42">
        <f t="shared" si="62"/>
        <v>-40136084625</v>
      </c>
      <c r="AA19" s="42">
        <f t="shared" si="62"/>
        <v>-38847529375</v>
      </c>
      <c r="AB19" s="42">
        <f t="shared" si="62"/>
        <v>-40136084625</v>
      </c>
      <c r="AC19" s="42">
        <f t="shared" si="62"/>
        <v>-441436738250</v>
      </c>
      <c r="AE19" s="337">
        <f t="shared" ref="AE19:AQ19" si="63">AE11-AE15</f>
        <v>30204664500</v>
      </c>
      <c r="AF19" s="42">
        <f t="shared" si="63"/>
        <v>21944360000</v>
      </c>
      <c r="AG19" s="42">
        <f t="shared" si="63"/>
        <v>35315047250</v>
      </c>
      <c r="AH19" s="42">
        <f t="shared" si="63"/>
        <v>38773623125</v>
      </c>
      <c r="AI19" s="42">
        <f t="shared" si="63"/>
        <v>38756394375</v>
      </c>
      <c r="AJ19" s="42">
        <f t="shared" si="63"/>
        <v>39491807000</v>
      </c>
      <c r="AK19" s="42">
        <f t="shared" si="63"/>
        <v>40136084625</v>
      </c>
      <c r="AL19" s="42">
        <f t="shared" si="63"/>
        <v>39491807000</v>
      </c>
      <c r="AM19" s="42">
        <f t="shared" si="63"/>
        <v>38203251750</v>
      </c>
      <c r="AN19" s="42">
        <f t="shared" si="63"/>
        <v>40136084625</v>
      </c>
      <c r="AO19" s="42">
        <f t="shared" si="63"/>
        <v>38847529375</v>
      </c>
      <c r="AP19" s="42">
        <f t="shared" si="63"/>
        <v>40136084625</v>
      </c>
      <c r="AQ19" s="338">
        <f t="shared" si="63"/>
        <v>441436738250</v>
      </c>
      <c r="AS19" s="42">
        <f t="shared" ref="AS19:BE19" si="64">AS11-AS15</f>
        <v>0</v>
      </c>
      <c r="AT19" s="42">
        <f t="shared" si="64"/>
        <v>0</v>
      </c>
      <c r="AU19" s="42">
        <f t="shared" si="64"/>
        <v>0</v>
      </c>
      <c r="AV19" s="42">
        <f t="shared" si="64"/>
        <v>0</v>
      </c>
      <c r="AW19" s="42">
        <f t="shared" si="64"/>
        <v>0</v>
      </c>
      <c r="AX19" s="42">
        <f t="shared" si="64"/>
        <v>0</v>
      </c>
      <c r="AY19" s="42">
        <f t="shared" si="64"/>
        <v>0</v>
      </c>
      <c r="AZ19" s="42">
        <f t="shared" si="64"/>
        <v>0</v>
      </c>
      <c r="BA19" s="42">
        <f t="shared" si="64"/>
        <v>0</v>
      </c>
      <c r="BB19" s="42">
        <f t="shared" si="64"/>
        <v>0</v>
      </c>
      <c r="BC19" s="42">
        <f t="shared" si="64"/>
        <v>0</v>
      </c>
      <c r="BD19" s="42">
        <f t="shared" si="64"/>
        <v>0</v>
      </c>
      <c r="BE19" s="42">
        <f t="shared" si="64"/>
        <v>0</v>
      </c>
      <c r="BG19" s="42">
        <f t="shared" ref="BG19:BS19" si="65">BG11-BG15</f>
        <v>30204664500</v>
      </c>
      <c r="BH19" s="42">
        <f t="shared" si="65"/>
        <v>21944360000</v>
      </c>
      <c r="BI19" s="42">
        <f t="shared" si="65"/>
        <v>35315047250</v>
      </c>
      <c r="BJ19" s="42">
        <f t="shared" si="65"/>
        <v>38773623125</v>
      </c>
      <c r="BK19" s="42">
        <f t="shared" si="65"/>
        <v>38756394375</v>
      </c>
      <c r="BL19" s="42">
        <f t="shared" si="65"/>
        <v>39491807000</v>
      </c>
      <c r="BM19" s="42">
        <f t="shared" si="65"/>
        <v>40136084625</v>
      </c>
      <c r="BN19" s="42">
        <f t="shared" si="65"/>
        <v>39491807000</v>
      </c>
      <c r="BO19" s="42">
        <f t="shared" si="65"/>
        <v>38203251750</v>
      </c>
      <c r="BP19" s="42">
        <f t="shared" si="65"/>
        <v>40136084625</v>
      </c>
      <c r="BQ19" s="42">
        <f t="shared" si="65"/>
        <v>38847529375</v>
      </c>
      <c r="BR19" s="42">
        <f t="shared" si="65"/>
        <v>40136084625</v>
      </c>
      <c r="BS19" s="42">
        <f t="shared" si="65"/>
        <v>441436738250</v>
      </c>
      <c r="BU19" s="42">
        <f t="shared" ref="BU19:CG19" si="66">BU11-BU15</f>
        <v>11319672000</v>
      </c>
      <c r="BV19" s="42">
        <f t="shared" si="66"/>
        <v>7463520000</v>
      </c>
      <c r="BW19" s="42">
        <f t="shared" si="66"/>
        <v>14539209750</v>
      </c>
      <c r="BX19" s="42">
        <f t="shared" si="66"/>
        <v>16106940625</v>
      </c>
      <c r="BY19" s="42">
        <f t="shared" si="66"/>
        <v>16106940625</v>
      </c>
      <c r="BZ19" s="42">
        <f t="shared" si="66"/>
        <v>16751218250</v>
      </c>
      <c r="CA19" s="42">
        <f t="shared" si="66"/>
        <v>17395495875</v>
      </c>
      <c r="CB19" s="42">
        <f t="shared" si="66"/>
        <v>16751218250</v>
      </c>
      <c r="CC19" s="42">
        <f t="shared" si="66"/>
        <v>15462663000</v>
      </c>
      <c r="CD19" s="42">
        <f t="shared" si="66"/>
        <v>17395495875</v>
      </c>
      <c r="CE19" s="42">
        <f t="shared" si="66"/>
        <v>16106940625</v>
      </c>
      <c r="CF19" s="42">
        <f t="shared" si="66"/>
        <v>17395495875</v>
      </c>
      <c r="CG19" s="42">
        <f t="shared" si="66"/>
        <v>182794810750</v>
      </c>
      <c r="CI19" s="42">
        <f t="shared" ref="CI19:CU19" si="67">CI11-CI15</f>
        <v>7469550000</v>
      </c>
      <c r="CJ19" s="42">
        <f t="shared" si="67"/>
        <v>5602162500</v>
      </c>
      <c r="CK19" s="42">
        <f t="shared" si="67"/>
        <v>8092012500</v>
      </c>
      <c r="CL19" s="42">
        <f t="shared" si="67"/>
        <v>8714475000</v>
      </c>
      <c r="CM19" s="42">
        <f t="shared" si="67"/>
        <v>8714475000</v>
      </c>
      <c r="CN19" s="42">
        <f t="shared" si="67"/>
        <v>8714475000</v>
      </c>
      <c r="CO19" s="42">
        <f t="shared" si="67"/>
        <v>8714475000</v>
      </c>
      <c r="CP19" s="42">
        <f t="shared" si="67"/>
        <v>8714475000</v>
      </c>
      <c r="CQ19" s="42">
        <f t="shared" si="67"/>
        <v>8714475000</v>
      </c>
      <c r="CR19" s="42">
        <f t="shared" si="67"/>
        <v>8714475000</v>
      </c>
      <c r="CS19" s="42">
        <f t="shared" si="67"/>
        <v>8714475000</v>
      </c>
      <c r="CT19" s="42">
        <f t="shared" si="67"/>
        <v>8714475000</v>
      </c>
      <c r="CU19" s="42">
        <f t="shared" si="67"/>
        <v>99594000000</v>
      </c>
      <c r="CW19" s="42">
        <f t="shared" ref="CW19:DI19" si="68">CW11-CW15</f>
        <v>11415442500</v>
      </c>
      <c r="CX19" s="42">
        <f t="shared" si="68"/>
        <v>8878677500</v>
      </c>
      <c r="CY19" s="42">
        <f t="shared" si="68"/>
        <v>12683825000</v>
      </c>
      <c r="CZ19" s="42">
        <f t="shared" si="68"/>
        <v>13952207500</v>
      </c>
      <c r="DA19" s="42">
        <f t="shared" si="68"/>
        <v>13934978750</v>
      </c>
      <c r="DB19" s="42">
        <f t="shared" si="68"/>
        <v>14026113750</v>
      </c>
      <c r="DC19" s="42">
        <f t="shared" si="68"/>
        <v>14026113750</v>
      </c>
      <c r="DD19" s="42">
        <f t="shared" si="68"/>
        <v>14026113750</v>
      </c>
      <c r="DE19" s="42">
        <f t="shared" si="68"/>
        <v>14026113750</v>
      </c>
      <c r="DF19" s="42">
        <f t="shared" si="68"/>
        <v>14026113750</v>
      </c>
      <c r="DG19" s="42">
        <f t="shared" si="68"/>
        <v>14026113750</v>
      </c>
      <c r="DH19" s="42">
        <f t="shared" si="68"/>
        <v>14026113750</v>
      </c>
      <c r="DI19" s="42">
        <f t="shared" si="68"/>
        <v>159047927500</v>
      </c>
      <c r="DK19" s="42">
        <f t="shared" ref="DK19:DW19" si="69">DK11-DK15</f>
        <v>0</v>
      </c>
      <c r="DL19" s="42">
        <f t="shared" si="69"/>
        <v>0</v>
      </c>
      <c r="DM19" s="42">
        <f t="shared" si="69"/>
        <v>0</v>
      </c>
      <c r="DN19" s="42">
        <f t="shared" si="69"/>
        <v>0</v>
      </c>
      <c r="DO19" s="42">
        <f t="shared" si="69"/>
        <v>0</v>
      </c>
      <c r="DP19" s="42">
        <f t="shared" si="69"/>
        <v>0</v>
      </c>
      <c r="DQ19" s="42">
        <f t="shared" si="69"/>
        <v>0</v>
      </c>
      <c r="DR19" s="42">
        <f t="shared" si="69"/>
        <v>0</v>
      </c>
      <c r="DS19" s="42">
        <f t="shared" si="69"/>
        <v>0</v>
      </c>
      <c r="DT19" s="42">
        <f t="shared" si="69"/>
        <v>0</v>
      </c>
      <c r="DU19" s="42">
        <f t="shared" si="69"/>
        <v>0</v>
      </c>
      <c r="DV19" s="42">
        <f t="shared" si="69"/>
        <v>0</v>
      </c>
      <c r="DW19" s="42">
        <f t="shared" si="69"/>
        <v>0</v>
      </c>
      <c r="DY19" s="42">
        <f t="shared" ref="DY19:EK19" si="70">DY11-DY15</f>
        <v>0</v>
      </c>
      <c r="DZ19" s="42">
        <f t="shared" si="70"/>
        <v>0</v>
      </c>
      <c r="EA19" s="42">
        <f t="shared" si="70"/>
        <v>0</v>
      </c>
      <c r="EB19" s="42">
        <f t="shared" si="70"/>
        <v>0</v>
      </c>
      <c r="EC19" s="42">
        <f t="shared" si="70"/>
        <v>0</v>
      </c>
      <c r="ED19" s="42">
        <f t="shared" si="70"/>
        <v>0</v>
      </c>
      <c r="EE19" s="42">
        <f t="shared" si="70"/>
        <v>0</v>
      </c>
      <c r="EF19" s="42">
        <f t="shared" si="70"/>
        <v>0</v>
      </c>
      <c r="EG19" s="42">
        <f t="shared" si="70"/>
        <v>0</v>
      </c>
      <c r="EH19" s="42">
        <f t="shared" si="70"/>
        <v>0</v>
      </c>
      <c r="EI19" s="42">
        <f t="shared" si="70"/>
        <v>0</v>
      </c>
      <c r="EJ19" s="42">
        <f t="shared" si="70"/>
        <v>0</v>
      </c>
      <c r="EK19" s="42">
        <f t="shared" si="70"/>
        <v>0</v>
      </c>
    </row>
    <row r="20" spans="1:141" s="29" customFormat="1" outlineLevel="1">
      <c r="A20" s="40" t="s">
        <v>60</v>
      </c>
      <c r="B20" s="41" t="s">
        <v>3</v>
      </c>
      <c r="C20" s="335">
        <f t="shared" ref="C20:O20" si="71">C12-C16</f>
        <v>0</v>
      </c>
      <c r="D20" s="42">
        <f t="shared" si="71"/>
        <v>0</v>
      </c>
      <c r="E20" s="42">
        <f t="shared" si="71"/>
        <v>0</v>
      </c>
      <c r="F20" s="42">
        <f t="shared" si="71"/>
        <v>0</v>
      </c>
      <c r="G20" s="42">
        <f t="shared" si="71"/>
        <v>0</v>
      </c>
      <c r="H20" s="42">
        <f t="shared" si="71"/>
        <v>0</v>
      </c>
      <c r="I20" s="42">
        <f t="shared" si="71"/>
        <v>0</v>
      </c>
      <c r="J20" s="42">
        <f t="shared" si="71"/>
        <v>0</v>
      </c>
      <c r="K20" s="42">
        <f t="shared" si="71"/>
        <v>0</v>
      </c>
      <c r="L20" s="42">
        <f t="shared" si="71"/>
        <v>0</v>
      </c>
      <c r="M20" s="42">
        <f t="shared" si="71"/>
        <v>0</v>
      </c>
      <c r="N20" s="42">
        <f t="shared" si="71"/>
        <v>0</v>
      </c>
      <c r="O20" s="336">
        <f t="shared" si="71"/>
        <v>0</v>
      </c>
      <c r="Q20" s="42">
        <f t="shared" ref="Q20:AC20" si="72">Q12-Q16</f>
        <v>0</v>
      </c>
      <c r="R20" s="42">
        <f t="shared" si="72"/>
        <v>0</v>
      </c>
      <c r="S20" s="42">
        <f t="shared" si="72"/>
        <v>0</v>
      </c>
      <c r="T20" s="42">
        <f t="shared" si="72"/>
        <v>0</v>
      </c>
      <c r="U20" s="42">
        <f t="shared" si="72"/>
        <v>0</v>
      </c>
      <c r="V20" s="42">
        <f t="shared" si="72"/>
        <v>0</v>
      </c>
      <c r="W20" s="42">
        <f t="shared" si="72"/>
        <v>0</v>
      </c>
      <c r="X20" s="42">
        <f t="shared" si="72"/>
        <v>0</v>
      </c>
      <c r="Y20" s="42">
        <f t="shared" si="72"/>
        <v>0</v>
      </c>
      <c r="Z20" s="42">
        <f t="shared" si="72"/>
        <v>0</v>
      </c>
      <c r="AA20" s="42">
        <f t="shared" si="72"/>
        <v>0</v>
      </c>
      <c r="AB20" s="42">
        <f t="shared" si="72"/>
        <v>0</v>
      </c>
      <c r="AC20" s="42">
        <f t="shared" si="72"/>
        <v>0</v>
      </c>
      <c r="AE20" s="337">
        <f t="shared" ref="AE20:AQ20" si="73">AE12-AE16</f>
        <v>0</v>
      </c>
      <c r="AF20" s="42">
        <f t="shared" si="73"/>
        <v>0</v>
      </c>
      <c r="AG20" s="42">
        <f t="shared" si="73"/>
        <v>0</v>
      </c>
      <c r="AH20" s="42">
        <f t="shared" si="73"/>
        <v>0</v>
      </c>
      <c r="AI20" s="42">
        <f t="shared" si="73"/>
        <v>0</v>
      </c>
      <c r="AJ20" s="42">
        <f t="shared" si="73"/>
        <v>0</v>
      </c>
      <c r="AK20" s="42">
        <f t="shared" si="73"/>
        <v>0</v>
      </c>
      <c r="AL20" s="42">
        <f t="shared" si="73"/>
        <v>0</v>
      </c>
      <c r="AM20" s="42">
        <f t="shared" si="73"/>
        <v>0</v>
      </c>
      <c r="AN20" s="42">
        <f t="shared" si="73"/>
        <v>0</v>
      </c>
      <c r="AO20" s="42">
        <f t="shared" si="73"/>
        <v>0</v>
      </c>
      <c r="AP20" s="42">
        <f t="shared" si="73"/>
        <v>0</v>
      </c>
      <c r="AQ20" s="338">
        <f t="shared" si="73"/>
        <v>0</v>
      </c>
      <c r="AS20" s="42">
        <f t="shared" ref="AS20:BE20" si="74">AS12-AS16</f>
        <v>0</v>
      </c>
      <c r="AT20" s="42">
        <f t="shared" si="74"/>
        <v>0</v>
      </c>
      <c r="AU20" s="42">
        <f t="shared" si="74"/>
        <v>0</v>
      </c>
      <c r="AV20" s="42">
        <f t="shared" si="74"/>
        <v>0</v>
      </c>
      <c r="AW20" s="42">
        <f t="shared" si="74"/>
        <v>0</v>
      </c>
      <c r="AX20" s="42">
        <f t="shared" si="74"/>
        <v>0</v>
      </c>
      <c r="AY20" s="42">
        <f t="shared" si="74"/>
        <v>0</v>
      </c>
      <c r="AZ20" s="42">
        <f t="shared" si="74"/>
        <v>0</v>
      </c>
      <c r="BA20" s="42">
        <f t="shared" si="74"/>
        <v>0</v>
      </c>
      <c r="BB20" s="42">
        <f t="shared" si="74"/>
        <v>0</v>
      </c>
      <c r="BC20" s="42">
        <f t="shared" si="74"/>
        <v>0</v>
      </c>
      <c r="BD20" s="42">
        <f t="shared" si="74"/>
        <v>0</v>
      </c>
      <c r="BE20" s="42">
        <f t="shared" si="74"/>
        <v>0</v>
      </c>
      <c r="BG20" s="42">
        <f t="shared" ref="BG20:BS20" si="75">BG12-BG16</f>
        <v>0</v>
      </c>
      <c r="BH20" s="42">
        <f t="shared" si="75"/>
        <v>0</v>
      </c>
      <c r="BI20" s="42">
        <f t="shared" si="75"/>
        <v>0</v>
      </c>
      <c r="BJ20" s="42">
        <f t="shared" si="75"/>
        <v>0</v>
      </c>
      <c r="BK20" s="42">
        <f t="shared" si="75"/>
        <v>0</v>
      </c>
      <c r="BL20" s="42">
        <f t="shared" si="75"/>
        <v>0</v>
      </c>
      <c r="BM20" s="42">
        <f t="shared" si="75"/>
        <v>0</v>
      </c>
      <c r="BN20" s="42">
        <f t="shared" si="75"/>
        <v>0</v>
      </c>
      <c r="BO20" s="42">
        <f t="shared" si="75"/>
        <v>0</v>
      </c>
      <c r="BP20" s="42">
        <f t="shared" si="75"/>
        <v>0</v>
      </c>
      <c r="BQ20" s="42">
        <f t="shared" si="75"/>
        <v>0</v>
      </c>
      <c r="BR20" s="42">
        <f t="shared" si="75"/>
        <v>0</v>
      </c>
      <c r="BS20" s="42">
        <f t="shared" si="75"/>
        <v>0</v>
      </c>
      <c r="BU20" s="42">
        <f t="shared" ref="BU20:CG20" si="76">BU12-BU16</f>
        <v>0</v>
      </c>
      <c r="BV20" s="42">
        <f t="shared" si="76"/>
        <v>0</v>
      </c>
      <c r="BW20" s="42">
        <f t="shared" si="76"/>
        <v>0</v>
      </c>
      <c r="BX20" s="42">
        <f t="shared" si="76"/>
        <v>0</v>
      </c>
      <c r="BY20" s="42">
        <f t="shared" si="76"/>
        <v>0</v>
      </c>
      <c r="BZ20" s="42">
        <f t="shared" si="76"/>
        <v>0</v>
      </c>
      <c r="CA20" s="42">
        <f t="shared" si="76"/>
        <v>0</v>
      </c>
      <c r="CB20" s="42">
        <f t="shared" si="76"/>
        <v>0</v>
      </c>
      <c r="CC20" s="42">
        <f t="shared" si="76"/>
        <v>0</v>
      </c>
      <c r="CD20" s="42">
        <f t="shared" si="76"/>
        <v>0</v>
      </c>
      <c r="CE20" s="42">
        <f t="shared" si="76"/>
        <v>0</v>
      </c>
      <c r="CF20" s="42">
        <f t="shared" si="76"/>
        <v>0</v>
      </c>
      <c r="CG20" s="42">
        <f t="shared" si="76"/>
        <v>0</v>
      </c>
      <c r="CI20" s="42">
        <f t="shared" ref="CI20:CU20" si="77">CI12-CI16</f>
        <v>0</v>
      </c>
      <c r="CJ20" s="42">
        <f t="shared" si="77"/>
        <v>0</v>
      </c>
      <c r="CK20" s="42">
        <f t="shared" si="77"/>
        <v>0</v>
      </c>
      <c r="CL20" s="42">
        <f t="shared" si="77"/>
        <v>0</v>
      </c>
      <c r="CM20" s="42">
        <f t="shared" si="77"/>
        <v>0</v>
      </c>
      <c r="CN20" s="42">
        <f t="shared" si="77"/>
        <v>0</v>
      </c>
      <c r="CO20" s="42">
        <f t="shared" si="77"/>
        <v>0</v>
      </c>
      <c r="CP20" s="42">
        <f t="shared" si="77"/>
        <v>0</v>
      </c>
      <c r="CQ20" s="42">
        <f t="shared" si="77"/>
        <v>0</v>
      </c>
      <c r="CR20" s="42">
        <f t="shared" si="77"/>
        <v>0</v>
      </c>
      <c r="CS20" s="42">
        <f t="shared" si="77"/>
        <v>0</v>
      </c>
      <c r="CT20" s="42">
        <f t="shared" si="77"/>
        <v>0</v>
      </c>
      <c r="CU20" s="42">
        <f t="shared" si="77"/>
        <v>0</v>
      </c>
      <c r="CW20" s="42">
        <f t="shared" ref="CW20:DI20" si="78">CW12-CW16</f>
        <v>0</v>
      </c>
      <c r="CX20" s="42">
        <f t="shared" si="78"/>
        <v>0</v>
      </c>
      <c r="CY20" s="42">
        <f t="shared" si="78"/>
        <v>0</v>
      </c>
      <c r="CZ20" s="42">
        <f t="shared" si="78"/>
        <v>0</v>
      </c>
      <c r="DA20" s="42">
        <f t="shared" si="78"/>
        <v>0</v>
      </c>
      <c r="DB20" s="42">
        <f t="shared" si="78"/>
        <v>0</v>
      </c>
      <c r="DC20" s="42">
        <f t="shared" si="78"/>
        <v>0</v>
      </c>
      <c r="DD20" s="42">
        <f t="shared" si="78"/>
        <v>0</v>
      </c>
      <c r="DE20" s="42">
        <f t="shared" si="78"/>
        <v>0</v>
      </c>
      <c r="DF20" s="42">
        <f t="shared" si="78"/>
        <v>0</v>
      </c>
      <c r="DG20" s="42">
        <f t="shared" si="78"/>
        <v>0</v>
      </c>
      <c r="DH20" s="42">
        <f t="shared" si="78"/>
        <v>0</v>
      </c>
      <c r="DI20" s="42">
        <f t="shared" si="78"/>
        <v>0</v>
      </c>
      <c r="DK20" s="42">
        <f t="shared" ref="DK20:DW20" si="79">DK12-DK16</f>
        <v>0</v>
      </c>
      <c r="DL20" s="42">
        <f t="shared" si="79"/>
        <v>0</v>
      </c>
      <c r="DM20" s="42">
        <f t="shared" si="79"/>
        <v>0</v>
      </c>
      <c r="DN20" s="42">
        <f t="shared" si="79"/>
        <v>0</v>
      </c>
      <c r="DO20" s="42">
        <f t="shared" si="79"/>
        <v>0</v>
      </c>
      <c r="DP20" s="42">
        <f t="shared" si="79"/>
        <v>0</v>
      </c>
      <c r="DQ20" s="42">
        <f t="shared" si="79"/>
        <v>0</v>
      </c>
      <c r="DR20" s="42">
        <f t="shared" si="79"/>
        <v>0</v>
      </c>
      <c r="DS20" s="42">
        <f t="shared" si="79"/>
        <v>0</v>
      </c>
      <c r="DT20" s="42">
        <f t="shared" si="79"/>
        <v>0</v>
      </c>
      <c r="DU20" s="42">
        <f t="shared" si="79"/>
        <v>0</v>
      </c>
      <c r="DV20" s="42">
        <f t="shared" si="79"/>
        <v>0</v>
      </c>
      <c r="DW20" s="42">
        <f t="shared" si="79"/>
        <v>0</v>
      </c>
      <c r="DY20" s="42">
        <f t="shared" ref="DY20:EK20" si="80">DY12-DY16</f>
        <v>0</v>
      </c>
      <c r="DZ20" s="42">
        <f t="shared" si="80"/>
        <v>0</v>
      </c>
      <c r="EA20" s="42">
        <f t="shared" si="80"/>
        <v>0</v>
      </c>
      <c r="EB20" s="42">
        <f t="shared" si="80"/>
        <v>0</v>
      </c>
      <c r="EC20" s="42">
        <f t="shared" si="80"/>
        <v>0</v>
      </c>
      <c r="ED20" s="42">
        <f t="shared" si="80"/>
        <v>0</v>
      </c>
      <c r="EE20" s="42">
        <f t="shared" si="80"/>
        <v>0</v>
      </c>
      <c r="EF20" s="42">
        <f t="shared" si="80"/>
        <v>0</v>
      </c>
      <c r="EG20" s="42">
        <f t="shared" si="80"/>
        <v>0</v>
      </c>
      <c r="EH20" s="42">
        <f t="shared" si="80"/>
        <v>0</v>
      </c>
      <c r="EI20" s="42">
        <f t="shared" si="80"/>
        <v>0</v>
      </c>
      <c r="EJ20" s="42">
        <f t="shared" si="80"/>
        <v>0</v>
      </c>
      <c r="EK20" s="42">
        <f t="shared" si="80"/>
        <v>0</v>
      </c>
    </row>
    <row r="21" spans="1:141" s="51" customFormat="1">
      <c r="A21" s="50">
        <v>5</v>
      </c>
      <c r="B21" s="91" t="s">
        <v>23</v>
      </c>
      <c r="C21" s="315">
        <f t="shared" ref="C21:O21" ca="1" si="81">SUM(C22:C24)-C25+C26</f>
        <v>111239706630.02679</v>
      </c>
      <c r="D21" s="92">
        <f t="shared" ca="1" si="81"/>
        <v>116478292078.08063</v>
      </c>
      <c r="E21" s="92">
        <f t="shared" ca="1" si="81"/>
        <v>120202508952.46973</v>
      </c>
      <c r="F21" s="92">
        <f t="shared" ca="1" si="81"/>
        <v>112569522006.90839</v>
      </c>
      <c r="G21" s="92">
        <f t="shared" ca="1" si="81"/>
        <v>118806782514.16611</v>
      </c>
      <c r="H21" s="92">
        <f t="shared" ca="1" si="81"/>
        <v>121059918058.08331</v>
      </c>
      <c r="I21" s="92">
        <f t="shared" ca="1" si="81"/>
        <v>119382789728.34467</v>
      </c>
      <c r="J21" s="92">
        <f t="shared" ca="1" si="81"/>
        <v>115881082098.25308</v>
      </c>
      <c r="K21" s="92">
        <f t="shared" ca="1" si="81"/>
        <v>122433150685.76663</v>
      </c>
      <c r="L21" s="92">
        <f t="shared" ca="1" si="81"/>
        <v>113465554834.21732</v>
      </c>
      <c r="M21" s="92">
        <f t="shared" ca="1" si="81"/>
        <v>120588193617.5368</v>
      </c>
      <c r="N21" s="92">
        <f t="shared" ca="1" si="81"/>
        <v>122069235516.21231</v>
      </c>
      <c r="O21" s="316">
        <f t="shared" ca="1" si="81"/>
        <v>1414176736720.0657</v>
      </c>
      <c r="Q21" s="92">
        <f t="shared" ref="Q21:AC21" ca="1" si="82">SUM(Q22:Q24)-Q25+Q26</f>
        <v>-30204664500</v>
      </c>
      <c r="R21" s="92">
        <f t="shared" ca="1" si="82"/>
        <v>-21944360000</v>
      </c>
      <c r="S21" s="92">
        <f t="shared" ca="1" si="82"/>
        <v>-35315047250</v>
      </c>
      <c r="T21" s="92">
        <f t="shared" ca="1" si="82"/>
        <v>-38773623125</v>
      </c>
      <c r="U21" s="92">
        <f t="shared" ca="1" si="82"/>
        <v>-38756394375</v>
      </c>
      <c r="V21" s="92">
        <f t="shared" ca="1" si="82"/>
        <v>-39491807000</v>
      </c>
      <c r="W21" s="92">
        <f t="shared" ca="1" si="82"/>
        <v>-40136084625</v>
      </c>
      <c r="X21" s="92">
        <f t="shared" ca="1" si="82"/>
        <v>-39491807000</v>
      </c>
      <c r="Y21" s="92">
        <f t="shared" ca="1" si="82"/>
        <v>-38203251750</v>
      </c>
      <c r="Z21" s="92">
        <f t="shared" ca="1" si="82"/>
        <v>-40136084625</v>
      </c>
      <c r="AA21" s="92">
        <f t="shared" ca="1" si="82"/>
        <v>-38847529375</v>
      </c>
      <c r="AB21" s="92">
        <f t="shared" ca="1" si="82"/>
        <v>-40136084625</v>
      </c>
      <c r="AC21" s="92">
        <f t="shared" ca="1" si="82"/>
        <v>-441436738250</v>
      </c>
      <c r="AE21" s="317">
        <f t="shared" ref="AE21:AQ21" si="83">SUM(AE22:AE24)-AE25+AE26</f>
        <v>141444371130.02679</v>
      </c>
      <c r="AF21" s="92">
        <f t="shared" si="83"/>
        <v>138422652078.08063</v>
      </c>
      <c r="AG21" s="92">
        <f t="shared" si="83"/>
        <v>155517556202.46973</v>
      </c>
      <c r="AH21" s="92">
        <f t="shared" si="83"/>
        <v>151343145131.90839</v>
      </c>
      <c r="AI21" s="92">
        <f t="shared" si="83"/>
        <v>157563176889.16611</v>
      </c>
      <c r="AJ21" s="92">
        <f t="shared" si="83"/>
        <v>160551725058.08331</v>
      </c>
      <c r="AK21" s="92">
        <f t="shared" si="83"/>
        <v>159518874353.34467</v>
      </c>
      <c r="AL21" s="92">
        <f t="shared" si="83"/>
        <v>155372889098.25308</v>
      </c>
      <c r="AM21" s="92">
        <f t="shared" si="83"/>
        <v>160636402435.76663</v>
      </c>
      <c r="AN21" s="92">
        <f t="shared" si="83"/>
        <v>153601639459.21732</v>
      </c>
      <c r="AO21" s="92">
        <f t="shared" si="83"/>
        <v>159435722992.5368</v>
      </c>
      <c r="AP21" s="92">
        <f t="shared" si="83"/>
        <v>162205320141.21231</v>
      </c>
      <c r="AQ21" s="318">
        <f t="shared" si="83"/>
        <v>1855613474970.0657</v>
      </c>
      <c r="AS21" s="92">
        <f t="shared" ref="AS21:BE21" si="84">SUM(AS22:AS24)-AS25+AS26</f>
        <v>111573152812.80542</v>
      </c>
      <c r="AT21" s="92">
        <f t="shared" si="84"/>
        <v>114942222906.7661</v>
      </c>
      <c r="AU21" s="92">
        <f t="shared" si="84"/>
        <v>120213688326.59052</v>
      </c>
      <c r="AV21" s="92">
        <f t="shared" si="84"/>
        <v>113297880731.08926</v>
      </c>
      <c r="AW21" s="92">
        <f t="shared" si="84"/>
        <v>119515804418.96034</v>
      </c>
      <c r="AX21" s="92">
        <f t="shared" si="84"/>
        <v>121320057022.57965</v>
      </c>
      <c r="AY21" s="92">
        <f t="shared" si="84"/>
        <v>119663072666.45052</v>
      </c>
      <c r="AZ21" s="92">
        <f t="shared" si="84"/>
        <v>116065893729.5943</v>
      </c>
      <c r="BA21" s="92">
        <f t="shared" si="84"/>
        <v>122487196346.25676</v>
      </c>
      <c r="BB21" s="92">
        <f t="shared" si="84"/>
        <v>113826945063.91806</v>
      </c>
      <c r="BC21" s="92">
        <f t="shared" si="84"/>
        <v>120726874069.98517</v>
      </c>
      <c r="BD21" s="92">
        <f t="shared" si="84"/>
        <v>122409403433.51817</v>
      </c>
      <c r="BE21" s="92">
        <f t="shared" si="84"/>
        <v>1416042191528.5142</v>
      </c>
      <c r="BG21" s="92">
        <f t="shared" ref="BG21:BS21" si="85">SUM(BG22:BG24)-BG25+BG26</f>
        <v>29871218317.221367</v>
      </c>
      <c r="BH21" s="92">
        <f t="shared" si="85"/>
        <v>23480429171.314529</v>
      </c>
      <c r="BI21" s="92">
        <f t="shared" si="85"/>
        <v>35303867875.879211</v>
      </c>
      <c r="BJ21" s="92">
        <f t="shared" si="85"/>
        <v>38045264400.819122</v>
      </c>
      <c r="BK21" s="92">
        <f t="shared" si="85"/>
        <v>38047372470.205765</v>
      </c>
      <c r="BL21" s="92">
        <f t="shared" si="85"/>
        <v>39231668035.503654</v>
      </c>
      <c r="BM21" s="92">
        <f t="shared" si="85"/>
        <v>39855801686.894142</v>
      </c>
      <c r="BN21" s="92">
        <f t="shared" si="85"/>
        <v>39306995368.658783</v>
      </c>
      <c r="BO21" s="92">
        <f t="shared" si="85"/>
        <v>38149206089.509865</v>
      </c>
      <c r="BP21" s="92">
        <f t="shared" si="85"/>
        <v>39774694395.299263</v>
      </c>
      <c r="BQ21" s="92">
        <f t="shared" si="85"/>
        <v>38708848922.551636</v>
      </c>
      <c r="BR21" s="92">
        <f t="shared" si="85"/>
        <v>39795916707.694138</v>
      </c>
      <c r="BS21" s="92">
        <f t="shared" si="85"/>
        <v>439571283441.55151</v>
      </c>
      <c r="BU21" s="92">
        <f t="shared" ref="BU21:CG21" si="86">SUM(BU22:BU24)-BU25+BU26</f>
        <v>11065194159.771919</v>
      </c>
      <c r="BV21" s="92">
        <f t="shared" si="86"/>
        <v>8484312662.2266903</v>
      </c>
      <c r="BW21" s="92">
        <f t="shared" si="86"/>
        <v>14981194313.276604</v>
      </c>
      <c r="BX21" s="92">
        <f t="shared" si="86"/>
        <v>16094983354.117205</v>
      </c>
      <c r="BY21" s="92">
        <f t="shared" si="86"/>
        <v>16141285777.228315</v>
      </c>
      <c r="BZ21" s="92">
        <f t="shared" si="86"/>
        <v>16743718828.380339</v>
      </c>
      <c r="CA21" s="92">
        <f t="shared" si="86"/>
        <v>17343062797.199028</v>
      </c>
      <c r="CB21" s="92">
        <f t="shared" si="86"/>
        <v>16776758834.380339</v>
      </c>
      <c r="CC21" s="92">
        <f t="shared" si="86"/>
        <v>15670997557.409628</v>
      </c>
      <c r="CD21" s="92">
        <f t="shared" si="86"/>
        <v>17325135640.865692</v>
      </c>
      <c r="CE21" s="92">
        <f t="shared" si="86"/>
        <v>16232964444.228315</v>
      </c>
      <c r="CF21" s="92">
        <f t="shared" si="86"/>
        <v>17332799001.865692</v>
      </c>
      <c r="CG21" s="92">
        <f t="shared" si="86"/>
        <v>184192407370.94977</v>
      </c>
      <c r="CI21" s="92">
        <f t="shared" ref="CI21:CU21" si="87">SUM(CI22:CI24)-CI25+CI26</f>
        <v>7190802752.9545536</v>
      </c>
      <c r="CJ21" s="92">
        <f t="shared" si="87"/>
        <v>5664772064.6117477</v>
      </c>
      <c r="CK21" s="92">
        <f t="shared" si="87"/>
        <v>7668274849.5021544</v>
      </c>
      <c r="CL21" s="92">
        <f t="shared" si="87"/>
        <v>8227781725.1497555</v>
      </c>
      <c r="CM21" s="92">
        <f t="shared" si="87"/>
        <v>8183995965.3497562</v>
      </c>
      <c r="CN21" s="92">
        <f t="shared" si="87"/>
        <v>8230599968.6164227</v>
      </c>
      <c r="CO21" s="92">
        <f t="shared" si="87"/>
        <v>8242509945.9830894</v>
      </c>
      <c r="CP21" s="92">
        <f t="shared" si="87"/>
        <v>8260042590.5664225</v>
      </c>
      <c r="CQ21" s="92">
        <f t="shared" si="87"/>
        <v>8249574716.1830893</v>
      </c>
      <c r="CR21" s="92">
        <f t="shared" si="87"/>
        <v>8188547606.5164223</v>
      </c>
      <c r="CS21" s="92">
        <f t="shared" si="87"/>
        <v>8207901072.8164225</v>
      </c>
      <c r="CT21" s="92">
        <f t="shared" si="87"/>
        <v>8205260429.1164227</v>
      </c>
      <c r="CU21" s="92">
        <f t="shared" si="87"/>
        <v>94520063687.366257</v>
      </c>
      <c r="CW21" s="92">
        <f t="shared" ref="CW21:DI21" si="88">SUM(CW22:CW24)-CW25+CW26</f>
        <v>11615221404.494896</v>
      </c>
      <c r="CX21" s="92">
        <f t="shared" si="88"/>
        <v>9331344444.4760895</v>
      </c>
      <c r="CY21" s="92">
        <f t="shared" si="88"/>
        <v>12654398713.100452</v>
      </c>
      <c r="CZ21" s="92">
        <f t="shared" si="88"/>
        <v>13722499321.552162</v>
      </c>
      <c r="DA21" s="92">
        <f t="shared" si="88"/>
        <v>13722090727.627693</v>
      </c>
      <c r="DB21" s="92">
        <f t="shared" si="88"/>
        <v>14257349238.506895</v>
      </c>
      <c r="DC21" s="92">
        <f t="shared" si="88"/>
        <v>14270228943.712023</v>
      </c>
      <c r="DD21" s="92">
        <f t="shared" si="88"/>
        <v>14270193943.712023</v>
      </c>
      <c r="DE21" s="92">
        <f t="shared" si="88"/>
        <v>14228633815.91715</v>
      </c>
      <c r="DF21" s="92">
        <f t="shared" si="88"/>
        <v>14261011147.91715</v>
      </c>
      <c r="DG21" s="92">
        <f t="shared" si="88"/>
        <v>14267983405.506895</v>
      </c>
      <c r="DH21" s="92">
        <f t="shared" si="88"/>
        <v>14257857276.712023</v>
      </c>
      <c r="DI21" s="92">
        <f t="shared" si="88"/>
        <v>160858812383.23544</v>
      </c>
      <c r="DK21" s="92">
        <f t="shared" ref="DK21:DW21" si="89">SUM(DK22:DK24)-DK25+DK26</f>
        <v>0</v>
      </c>
      <c r="DL21" s="92">
        <f t="shared" si="89"/>
        <v>0</v>
      </c>
      <c r="DM21" s="92">
        <f t="shared" si="89"/>
        <v>0</v>
      </c>
      <c r="DN21" s="92">
        <f t="shared" si="89"/>
        <v>0</v>
      </c>
      <c r="DO21" s="92">
        <f t="shared" si="89"/>
        <v>0</v>
      </c>
      <c r="DP21" s="92">
        <f t="shared" si="89"/>
        <v>0</v>
      </c>
      <c r="DQ21" s="92">
        <f t="shared" si="89"/>
        <v>0</v>
      </c>
      <c r="DR21" s="92">
        <f t="shared" si="89"/>
        <v>0</v>
      </c>
      <c r="DS21" s="92">
        <f t="shared" si="89"/>
        <v>0</v>
      </c>
      <c r="DT21" s="92">
        <f t="shared" si="89"/>
        <v>0</v>
      </c>
      <c r="DU21" s="92">
        <f t="shared" si="89"/>
        <v>0</v>
      </c>
      <c r="DV21" s="92">
        <f t="shared" si="89"/>
        <v>0</v>
      </c>
      <c r="DW21" s="92">
        <f t="shared" si="89"/>
        <v>0</v>
      </c>
      <c r="DY21" s="92">
        <f t="shared" ref="DY21:EK21" si="90">SUM(DY22:DY24)-DY25+DY26</f>
        <v>0</v>
      </c>
      <c r="DZ21" s="92">
        <f t="shared" si="90"/>
        <v>0</v>
      </c>
      <c r="EA21" s="92">
        <f t="shared" si="90"/>
        <v>0</v>
      </c>
      <c r="EB21" s="92">
        <f t="shared" si="90"/>
        <v>0</v>
      </c>
      <c r="EC21" s="92">
        <f t="shared" si="90"/>
        <v>0</v>
      </c>
      <c r="ED21" s="92">
        <f t="shared" si="90"/>
        <v>0</v>
      </c>
      <c r="EE21" s="92">
        <f t="shared" si="90"/>
        <v>0</v>
      </c>
      <c r="EF21" s="92">
        <f t="shared" si="90"/>
        <v>0</v>
      </c>
      <c r="EG21" s="92">
        <f t="shared" si="90"/>
        <v>0</v>
      </c>
      <c r="EH21" s="92">
        <f t="shared" si="90"/>
        <v>0</v>
      </c>
      <c r="EI21" s="92">
        <f t="shared" si="90"/>
        <v>0</v>
      </c>
      <c r="EJ21" s="92">
        <f t="shared" si="90"/>
        <v>0</v>
      </c>
      <c r="EK21" s="92">
        <f t="shared" si="90"/>
        <v>0</v>
      </c>
    </row>
    <row r="22" spans="1:141" outlineLevel="2">
      <c r="A22" s="38" t="s">
        <v>64</v>
      </c>
      <c r="B22" s="39" t="s">
        <v>1</v>
      </c>
      <c r="C22" s="339">
        <f t="shared" ref="C22:N26" si="91">Q22+AE22</f>
        <v>111573152812.80542</v>
      </c>
      <c r="D22" s="73">
        <f t="shared" si="91"/>
        <v>114942222906.7661</v>
      </c>
      <c r="E22" s="73">
        <f t="shared" si="91"/>
        <v>120213688326.59052</v>
      </c>
      <c r="F22" s="73">
        <f t="shared" si="91"/>
        <v>113297880731.08926</v>
      </c>
      <c r="G22" s="73">
        <f t="shared" si="91"/>
        <v>119515804418.96034</v>
      </c>
      <c r="H22" s="73">
        <f t="shared" si="91"/>
        <v>121320057022.57965</v>
      </c>
      <c r="I22" s="73">
        <f t="shared" si="91"/>
        <v>119663072666.45052</v>
      </c>
      <c r="J22" s="73">
        <f t="shared" si="91"/>
        <v>116065893729.5943</v>
      </c>
      <c r="K22" s="73">
        <f t="shared" si="91"/>
        <v>122487196346.25676</v>
      </c>
      <c r="L22" s="73">
        <f t="shared" si="91"/>
        <v>113826945063.91806</v>
      </c>
      <c r="M22" s="73">
        <f t="shared" si="91"/>
        <v>120726874069.98517</v>
      </c>
      <c r="N22" s="73">
        <f t="shared" si="91"/>
        <v>122409403433.51817</v>
      </c>
      <c r="O22" s="340">
        <f>SUM(C22:N22)</f>
        <v>1416042191528.5142</v>
      </c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>
        <f>SUM(Q22:AB22)</f>
        <v>0</v>
      </c>
      <c r="AE22" s="341">
        <f t="shared" ref="AE22:AP24" si="92">AS22+BU22+CI22+CW22+DK22</f>
        <v>111573152812.80542</v>
      </c>
      <c r="AF22" s="73">
        <f t="shared" si="92"/>
        <v>114942222906.7661</v>
      </c>
      <c r="AG22" s="73">
        <f t="shared" si="92"/>
        <v>120213688326.59052</v>
      </c>
      <c r="AH22" s="73">
        <f t="shared" si="92"/>
        <v>113297880731.08926</v>
      </c>
      <c r="AI22" s="73">
        <f t="shared" si="92"/>
        <v>119515804418.96034</v>
      </c>
      <c r="AJ22" s="73">
        <f t="shared" si="92"/>
        <v>121320057022.57965</v>
      </c>
      <c r="AK22" s="73">
        <f t="shared" si="92"/>
        <v>119663072666.45052</v>
      </c>
      <c r="AL22" s="73">
        <f t="shared" si="92"/>
        <v>116065893729.5943</v>
      </c>
      <c r="AM22" s="73">
        <f t="shared" si="92"/>
        <v>122487196346.25676</v>
      </c>
      <c r="AN22" s="73">
        <f t="shared" si="92"/>
        <v>113826945063.91806</v>
      </c>
      <c r="AO22" s="73">
        <f t="shared" si="92"/>
        <v>120726874069.98517</v>
      </c>
      <c r="AP22" s="73">
        <f t="shared" si="92"/>
        <v>122409403433.51817</v>
      </c>
      <c r="AQ22" s="342">
        <f>SUM(AE22:AP22)</f>
        <v>1416042191528.5142</v>
      </c>
      <c r="AS22" s="73">
        <v>111573152812.80542</v>
      </c>
      <c r="AT22" s="73">
        <v>114942222906.7661</v>
      </c>
      <c r="AU22" s="73">
        <v>120213688326.59052</v>
      </c>
      <c r="AV22" s="73">
        <v>113297880731.08926</v>
      </c>
      <c r="AW22" s="73">
        <v>119515804418.96034</v>
      </c>
      <c r="AX22" s="73">
        <v>121320057022.57965</v>
      </c>
      <c r="AY22" s="73">
        <v>119663072666.45052</v>
      </c>
      <c r="AZ22" s="73">
        <v>116065893729.5943</v>
      </c>
      <c r="BA22" s="73">
        <v>122487196346.25676</v>
      </c>
      <c r="BB22" s="73">
        <v>113826945063.91806</v>
      </c>
      <c r="BC22" s="73">
        <v>120726874069.98517</v>
      </c>
      <c r="BD22" s="73">
        <v>122409403433.51817</v>
      </c>
      <c r="BE22" s="73">
        <f>SUM(AS22:BD22)</f>
        <v>1416042191528.5142</v>
      </c>
      <c r="BG22" s="73">
        <f t="shared" ref="BG22:BR24" si="93">BU22+CI22+CW22</f>
        <v>0</v>
      </c>
      <c r="BH22" s="73">
        <f t="shared" si="93"/>
        <v>0</v>
      </c>
      <c r="BI22" s="73">
        <f t="shared" si="93"/>
        <v>0</v>
      </c>
      <c r="BJ22" s="73">
        <f t="shared" si="93"/>
        <v>0</v>
      </c>
      <c r="BK22" s="73">
        <f t="shared" si="93"/>
        <v>0</v>
      </c>
      <c r="BL22" s="73">
        <f t="shared" si="93"/>
        <v>0</v>
      </c>
      <c r="BM22" s="73">
        <f t="shared" si="93"/>
        <v>0</v>
      </c>
      <c r="BN22" s="73">
        <f t="shared" si="93"/>
        <v>0</v>
      </c>
      <c r="BO22" s="73">
        <f t="shared" si="93"/>
        <v>0</v>
      </c>
      <c r="BP22" s="73">
        <f t="shared" si="93"/>
        <v>0</v>
      </c>
      <c r="BQ22" s="73">
        <f t="shared" si="93"/>
        <v>0</v>
      </c>
      <c r="BR22" s="73">
        <f t="shared" si="93"/>
        <v>0</v>
      </c>
      <c r="BS22" s="73">
        <f>SUM(BG22:BR22)</f>
        <v>0</v>
      </c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>
        <f>SUM(BU22:CF22)</f>
        <v>0</v>
      </c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>
        <f>SUM(CI22:CT22)</f>
        <v>0</v>
      </c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>
        <f>SUM(CW22:DH22)</f>
        <v>0</v>
      </c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>
        <f>SUM(DK22:DV22)</f>
        <v>0</v>
      </c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>
        <f>SUM(DY22:EJ22)</f>
        <v>0</v>
      </c>
    </row>
    <row r="23" spans="1:141" outlineLevel="2">
      <c r="A23" s="38" t="s">
        <v>67</v>
      </c>
      <c r="B23" s="39" t="s">
        <v>2</v>
      </c>
      <c r="C23" s="339">
        <f t="shared" si="91"/>
        <v>-333446182.77863312</v>
      </c>
      <c r="D23" s="73">
        <f t="shared" si="91"/>
        <v>1536069171.3145294</v>
      </c>
      <c r="E23" s="73">
        <f t="shared" si="91"/>
        <v>-11179374.120788574</v>
      </c>
      <c r="F23" s="73">
        <f t="shared" si="91"/>
        <v>-728358724.18087769</v>
      </c>
      <c r="G23" s="73">
        <f t="shared" si="91"/>
        <v>-709021904.79423523</v>
      </c>
      <c r="H23" s="73">
        <f t="shared" si="91"/>
        <v>-260138964.49634552</v>
      </c>
      <c r="I23" s="73">
        <f t="shared" si="91"/>
        <v>-280282938.10585785</v>
      </c>
      <c r="J23" s="73">
        <f t="shared" si="91"/>
        <v>-184811631.34121704</v>
      </c>
      <c r="K23" s="73">
        <f t="shared" si="91"/>
        <v>-54045660.490135193</v>
      </c>
      <c r="L23" s="73">
        <f t="shared" si="91"/>
        <v>-361390229.700737</v>
      </c>
      <c r="M23" s="73">
        <f t="shared" si="91"/>
        <v>-138680452.44836426</v>
      </c>
      <c r="N23" s="73">
        <f t="shared" si="91"/>
        <v>-340167917.30586243</v>
      </c>
      <c r="O23" s="340">
        <f>SUM(C23:N23)</f>
        <v>-1865454808.4485245</v>
      </c>
      <c r="Q23" s="73">
        <f t="shared" ref="Q23:AB23" si="94">Q11</f>
        <v>-30204664500</v>
      </c>
      <c r="R23" s="73">
        <f t="shared" si="94"/>
        <v>-21944360000</v>
      </c>
      <c r="S23" s="73">
        <f t="shared" si="94"/>
        <v>-35315047250</v>
      </c>
      <c r="T23" s="73">
        <f t="shared" si="94"/>
        <v>-38773623125</v>
      </c>
      <c r="U23" s="73">
        <f t="shared" si="94"/>
        <v>-38756394375</v>
      </c>
      <c r="V23" s="73">
        <f t="shared" si="94"/>
        <v>-39491807000</v>
      </c>
      <c r="W23" s="73">
        <f t="shared" si="94"/>
        <v>-40136084625</v>
      </c>
      <c r="X23" s="73">
        <f t="shared" si="94"/>
        <v>-39491807000</v>
      </c>
      <c r="Y23" s="73">
        <f t="shared" si="94"/>
        <v>-38203251750</v>
      </c>
      <c r="Z23" s="73">
        <f t="shared" si="94"/>
        <v>-40136084625</v>
      </c>
      <c r="AA23" s="73">
        <f t="shared" si="94"/>
        <v>-38847529375</v>
      </c>
      <c r="AB23" s="73">
        <f t="shared" si="94"/>
        <v>-40136084625</v>
      </c>
      <c r="AC23" s="73">
        <f>SUM(Q23:AB23)</f>
        <v>-441436738250</v>
      </c>
      <c r="AE23" s="341">
        <f t="shared" si="92"/>
        <v>29871218317.221367</v>
      </c>
      <c r="AF23" s="73">
        <f t="shared" si="92"/>
        <v>23480429171.314529</v>
      </c>
      <c r="AG23" s="73">
        <f t="shared" si="92"/>
        <v>35303867875.879211</v>
      </c>
      <c r="AH23" s="73">
        <f t="shared" si="92"/>
        <v>38045264400.819122</v>
      </c>
      <c r="AI23" s="73">
        <f t="shared" si="92"/>
        <v>38047372470.205765</v>
      </c>
      <c r="AJ23" s="73">
        <f t="shared" si="92"/>
        <v>39231668035.503654</v>
      </c>
      <c r="AK23" s="73">
        <f t="shared" si="92"/>
        <v>39855801686.894142</v>
      </c>
      <c r="AL23" s="73">
        <f t="shared" si="92"/>
        <v>39306995368.658783</v>
      </c>
      <c r="AM23" s="73">
        <f t="shared" si="92"/>
        <v>38149206089.509865</v>
      </c>
      <c r="AN23" s="73">
        <f t="shared" si="92"/>
        <v>39774694395.299263</v>
      </c>
      <c r="AO23" s="73">
        <f t="shared" si="92"/>
        <v>38708848922.551636</v>
      </c>
      <c r="AP23" s="73">
        <f t="shared" si="92"/>
        <v>39795916707.694138</v>
      </c>
      <c r="AQ23" s="342">
        <f>SUM(AE23:AP23)</f>
        <v>439571283441.55151</v>
      </c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>
        <f>SUM(AS23:BD23)</f>
        <v>0</v>
      </c>
      <c r="BG23" s="73">
        <f t="shared" si="93"/>
        <v>29871218317.221367</v>
      </c>
      <c r="BH23" s="73">
        <f t="shared" si="93"/>
        <v>23480429171.314529</v>
      </c>
      <c r="BI23" s="73">
        <f t="shared" si="93"/>
        <v>35303867875.879211</v>
      </c>
      <c r="BJ23" s="73">
        <f t="shared" si="93"/>
        <v>38045264400.819122</v>
      </c>
      <c r="BK23" s="73">
        <f t="shared" si="93"/>
        <v>38047372470.205765</v>
      </c>
      <c r="BL23" s="73">
        <f t="shared" si="93"/>
        <v>39231668035.503654</v>
      </c>
      <c r="BM23" s="73">
        <f t="shared" si="93"/>
        <v>39855801686.894142</v>
      </c>
      <c r="BN23" s="73">
        <f t="shared" si="93"/>
        <v>39306995368.658783</v>
      </c>
      <c r="BO23" s="73">
        <f t="shared" si="93"/>
        <v>38149206089.509865</v>
      </c>
      <c r="BP23" s="73">
        <f t="shared" si="93"/>
        <v>39774694395.299263</v>
      </c>
      <c r="BQ23" s="73">
        <f t="shared" si="93"/>
        <v>38708848922.551636</v>
      </c>
      <c r="BR23" s="73">
        <f t="shared" si="93"/>
        <v>39795916707.694138</v>
      </c>
      <c r="BS23" s="73">
        <f>SUM(BG23:BR23)</f>
        <v>439571283441.55151</v>
      </c>
      <c r="BU23" s="73">
        <v>11065194159.771919</v>
      </c>
      <c r="BV23" s="73">
        <v>8484312662.2266903</v>
      </c>
      <c r="BW23" s="73">
        <v>14981194313.276604</v>
      </c>
      <c r="BX23" s="73">
        <v>16094983354.117205</v>
      </c>
      <c r="BY23" s="73">
        <v>16141285777.228315</v>
      </c>
      <c r="BZ23" s="73">
        <v>16743718828.380339</v>
      </c>
      <c r="CA23" s="73">
        <v>17343062797.199028</v>
      </c>
      <c r="CB23" s="73">
        <v>16776758834.380339</v>
      </c>
      <c r="CC23" s="73">
        <v>15670997557.409628</v>
      </c>
      <c r="CD23" s="73">
        <v>17325135640.865692</v>
      </c>
      <c r="CE23" s="73">
        <v>16232964444.228315</v>
      </c>
      <c r="CF23" s="73">
        <v>17332799001.865692</v>
      </c>
      <c r="CG23" s="73">
        <f>SUM(BU23:CF23)</f>
        <v>184192407370.94977</v>
      </c>
      <c r="CI23" s="73">
        <v>7190802752.9545536</v>
      </c>
      <c r="CJ23" s="73">
        <v>5664772064.6117477</v>
      </c>
      <c r="CK23" s="73">
        <v>7668274849.5021544</v>
      </c>
      <c r="CL23" s="73">
        <v>8227781725.1497555</v>
      </c>
      <c r="CM23" s="73">
        <v>8183995965.3497562</v>
      </c>
      <c r="CN23" s="73">
        <v>8230599968.6164227</v>
      </c>
      <c r="CO23" s="73">
        <v>8242509945.9830894</v>
      </c>
      <c r="CP23" s="73">
        <v>8260042590.5664225</v>
      </c>
      <c r="CQ23" s="73">
        <v>8249574716.1830893</v>
      </c>
      <c r="CR23" s="73">
        <v>8188547606.5164223</v>
      </c>
      <c r="CS23" s="73">
        <v>8207901072.8164225</v>
      </c>
      <c r="CT23" s="73">
        <v>8205260429.1164227</v>
      </c>
      <c r="CU23" s="73">
        <f>SUM(CI23:CT23)</f>
        <v>94520063687.366257</v>
      </c>
      <c r="CW23" s="73">
        <v>11615221404.494896</v>
      </c>
      <c r="CX23" s="73">
        <v>9331344444.4760895</v>
      </c>
      <c r="CY23" s="73">
        <v>12654398713.100452</v>
      </c>
      <c r="CZ23" s="73">
        <v>13722499321.552162</v>
      </c>
      <c r="DA23" s="73">
        <v>13722090727.627693</v>
      </c>
      <c r="DB23" s="73">
        <v>14257349238.506895</v>
      </c>
      <c r="DC23" s="73">
        <v>14270228943.712023</v>
      </c>
      <c r="DD23" s="73">
        <v>14270193943.712023</v>
      </c>
      <c r="DE23" s="73">
        <v>14228633815.91715</v>
      </c>
      <c r="DF23" s="73">
        <v>14261011147.91715</v>
      </c>
      <c r="DG23" s="73">
        <v>14267983405.506895</v>
      </c>
      <c r="DH23" s="73">
        <v>14257857276.712023</v>
      </c>
      <c r="DI23" s="73">
        <f>SUM(CW23:DH23)</f>
        <v>160858812383.23544</v>
      </c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>
        <f>SUM(DK23:DV23)</f>
        <v>0</v>
      </c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>
        <f>SUM(DY23:EJ23)</f>
        <v>0</v>
      </c>
    </row>
    <row r="24" spans="1:141" outlineLevel="2">
      <c r="A24" s="38" t="s">
        <v>68</v>
      </c>
      <c r="B24" s="39" t="s">
        <v>3</v>
      </c>
      <c r="C24" s="315">
        <f t="shared" si="91"/>
        <v>0</v>
      </c>
      <c r="D24" s="92">
        <f t="shared" si="91"/>
        <v>0</v>
      </c>
      <c r="E24" s="92">
        <f t="shared" si="91"/>
        <v>0</v>
      </c>
      <c r="F24" s="92">
        <f t="shared" si="91"/>
        <v>0</v>
      </c>
      <c r="G24" s="92">
        <f t="shared" si="91"/>
        <v>0</v>
      </c>
      <c r="H24" s="92">
        <f t="shared" si="91"/>
        <v>0</v>
      </c>
      <c r="I24" s="92">
        <f t="shared" si="91"/>
        <v>0</v>
      </c>
      <c r="J24" s="92">
        <f t="shared" si="91"/>
        <v>0</v>
      </c>
      <c r="K24" s="92">
        <f t="shared" si="91"/>
        <v>0</v>
      </c>
      <c r="L24" s="92">
        <f t="shared" si="91"/>
        <v>0</v>
      </c>
      <c r="M24" s="92">
        <f t="shared" si="91"/>
        <v>0</v>
      </c>
      <c r="N24" s="92">
        <f t="shared" si="91"/>
        <v>0</v>
      </c>
      <c r="O24" s="316">
        <f>SUM(C24:N24)</f>
        <v>0</v>
      </c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>
        <f>SUM(Q24:AB24)</f>
        <v>0</v>
      </c>
      <c r="AE24" s="317">
        <f t="shared" si="92"/>
        <v>0</v>
      </c>
      <c r="AF24" s="92">
        <f t="shared" si="92"/>
        <v>0</v>
      </c>
      <c r="AG24" s="92">
        <f t="shared" si="92"/>
        <v>0</v>
      </c>
      <c r="AH24" s="92">
        <f t="shared" si="92"/>
        <v>0</v>
      </c>
      <c r="AI24" s="92">
        <f t="shared" si="92"/>
        <v>0</v>
      </c>
      <c r="AJ24" s="92">
        <f t="shared" si="92"/>
        <v>0</v>
      </c>
      <c r="AK24" s="92">
        <f t="shared" si="92"/>
        <v>0</v>
      </c>
      <c r="AL24" s="92">
        <f t="shared" si="92"/>
        <v>0</v>
      </c>
      <c r="AM24" s="92">
        <f t="shared" si="92"/>
        <v>0</v>
      </c>
      <c r="AN24" s="92">
        <f t="shared" si="92"/>
        <v>0</v>
      </c>
      <c r="AO24" s="92">
        <f t="shared" si="92"/>
        <v>0</v>
      </c>
      <c r="AP24" s="92">
        <f t="shared" si="92"/>
        <v>0</v>
      </c>
      <c r="AQ24" s="318">
        <f>SUM(AE24:AP24)</f>
        <v>0</v>
      </c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>
        <f>SUM(AS24:BD24)</f>
        <v>0</v>
      </c>
      <c r="BG24" s="92">
        <f t="shared" si="93"/>
        <v>0</v>
      </c>
      <c r="BH24" s="92">
        <f t="shared" si="93"/>
        <v>0</v>
      </c>
      <c r="BI24" s="92">
        <f t="shared" si="93"/>
        <v>0</v>
      </c>
      <c r="BJ24" s="92">
        <f t="shared" si="93"/>
        <v>0</v>
      </c>
      <c r="BK24" s="92">
        <f t="shared" si="93"/>
        <v>0</v>
      </c>
      <c r="BL24" s="92">
        <f t="shared" si="93"/>
        <v>0</v>
      </c>
      <c r="BM24" s="92">
        <f t="shared" si="93"/>
        <v>0</v>
      </c>
      <c r="BN24" s="92">
        <f t="shared" si="93"/>
        <v>0</v>
      </c>
      <c r="BO24" s="92">
        <f t="shared" si="93"/>
        <v>0</v>
      </c>
      <c r="BP24" s="92">
        <f t="shared" si="93"/>
        <v>0</v>
      </c>
      <c r="BQ24" s="92">
        <f t="shared" si="93"/>
        <v>0</v>
      </c>
      <c r="BR24" s="92">
        <f t="shared" si="93"/>
        <v>0</v>
      </c>
      <c r="BS24" s="92">
        <f>SUM(BG24:BR24)</f>
        <v>0</v>
      </c>
      <c r="BU24" s="92"/>
      <c r="BV24" s="92"/>
      <c r="BW24" s="92"/>
      <c r="BX24" s="92"/>
      <c r="BY24" s="92"/>
      <c r="BZ24" s="92"/>
      <c r="CA24" s="92"/>
      <c r="CB24" s="92"/>
      <c r="CC24" s="92"/>
      <c r="CD24" s="92"/>
      <c r="CE24" s="92"/>
      <c r="CF24" s="92"/>
      <c r="CG24" s="92">
        <f>SUM(BU24:CF24)</f>
        <v>0</v>
      </c>
      <c r="CI24" s="92"/>
      <c r="CJ24" s="92"/>
      <c r="CK24" s="92"/>
      <c r="CL24" s="92"/>
      <c r="CM24" s="92"/>
      <c r="CN24" s="92"/>
      <c r="CO24" s="92"/>
      <c r="CP24" s="92"/>
      <c r="CQ24" s="92"/>
      <c r="CR24" s="92"/>
      <c r="CS24" s="92"/>
      <c r="CT24" s="92"/>
      <c r="CU24" s="92">
        <f>SUM(CI24:CT24)</f>
        <v>0</v>
      </c>
      <c r="CW24" s="92"/>
      <c r="CX24" s="92"/>
      <c r="CY24" s="92"/>
      <c r="CZ24" s="92"/>
      <c r="DA24" s="92"/>
      <c r="DB24" s="92"/>
      <c r="DC24" s="92"/>
      <c r="DD24" s="92"/>
      <c r="DE24" s="92"/>
      <c r="DF24" s="92"/>
      <c r="DG24" s="92"/>
      <c r="DH24" s="92"/>
      <c r="DI24" s="92">
        <f>SUM(CW24:DH24)</f>
        <v>0</v>
      </c>
      <c r="DK24" s="92"/>
      <c r="DL24" s="92"/>
      <c r="DM24" s="92"/>
      <c r="DN24" s="92"/>
      <c r="DO24" s="92"/>
      <c r="DP24" s="92"/>
      <c r="DQ24" s="92"/>
      <c r="DR24" s="92"/>
      <c r="DS24" s="92"/>
      <c r="DT24" s="92"/>
      <c r="DU24" s="92"/>
      <c r="DV24" s="92"/>
      <c r="DW24" s="92">
        <f>SUM(DK24:DV24)</f>
        <v>0</v>
      </c>
      <c r="DY24" s="92"/>
      <c r="DZ24" s="92"/>
      <c r="EA24" s="92"/>
      <c r="EB24" s="92"/>
      <c r="EC24" s="92"/>
      <c r="ED24" s="92"/>
      <c r="EE24" s="92"/>
      <c r="EF24" s="92"/>
      <c r="EG24" s="92"/>
      <c r="EH24" s="92"/>
      <c r="EI24" s="92"/>
      <c r="EJ24" s="92"/>
      <c r="EK24" s="92">
        <f>SUM(DY24:EJ24)</f>
        <v>0</v>
      </c>
    </row>
    <row r="25" spans="1:141" s="28" customFormat="1" outlineLevel="1">
      <c r="A25" s="43" t="s">
        <v>6</v>
      </c>
      <c r="B25" s="44" t="s">
        <v>4</v>
      </c>
      <c r="C25" s="343">
        <f t="shared" si="91"/>
        <v>0</v>
      </c>
      <c r="D25" s="102">
        <f t="shared" ca="1" si="91"/>
        <v>0</v>
      </c>
      <c r="E25" s="102">
        <f t="shared" ca="1" si="91"/>
        <v>0</v>
      </c>
      <c r="F25" s="102">
        <f t="shared" ca="1" si="91"/>
        <v>0</v>
      </c>
      <c r="G25" s="102">
        <f t="shared" ca="1" si="91"/>
        <v>0</v>
      </c>
      <c r="H25" s="102">
        <f t="shared" ca="1" si="91"/>
        <v>0</v>
      </c>
      <c r="I25" s="102">
        <f t="shared" ca="1" si="91"/>
        <v>0</v>
      </c>
      <c r="J25" s="102">
        <f t="shared" ca="1" si="91"/>
        <v>0</v>
      </c>
      <c r="K25" s="102">
        <f t="shared" ca="1" si="91"/>
        <v>0</v>
      </c>
      <c r="L25" s="102">
        <f t="shared" ca="1" si="91"/>
        <v>0</v>
      </c>
      <c r="M25" s="102">
        <f t="shared" ca="1" si="91"/>
        <v>0</v>
      </c>
      <c r="N25" s="102">
        <f t="shared" ca="1" si="91"/>
        <v>0</v>
      </c>
      <c r="O25" s="344"/>
      <c r="Q25" s="102"/>
      <c r="R25" s="102">
        <f t="shared" ref="R25:AB25" ca="1" si="95">Q26</f>
        <v>0</v>
      </c>
      <c r="S25" s="102">
        <f t="shared" ca="1" si="95"/>
        <v>0</v>
      </c>
      <c r="T25" s="102">
        <f t="shared" ca="1" si="95"/>
        <v>0</v>
      </c>
      <c r="U25" s="102">
        <f t="shared" ca="1" si="95"/>
        <v>0</v>
      </c>
      <c r="V25" s="102">
        <f t="shared" ca="1" si="95"/>
        <v>0</v>
      </c>
      <c r="W25" s="102">
        <f t="shared" ca="1" si="95"/>
        <v>0</v>
      </c>
      <c r="X25" s="102">
        <f t="shared" ca="1" si="95"/>
        <v>0</v>
      </c>
      <c r="Y25" s="102">
        <f t="shared" ca="1" si="95"/>
        <v>0</v>
      </c>
      <c r="Z25" s="102">
        <f t="shared" ca="1" si="95"/>
        <v>0</v>
      </c>
      <c r="AA25" s="102">
        <f t="shared" ca="1" si="95"/>
        <v>0</v>
      </c>
      <c r="AB25" s="102">
        <f t="shared" ca="1" si="95"/>
        <v>0</v>
      </c>
      <c r="AC25" s="102"/>
      <c r="AE25" s="345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346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2"/>
      <c r="CG25" s="102"/>
      <c r="CI25" s="102"/>
      <c r="CJ25" s="102"/>
      <c r="CK25" s="102"/>
      <c r="CL25" s="102"/>
      <c r="CM25" s="102"/>
      <c r="CN25" s="102"/>
      <c r="CO25" s="102"/>
      <c r="CP25" s="102"/>
      <c r="CQ25" s="102"/>
      <c r="CR25" s="102"/>
      <c r="CS25" s="102"/>
      <c r="CT25" s="102"/>
      <c r="CU25" s="102"/>
      <c r="CW25" s="102"/>
      <c r="CX25" s="102"/>
      <c r="CY25" s="102"/>
      <c r="CZ25" s="102"/>
      <c r="DA25" s="102"/>
      <c r="DB25" s="102"/>
      <c r="DC25" s="102"/>
      <c r="DD25" s="102"/>
      <c r="DE25" s="102"/>
      <c r="DF25" s="102"/>
      <c r="DG25" s="102"/>
      <c r="DH25" s="102"/>
      <c r="DI25" s="102"/>
      <c r="DK25" s="102"/>
      <c r="DL25" s="102"/>
      <c r="DM25" s="102"/>
      <c r="DN25" s="102"/>
      <c r="DO25" s="102"/>
      <c r="DP25" s="102"/>
      <c r="DQ25" s="102"/>
      <c r="DR25" s="102"/>
      <c r="DS25" s="102"/>
      <c r="DT25" s="102"/>
      <c r="DU25" s="102"/>
      <c r="DV25" s="102"/>
      <c r="DW25" s="102"/>
      <c r="DY25" s="102"/>
      <c r="DZ25" s="102"/>
      <c r="EA25" s="102"/>
      <c r="EB25" s="102"/>
      <c r="EC25" s="102"/>
      <c r="ED25" s="102"/>
      <c r="EE25" s="102"/>
      <c r="EF25" s="102"/>
      <c r="EG25" s="102"/>
      <c r="EH25" s="102"/>
      <c r="EI25" s="102"/>
      <c r="EJ25" s="102"/>
      <c r="EK25" s="102"/>
    </row>
    <row r="26" spans="1:141" s="28" customFormat="1" outlineLevel="1">
      <c r="A26" s="64" t="s">
        <v>7</v>
      </c>
      <c r="B26" s="65" t="s">
        <v>5</v>
      </c>
      <c r="C26" s="347">
        <f t="shared" ca="1" si="91"/>
        <v>0</v>
      </c>
      <c r="D26" s="94">
        <f t="shared" ca="1" si="91"/>
        <v>0</v>
      </c>
      <c r="E26" s="94">
        <f t="shared" ca="1" si="91"/>
        <v>0</v>
      </c>
      <c r="F26" s="94">
        <f t="shared" ca="1" si="91"/>
        <v>0</v>
      </c>
      <c r="G26" s="94">
        <f t="shared" ca="1" si="91"/>
        <v>0</v>
      </c>
      <c r="H26" s="94">
        <f t="shared" ca="1" si="91"/>
        <v>0</v>
      </c>
      <c r="I26" s="94">
        <f t="shared" ca="1" si="91"/>
        <v>0</v>
      </c>
      <c r="J26" s="94">
        <f t="shared" ca="1" si="91"/>
        <v>0</v>
      </c>
      <c r="K26" s="94">
        <f t="shared" ca="1" si="91"/>
        <v>0</v>
      </c>
      <c r="L26" s="94">
        <f t="shared" ca="1" si="91"/>
        <v>0</v>
      </c>
      <c r="M26" s="94">
        <f t="shared" ca="1" si="91"/>
        <v>0</v>
      </c>
      <c r="N26" s="94">
        <f t="shared" ca="1" si="91"/>
        <v>0</v>
      </c>
      <c r="O26" s="348">
        <f ca="1">N26</f>
        <v>0</v>
      </c>
      <c r="Q26" s="94">
        <f t="shared" ref="Q26:AB26" ca="1" si="96">IF(OR($R$1=1,$R$1=0),0,SUM(OFFSET(AE29,0,MAX(-(AE$4-1),-($R$1-1)),1,MIN(AE$4,$R$1)))/$R$1*($R$1-1))</f>
        <v>0</v>
      </c>
      <c r="R26" s="94">
        <f t="shared" ca="1" si="96"/>
        <v>0</v>
      </c>
      <c r="S26" s="94">
        <f t="shared" ca="1" si="96"/>
        <v>0</v>
      </c>
      <c r="T26" s="94">
        <f t="shared" ca="1" si="96"/>
        <v>0</v>
      </c>
      <c r="U26" s="94">
        <f t="shared" ca="1" si="96"/>
        <v>0</v>
      </c>
      <c r="V26" s="94">
        <f t="shared" ca="1" si="96"/>
        <v>0</v>
      </c>
      <c r="W26" s="94">
        <f t="shared" ca="1" si="96"/>
        <v>0</v>
      </c>
      <c r="X26" s="94">
        <f t="shared" ca="1" si="96"/>
        <v>0</v>
      </c>
      <c r="Y26" s="94">
        <f t="shared" ca="1" si="96"/>
        <v>0</v>
      </c>
      <c r="Z26" s="94">
        <f t="shared" ca="1" si="96"/>
        <v>0</v>
      </c>
      <c r="AA26" s="94">
        <f t="shared" ca="1" si="96"/>
        <v>0</v>
      </c>
      <c r="AB26" s="94">
        <f t="shared" ca="1" si="96"/>
        <v>0</v>
      </c>
      <c r="AC26" s="94">
        <f ca="1">AB26</f>
        <v>0</v>
      </c>
      <c r="AE26" s="349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350">
        <f>AP26</f>
        <v>0</v>
      </c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>
        <f>BD26</f>
        <v>0</v>
      </c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>
        <f>BR26</f>
        <v>0</v>
      </c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>
        <f>CF26</f>
        <v>0</v>
      </c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>
        <f>CT26</f>
        <v>0</v>
      </c>
      <c r="CW26" s="94"/>
      <c r="CX26" s="94"/>
      <c r="CY26" s="94"/>
      <c r="CZ26" s="94"/>
      <c r="DA26" s="94"/>
      <c r="DB26" s="94"/>
      <c r="DC26" s="94"/>
      <c r="DD26" s="94"/>
      <c r="DE26" s="94"/>
      <c r="DF26" s="94"/>
      <c r="DG26" s="94"/>
      <c r="DH26" s="94"/>
      <c r="DI26" s="94">
        <f>DH26</f>
        <v>0</v>
      </c>
      <c r="DK26" s="94"/>
      <c r="DL26" s="94"/>
      <c r="DM26" s="94"/>
      <c r="DN26" s="94"/>
      <c r="DO26" s="94"/>
      <c r="DP26" s="94"/>
      <c r="DQ26" s="94"/>
      <c r="DR26" s="94"/>
      <c r="DS26" s="94"/>
      <c r="DT26" s="94"/>
      <c r="DU26" s="94"/>
      <c r="DV26" s="94"/>
      <c r="DW26" s="94">
        <f>DV26</f>
        <v>0</v>
      </c>
      <c r="DY26" s="94"/>
      <c r="DZ26" s="94"/>
      <c r="EA26" s="94"/>
      <c r="EB26" s="94"/>
      <c r="EC26" s="94"/>
      <c r="ED26" s="94"/>
      <c r="EE26" s="94"/>
      <c r="EF26" s="94"/>
      <c r="EG26" s="94"/>
      <c r="EH26" s="94"/>
      <c r="EI26" s="94"/>
      <c r="EJ26" s="94"/>
      <c r="EK26" s="94">
        <f>EJ26</f>
        <v>0</v>
      </c>
    </row>
    <row r="27" spans="1:141" s="51" customFormat="1">
      <c r="A27" s="66">
        <v>6</v>
      </c>
      <c r="B27" s="62" t="s">
        <v>24</v>
      </c>
      <c r="C27" s="351">
        <f t="shared" ref="C27:O27" ca="1" si="97">SUM(C28:C30)</f>
        <v>18265634506.830009</v>
      </c>
      <c r="D27" s="95">
        <f t="shared" ca="1" si="97"/>
        <v>11496149099.786148</v>
      </c>
      <c r="E27" s="95">
        <f t="shared" ca="1" si="97"/>
        <v>21396982875.357513</v>
      </c>
      <c r="F27" s="95">
        <f t="shared" ca="1" si="97"/>
        <v>19212744511.693405</v>
      </c>
      <c r="G27" s="95">
        <f t="shared" ca="1" si="97"/>
        <v>21437524970.570953</v>
      </c>
      <c r="H27" s="95">
        <f t="shared" ca="1" si="97"/>
        <v>20349382161.160347</v>
      </c>
      <c r="I27" s="95">
        <f t="shared" ca="1" si="97"/>
        <v>26021267659.615303</v>
      </c>
      <c r="J27" s="95">
        <f t="shared" ca="1" si="97"/>
        <v>25395279419.891541</v>
      </c>
      <c r="K27" s="95">
        <f t="shared" ca="1" si="97"/>
        <v>25763348856.515968</v>
      </c>
      <c r="L27" s="95">
        <f t="shared" ca="1" si="97"/>
        <v>24518926408.946312</v>
      </c>
      <c r="M27" s="95">
        <f t="shared" ca="1" si="97"/>
        <v>25340866721.2901</v>
      </c>
      <c r="N27" s="95">
        <f t="shared" ca="1" si="97"/>
        <v>25372778229.959137</v>
      </c>
      <c r="O27" s="352">
        <f t="shared" ca="1" si="97"/>
        <v>264570885421.61673</v>
      </c>
      <c r="Q27" s="95">
        <f t="shared" ref="Q27:AC27" ca="1" si="98">SUM(Q28:Q30)</f>
        <v>0</v>
      </c>
      <c r="R27" s="95">
        <f t="shared" ca="1" si="98"/>
        <v>0</v>
      </c>
      <c r="S27" s="95">
        <f t="shared" ca="1" si="98"/>
        <v>0</v>
      </c>
      <c r="T27" s="95">
        <f t="shared" ca="1" si="98"/>
        <v>0</v>
      </c>
      <c r="U27" s="95">
        <f t="shared" ca="1" si="98"/>
        <v>0</v>
      </c>
      <c r="V27" s="95">
        <f t="shared" ca="1" si="98"/>
        <v>0</v>
      </c>
      <c r="W27" s="95">
        <f t="shared" ca="1" si="98"/>
        <v>0</v>
      </c>
      <c r="X27" s="95">
        <f t="shared" ca="1" si="98"/>
        <v>0</v>
      </c>
      <c r="Y27" s="95">
        <f t="shared" ca="1" si="98"/>
        <v>0</v>
      </c>
      <c r="Z27" s="95">
        <f t="shared" ca="1" si="98"/>
        <v>0</v>
      </c>
      <c r="AA27" s="95">
        <f t="shared" ca="1" si="98"/>
        <v>0</v>
      </c>
      <c r="AB27" s="95">
        <f t="shared" ca="1" si="98"/>
        <v>0</v>
      </c>
      <c r="AC27" s="95">
        <f t="shared" ca="1" si="98"/>
        <v>0</v>
      </c>
      <c r="AE27" s="353">
        <f t="shared" ref="AE27:AQ27" si="99">SUM(AE28:AE30)</f>
        <v>18265634506.830009</v>
      </c>
      <c r="AF27" s="95">
        <f t="shared" si="99"/>
        <v>11496149099.786148</v>
      </c>
      <c r="AG27" s="95">
        <f t="shared" si="99"/>
        <v>21396982875.357513</v>
      </c>
      <c r="AH27" s="95">
        <f t="shared" si="99"/>
        <v>19212744511.693405</v>
      </c>
      <c r="AI27" s="95">
        <f t="shared" si="99"/>
        <v>21437524970.570953</v>
      </c>
      <c r="AJ27" s="95">
        <f t="shared" si="99"/>
        <v>20349382161.160347</v>
      </c>
      <c r="AK27" s="95">
        <f t="shared" si="99"/>
        <v>26021267659.615303</v>
      </c>
      <c r="AL27" s="95">
        <f t="shared" si="99"/>
        <v>25395279419.891541</v>
      </c>
      <c r="AM27" s="95">
        <f t="shared" si="99"/>
        <v>25763348856.515968</v>
      </c>
      <c r="AN27" s="95">
        <f t="shared" si="99"/>
        <v>24518926408.946312</v>
      </c>
      <c r="AO27" s="95">
        <f t="shared" si="99"/>
        <v>25340866721.2901</v>
      </c>
      <c r="AP27" s="95">
        <f t="shared" si="99"/>
        <v>25372778229.959137</v>
      </c>
      <c r="AQ27" s="354">
        <f t="shared" si="99"/>
        <v>264570885421.6167</v>
      </c>
      <c r="AS27" s="95">
        <f t="shared" ref="AS27:BE27" si="100">SUM(AS28:AS30)</f>
        <v>17932188324.051376</v>
      </c>
      <c r="AT27" s="95">
        <f t="shared" si="100"/>
        <v>13032218271.100677</v>
      </c>
      <c r="AU27" s="95">
        <f t="shared" si="100"/>
        <v>21385803501.236725</v>
      </c>
      <c r="AV27" s="95">
        <f t="shared" si="100"/>
        <v>18484385787.512527</v>
      </c>
      <c r="AW27" s="95">
        <f t="shared" si="100"/>
        <v>20728503065.776718</v>
      </c>
      <c r="AX27" s="95">
        <f t="shared" si="100"/>
        <v>20089243196.664001</v>
      </c>
      <c r="AY27" s="95">
        <f t="shared" si="100"/>
        <v>25740984721.509445</v>
      </c>
      <c r="AZ27" s="95">
        <f t="shared" si="100"/>
        <v>25210467788.550323</v>
      </c>
      <c r="BA27" s="95">
        <f t="shared" si="100"/>
        <v>25709303196.025833</v>
      </c>
      <c r="BB27" s="95">
        <f t="shared" si="100"/>
        <v>24157536179.245575</v>
      </c>
      <c r="BC27" s="95">
        <f t="shared" si="100"/>
        <v>25202186268.841736</v>
      </c>
      <c r="BD27" s="95">
        <f t="shared" si="100"/>
        <v>25032610312.653275</v>
      </c>
      <c r="BE27" s="95">
        <f t="shared" si="100"/>
        <v>262705430613.16821</v>
      </c>
      <c r="BG27" s="95">
        <f t="shared" ref="BG27:BS27" si="101">SUM(BG28:BG30)</f>
        <v>333446182.77863312</v>
      </c>
      <c r="BH27" s="95">
        <f t="shared" si="101"/>
        <v>-1536069171.3145294</v>
      </c>
      <c r="BI27" s="95">
        <f t="shared" si="101"/>
        <v>11179374.120788574</v>
      </c>
      <c r="BJ27" s="95">
        <f t="shared" si="101"/>
        <v>728358724.18087769</v>
      </c>
      <c r="BK27" s="95">
        <f t="shared" si="101"/>
        <v>709021904.79423523</v>
      </c>
      <c r="BL27" s="95">
        <f t="shared" si="101"/>
        <v>260138964.49634552</v>
      </c>
      <c r="BM27" s="95">
        <f t="shared" si="101"/>
        <v>280282938.10585785</v>
      </c>
      <c r="BN27" s="95">
        <f t="shared" si="101"/>
        <v>184811631.34121704</v>
      </c>
      <c r="BO27" s="95">
        <f t="shared" si="101"/>
        <v>54045660.490135193</v>
      </c>
      <c r="BP27" s="95">
        <f t="shared" si="101"/>
        <v>361390229.700737</v>
      </c>
      <c r="BQ27" s="95">
        <f t="shared" si="101"/>
        <v>138680452.44836426</v>
      </c>
      <c r="BR27" s="95">
        <f t="shared" si="101"/>
        <v>340167917.30586243</v>
      </c>
      <c r="BS27" s="95">
        <f t="shared" si="101"/>
        <v>1865454808.4484863</v>
      </c>
      <c r="BU27" s="95">
        <f t="shared" ref="BU27:CG27" si="102">SUM(BU28:BU30)</f>
        <v>254477840.22808075</v>
      </c>
      <c r="BV27" s="95">
        <f t="shared" si="102"/>
        <v>-1020792662.2266903</v>
      </c>
      <c r="BW27" s="95">
        <f t="shared" si="102"/>
        <v>-441984563.2766037</v>
      </c>
      <c r="BX27" s="95">
        <f t="shared" si="102"/>
        <v>11957270.882795334</v>
      </c>
      <c r="BY27" s="95">
        <f t="shared" si="102"/>
        <v>-34345152.228315353</v>
      </c>
      <c r="BZ27" s="95">
        <f t="shared" si="102"/>
        <v>7499421.6196613312</v>
      </c>
      <c r="CA27" s="95">
        <f t="shared" si="102"/>
        <v>52433077.800971985</v>
      </c>
      <c r="CB27" s="95">
        <f t="shared" si="102"/>
        <v>-25540584.380338669</v>
      </c>
      <c r="CC27" s="95">
        <f t="shared" si="102"/>
        <v>-208334557.40962791</v>
      </c>
      <c r="CD27" s="95">
        <f t="shared" si="102"/>
        <v>70360234.134307861</v>
      </c>
      <c r="CE27" s="95">
        <f t="shared" si="102"/>
        <v>-126023819.22831535</v>
      </c>
      <c r="CF27" s="95">
        <f t="shared" si="102"/>
        <v>62696873.134307861</v>
      </c>
      <c r="CG27" s="95">
        <f t="shared" si="102"/>
        <v>-1397596620.9497681</v>
      </c>
      <c r="CI27" s="95">
        <f t="shared" ref="CI27:CU27" si="103">SUM(CI28:CI30)</f>
        <v>278747247.0454464</v>
      </c>
      <c r="CJ27" s="95">
        <f t="shared" si="103"/>
        <v>-62609564.611747742</v>
      </c>
      <c r="CK27" s="95">
        <f t="shared" si="103"/>
        <v>423737650.49784565</v>
      </c>
      <c r="CL27" s="95">
        <f t="shared" si="103"/>
        <v>486693274.85024452</v>
      </c>
      <c r="CM27" s="95">
        <f t="shared" si="103"/>
        <v>530479034.65024376</v>
      </c>
      <c r="CN27" s="95">
        <f t="shared" si="103"/>
        <v>483875031.38357735</v>
      </c>
      <c r="CO27" s="95">
        <f t="shared" si="103"/>
        <v>471965054.01691055</v>
      </c>
      <c r="CP27" s="95">
        <f t="shared" si="103"/>
        <v>454432409.43357754</v>
      </c>
      <c r="CQ27" s="95">
        <f t="shared" si="103"/>
        <v>464900283.81691074</v>
      </c>
      <c r="CR27" s="95">
        <f t="shared" si="103"/>
        <v>525927393.48357773</v>
      </c>
      <c r="CS27" s="95">
        <f t="shared" si="103"/>
        <v>506573927.18357754</v>
      </c>
      <c r="CT27" s="95">
        <f t="shared" si="103"/>
        <v>509214570.88357735</v>
      </c>
      <c r="CU27" s="95">
        <f t="shared" si="103"/>
        <v>5073936312.6337433</v>
      </c>
      <c r="CW27" s="95">
        <f t="shared" ref="CW27:DI27" si="104">SUM(CW28:CW30)</f>
        <v>-199778904.49489594</v>
      </c>
      <c r="CX27" s="95">
        <f t="shared" si="104"/>
        <v>-452666944.47608948</v>
      </c>
      <c r="CY27" s="95">
        <f t="shared" si="104"/>
        <v>29426286.899547577</v>
      </c>
      <c r="CZ27" s="95">
        <f t="shared" si="104"/>
        <v>229708178.44783783</v>
      </c>
      <c r="DA27" s="95">
        <f t="shared" si="104"/>
        <v>212888022.37230682</v>
      </c>
      <c r="DB27" s="95">
        <f t="shared" si="104"/>
        <v>-231235488.50689507</v>
      </c>
      <c r="DC27" s="95">
        <f t="shared" si="104"/>
        <v>-244115193.71202278</v>
      </c>
      <c r="DD27" s="95">
        <f t="shared" si="104"/>
        <v>-244080193.71202278</v>
      </c>
      <c r="DE27" s="95">
        <f t="shared" si="104"/>
        <v>-202520065.9171505</v>
      </c>
      <c r="DF27" s="95">
        <f t="shared" si="104"/>
        <v>-234897397.9171505</v>
      </c>
      <c r="DG27" s="95">
        <f t="shared" si="104"/>
        <v>-241869655.50689507</v>
      </c>
      <c r="DH27" s="95">
        <f t="shared" si="104"/>
        <v>-231743526.71202278</v>
      </c>
      <c r="DI27" s="95">
        <f t="shared" si="104"/>
        <v>-1810884883.2354431</v>
      </c>
      <c r="DK27" s="95">
        <f t="shared" ref="DK27:DW27" si="105">SUM(DK28:DK30)</f>
        <v>0</v>
      </c>
      <c r="DL27" s="95">
        <f t="shared" si="105"/>
        <v>0</v>
      </c>
      <c r="DM27" s="95">
        <f t="shared" si="105"/>
        <v>0</v>
      </c>
      <c r="DN27" s="95">
        <f t="shared" si="105"/>
        <v>0</v>
      </c>
      <c r="DO27" s="95">
        <f t="shared" si="105"/>
        <v>0</v>
      </c>
      <c r="DP27" s="95">
        <f t="shared" si="105"/>
        <v>0</v>
      </c>
      <c r="DQ27" s="95">
        <f t="shared" si="105"/>
        <v>0</v>
      </c>
      <c r="DR27" s="95">
        <f t="shared" si="105"/>
        <v>0</v>
      </c>
      <c r="DS27" s="95">
        <f t="shared" si="105"/>
        <v>0</v>
      </c>
      <c r="DT27" s="95">
        <f t="shared" si="105"/>
        <v>0</v>
      </c>
      <c r="DU27" s="95">
        <f t="shared" si="105"/>
        <v>0</v>
      </c>
      <c r="DV27" s="95">
        <f t="shared" si="105"/>
        <v>0</v>
      </c>
      <c r="DW27" s="95">
        <f t="shared" si="105"/>
        <v>0</v>
      </c>
      <c r="DY27" s="95">
        <f t="shared" ref="DY27:EK27" si="106">SUM(DY28:DY30)</f>
        <v>0</v>
      </c>
      <c r="DZ27" s="95">
        <f t="shared" si="106"/>
        <v>0</v>
      </c>
      <c r="EA27" s="95">
        <f t="shared" si="106"/>
        <v>0</v>
      </c>
      <c r="EB27" s="95">
        <f t="shared" si="106"/>
        <v>0</v>
      </c>
      <c r="EC27" s="95">
        <f t="shared" si="106"/>
        <v>0</v>
      </c>
      <c r="ED27" s="95">
        <f t="shared" si="106"/>
        <v>0</v>
      </c>
      <c r="EE27" s="95">
        <f t="shared" si="106"/>
        <v>0</v>
      </c>
      <c r="EF27" s="95">
        <f t="shared" si="106"/>
        <v>0</v>
      </c>
      <c r="EG27" s="95">
        <f t="shared" si="106"/>
        <v>0</v>
      </c>
      <c r="EH27" s="95">
        <f t="shared" si="106"/>
        <v>0</v>
      </c>
      <c r="EI27" s="95">
        <f t="shared" si="106"/>
        <v>0</v>
      </c>
      <c r="EJ27" s="95">
        <f t="shared" si="106"/>
        <v>0</v>
      </c>
      <c r="EK27" s="95">
        <f t="shared" si="106"/>
        <v>0</v>
      </c>
    </row>
    <row r="28" spans="1:141" s="29" customFormat="1" outlineLevel="1">
      <c r="A28" s="74" t="s">
        <v>8</v>
      </c>
      <c r="B28" s="59" t="s">
        <v>1</v>
      </c>
      <c r="C28" s="331">
        <f t="shared" ref="C28:O28" ca="1" si="107">C18-C22+C25-C26</f>
        <v>17932188324.051376</v>
      </c>
      <c r="D28" s="60">
        <f t="shared" ca="1" si="107"/>
        <v>13032218271.100677</v>
      </c>
      <c r="E28" s="60">
        <f t="shared" ca="1" si="107"/>
        <v>21385803501.236725</v>
      </c>
      <c r="F28" s="60">
        <f t="shared" ca="1" si="107"/>
        <v>18484385787.512527</v>
      </c>
      <c r="G28" s="60">
        <f t="shared" ca="1" si="107"/>
        <v>20728503065.776718</v>
      </c>
      <c r="H28" s="60">
        <f t="shared" ca="1" si="107"/>
        <v>20089243196.664001</v>
      </c>
      <c r="I28" s="60">
        <f t="shared" ca="1" si="107"/>
        <v>25740984721.509445</v>
      </c>
      <c r="J28" s="60">
        <f t="shared" ca="1" si="107"/>
        <v>25210467788.550323</v>
      </c>
      <c r="K28" s="60">
        <f t="shared" ca="1" si="107"/>
        <v>25709303196.025833</v>
      </c>
      <c r="L28" s="60">
        <f t="shared" ca="1" si="107"/>
        <v>24157536179.245575</v>
      </c>
      <c r="M28" s="60">
        <f t="shared" ca="1" si="107"/>
        <v>25202186268.841736</v>
      </c>
      <c r="N28" s="60">
        <f t="shared" ca="1" si="107"/>
        <v>25032610312.653275</v>
      </c>
      <c r="O28" s="332">
        <f t="shared" ca="1" si="107"/>
        <v>262705430613.16821</v>
      </c>
      <c r="Q28" s="60">
        <f t="shared" ref="Q28:AC28" ca="1" si="108">Q18-Q22+Q25-Q26</f>
        <v>0</v>
      </c>
      <c r="R28" s="60">
        <f t="shared" ca="1" si="108"/>
        <v>0</v>
      </c>
      <c r="S28" s="60">
        <f t="shared" ca="1" si="108"/>
        <v>0</v>
      </c>
      <c r="T28" s="60">
        <f t="shared" ca="1" si="108"/>
        <v>0</v>
      </c>
      <c r="U28" s="60">
        <f t="shared" ca="1" si="108"/>
        <v>0</v>
      </c>
      <c r="V28" s="60">
        <f t="shared" ca="1" si="108"/>
        <v>0</v>
      </c>
      <c r="W28" s="60">
        <f t="shared" ca="1" si="108"/>
        <v>0</v>
      </c>
      <c r="X28" s="60">
        <f t="shared" ca="1" si="108"/>
        <v>0</v>
      </c>
      <c r="Y28" s="60">
        <f t="shared" ca="1" si="108"/>
        <v>0</v>
      </c>
      <c r="Z28" s="60">
        <f t="shared" ca="1" si="108"/>
        <v>0</v>
      </c>
      <c r="AA28" s="60">
        <f t="shared" ca="1" si="108"/>
        <v>0</v>
      </c>
      <c r="AB28" s="60">
        <f t="shared" ca="1" si="108"/>
        <v>0</v>
      </c>
      <c r="AC28" s="60">
        <f t="shared" ca="1" si="108"/>
        <v>0</v>
      </c>
      <c r="AE28" s="333">
        <f t="shared" ref="AE28:AQ28" si="109">AE18-AE22+AE25-AE26</f>
        <v>17932188324.051376</v>
      </c>
      <c r="AF28" s="60">
        <f t="shared" si="109"/>
        <v>13032218271.100677</v>
      </c>
      <c r="AG28" s="60">
        <f t="shared" si="109"/>
        <v>21385803501.236725</v>
      </c>
      <c r="AH28" s="60">
        <f t="shared" si="109"/>
        <v>18484385787.512527</v>
      </c>
      <c r="AI28" s="60">
        <f t="shared" si="109"/>
        <v>20728503065.776718</v>
      </c>
      <c r="AJ28" s="60">
        <f t="shared" si="109"/>
        <v>20089243196.664001</v>
      </c>
      <c r="AK28" s="60">
        <f t="shared" si="109"/>
        <v>25740984721.509445</v>
      </c>
      <c r="AL28" s="60">
        <f t="shared" si="109"/>
        <v>25210467788.550323</v>
      </c>
      <c r="AM28" s="60">
        <f t="shared" si="109"/>
        <v>25709303196.025833</v>
      </c>
      <c r="AN28" s="60">
        <f t="shared" si="109"/>
        <v>24157536179.245575</v>
      </c>
      <c r="AO28" s="60">
        <f t="shared" si="109"/>
        <v>25202186268.841736</v>
      </c>
      <c r="AP28" s="60">
        <f t="shared" si="109"/>
        <v>25032610312.653275</v>
      </c>
      <c r="AQ28" s="334">
        <f t="shared" si="109"/>
        <v>262705430613.16821</v>
      </c>
      <c r="AS28" s="60">
        <f t="shared" ref="AS28:BE28" si="110">AS18-AS22+AS25-AS26</f>
        <v>17932188324.051376</v>
      </c>
      <c r="AT28" s="60">
        <f t="shared" si="110"/>
        <v>13032218271.100677</v>
      </c>
      <c r="AU28" s="60">
        <f t="shared" si="110"/>
        <v>21385803501.236725</v>
      </c>
      <c r="AV28" s="60">
        <f t="shared" si="110"/>
        <v>18484385787.512527</v>
      </c>
      <c r="AW28" s="60">
        <f t="shared" si="110"/>
        <v>20728503065.776718</v>
      </c>
      <c r="AX28" s="60">
        <f t="shared" si="110"/>
        <v>20089243196.664001</v>
      </c>
      <c r="AY28" s="60">
        <f t="shared" si="110"/>
        <v>25740984721.509445</v>
      </c>
      <c r="AZ28" s="60">
        <f t="shared" si="110"/>
        <v>25210467788.550323</v>
      </c>
      <c r="BA28" s="60">
        <f t="shared" si="110"/>
        <v>25709303196.025833</v>
      </c>
      <c r="BB28" s="60">
        <f t="shared" si="110"/>
        <v>24157536179.245575</v>
      </c>
      <c r="BC28" s="60">
        <f t="shared" si="110"/>
        <v>25202186268.841736</v>
      </c>
      <c r="BD28" s="60">
        <f t="shared" si="110"/>
        <v>25032610312.653275</v>
      </c>
      <c r="BE28" s="60">
        <f t="shared" si="110"/>
        <v>262705430613.16821</v>
      </c>
      <c r="BG28" s="60">
        <f t="shared" ref="BG28:BS28" si="111">BG18-BG22+BG25-BG26</f>
        <v>0</v>
      </c>
      <c r="BH28" s="60">
        <f t="shared" si="111"/>
        <v>0</v>
      </c>
      <c r="BI28" s="60">
        <f t="shared" si="111"/>
        <v>0</v>
      </c>
      <c r="BJ28" s="60">
        <f t="shared" si="111"/>
        <v>0</v>
      </c>
      <c r="BK28" s="60">
        <f t="shared" si="111"/>
        <v>0</v>
      </c>
      <c r="BL28" s="60">
        <f t="shared" si="111"/>
        <v>0</v>
      </c>
      <c r="BM28" s="60">
        <f t="shared" si="111"/>
        <v>0</v>
      </c>
      <c r="BN28" s="60">
        <f t="shared" si="111"/>
        <v>0</v>
      </c>
      <c r="BO28" s="60">
        <f t="shared" si="111"/>
        <v>0</v>
      </c>
      <c r="BP28" s="60">
        <f t="shared" si="111"/>
        <v>0</v>
      </c>
      <c r="BQ28" s="60">
        <f t="shared" si="111"/>
        <v>0</v>
      </c>
      <c r="BR28" s="60">
        <f t="shared" si="111"/>
        <v>0</v>
      </c>
      <c r="BS28" s="60">
        <f t="shared" si="111"/>
        <v>0</v>
      </c>
      <c r="BU28" s="60">
        <f t="shared" ref="BU28:CG28" si="112">BU18-BU22+BU25-BU26</f>
        <v>0</v>
      </c>
      <c r="BV28" s="60">
        <f t="shared" si="112"/>
        <v>0</v>
      </c>
      <c r="BW28" s="60">
        <f t="shared" si="112"/>
        <v>0</v>
      </c>
      <c r="BX28" s="60">
        <f t="shared" si="112"/>
        <v>0</v>
      </c>
      <c r="BY28" s="60">
        <f t="shared" si="112"/>
        <v>0</v>
      </c>
      <c r="BZ28" s="60">
        <f t="shared" si="112"/>
        <v>0</v>
      </c>
      <c r="CA28" s="60">
        <f t="shared" si="112"/>
        <v>0</v>
      </c>
      <c r="CB28" s="60">
        <f t="shared" si="112"/>
        <v>0</v>
      </c>
      <c r="CC28" s="60">
        <f t="shared" si="112"/>
        <v>0</v>
      </c>
      <c r="CD28" s="60">
        <f t="shared" si="112"/>
        <v>0</v>
      </c>
      <c r="CE28" s="60">
        <f t="shared" si="112"/>
        <v>0</v>
      </c>
      <c r="CF28" s="60">
        <f t="shared" si="112"/>
        <v>0</v>
      </c>
      <c r="CG28" s="60">
        <f t="shared" si="112"/>
        <v>0</v>
      </c>
      <c r="CI28" s="60">
        <f t="shared" ref="CI28:CU28" si="113">CI18-CI22+CI25-CI26</f>
        <v>0</v>
      </c>
      <c r="CJ28" s="60">
        <f t="shared" si="113"/>
        <v>0</v>
      </c>
      <c r="CK28" s="60">
        <f t="shared" si="113"/>
        <v>0</v>
      </c>
      <c r="CL28" s="60">
        <f t="shared" si="113"/>
        <v>0</v>
      </c>
      <c r="CM28" s="60">
        <f t="shared" si="113"/>
        <v>0</v>
      </c>
      <c r="CN28" s="60">
        <f t="shared" si="113"/>
        <v>0</v>
      </c>
      <c r="CO28" s="60">
        <f t="shared" si="113"/>
        <v>0</v>
      </c>
      <c r="CP28" s="60">
        <f t="shared" si="113"/>
        <v>0</v>
      </c>
      <c r="CQ28" s="60">
        <f t="shared" si="113"/>
        <v>0</v>
      </c>
      <c r="CR28" s="60">
        <f t="shared" si="113"/>
        <v>0</v>
      </c>
      <c r="CS28" s="60">
        <f t="shared" si="113"/>
        <v>0</v>
      </c>
      <c r="CT28" s="60">
        <f t="shared" si="113"/>
        <v>0</v>
      </c>
      <c r="CU28" s="60">
        <f t="shared" si="113"/>
        <v>0</v>
      </c>
      <c r="CW28" s="60">
        <f t="shared" ref="CW28:DI28" si="114">CW18-CW22+CW25-CW26</f>
        <v>0</v>
      </c>
      <c r="CX28" s="60">
        <f t="shared" si="114"/>
        <v>0</v>
      </c>
      <c r="CY28" s="60">
        <f t="shared" si="114"/>
        <v>0</v>
      </c>
      <c r="CZ28" s="60">
        <f t="shared" si="114"/>
        <v>0</v>
      </c>
      <c r="DA28" s="60">
        <f t="shared" si="114"/>
        <v>0</v>
      </c>
      <c r="DB28" s="60">
        <f t="shared" si="114"/>
        <v>0</v>
      </c>
      <c r="DC28" s="60">
        <f t="shared" si="114"/>
        <v>0</v>
      </c>
      <c r="DD28" s="60">
        <f t="shared" si="114"/>
        <v>0</v>
      </c>
      <c r="DE28" s="60">
        <f t="shared" si="114"/>
        <v>0</v>
      </c>
      <c r="DF28" s="60">
        <f t="shared" si="114"/>
        <v>0</v>
      </c>
      <c r="DG28" s="60">
        <f t="shared" si="114"/>
        <v>0</v>
      </c>
      <c r="DH28" s="60">
        <f t="shared" si="114"/>
        <v>0</v>
      </c>
      <c r="DI28" s="60">
        <f t="shared" si="114"/>
        <v>0</v>
      </c>
      <c r="DK28" s="60">
        <f t="shared" ref="DK28:DW28" si="115">DK18-DK22+DK25-DK26</f>
        <v>0</v>
      </c>
      <c r="DL28" s="60">
        <f t="shared" si="115"/>
        <v>0</v>
      </c>
      <c r="DM28" s="60">
        <f t="shared" si="115"/>
        <v>0</v>
      </c>
      <c r="DN28" s="60">
        <f t="shared" si="115"/>
        <v>0</v>
      </c>
      <c r="DO28" s="60">
        <f t="shared" si="115"/>
        <v>0</v>
      </c>
      <c r="DP28" s="60">
        <f t="shared" si="115"/>
        <v>0</v>
      </c>
      <c r="DQ28" s="60">
        <f t="shared" si="115"/>
        <v>0</v>
      </c>
      <c r="DR28" s="60">
        <f t="shared" si="115"/>
        <v>0</v>
      </c>
      <c r="DS28" s="60">
        <f t="shared" si="115"/>
        <v>0</v>
      </c>
      <c r="DT28" s="60">
        <f t="shared" si="115"/>
        <v>0</v>
      </c>
      <c r="DU28" s="60">
        <f t="shared" si="115"/>
        <v>0</v>
      </c>
      <c r="DV28" s="60">
        <f t="shared" si="115"/>
        <v>0</v>
      </c>
      <c r="DW28" s="60">
        <f t="shared" si="115"/>
        <v>0</v>
      </c>
      <c r="DY28" s="60">
        <f t="shared" ref="DY28:EK28" si="116">DY18-DY22+DY25-DY26</f>
        <v>0</v>
      </c>
      <c r="DZ28" s="60">
        <f t="shared" si="116"/>
        <v>0</v>
      </c>
      <c r="EA28" s="60">
        <f t="shared" si="116"/>
        <v>0</v>
      </c>
      <c r="EB28" s="60">
        <f t="shared" si="116"/>
        <v>0</v>
      </c>
      <c r="EC28" s="60">
        <f t="shared" si="116"/>
        <v>0</v>
      </c>
      <c r="ED28" s="60">
        <f t="shared" si="116"/>
        <v>0</v>
      </c>
      <c r="EE28" s="60">
        <f t="shared" si="116"/>
        <v>0</v>
      </c>
      <c r="EF28" s="60">
        <f t="shared" si="116"/>
        <v>0</v>
      </c>
      <c r="EG28" s="60">
        <f t="shared" si="116"/>
        <v>0</v>
      </c>
      <c r="EH28" s="60">
        <f t="shared" si="116"/>
        <v>0</v>
      </c>
      <c r="EI28" s="60">
        <f t="shared" si="116"/>
        <v>0</v>
      </c>
      <c r="EJ28" s="60">
        <f t="shared" si="116"/>
        <v>0</v>
      </c>
      <c r="EK28" s="60">
        <f t="shared" si="116"/>
        <v>0</v>
      </c>
    </row>
    <row r="29" spans="1:141" s="29" customFormat="1" outlineLevel="1">
      <c r="A29" s="75" t="s">
        <v>9</v>
      </c>
      <c r="B29" s="41" t="s">
        <v>2</v>
      </c>
      <c r="C29" s="355">
        <f t="shared" ref="C29:O29" si="117">C19-C23</f>
        <v>333446182.77863312</v>
      </c>
      <c r="D29" s="288">
        <f t="shared" si="117"/>
        <v>-1536069171.3145294</v>
      </c>
      <c r="E29" s="288">
        <f t="shared" si="117"/>
        <v>11179374.120788574</v>
      </c>
      <c r="F29" s="288">
        <f t="shared" si="117"/>
        <v>728358724.18087769</v>
      </c>
      <c r="G29" s="288">
        <f t="shared" si="117"/>
        <v>709021904.79423523</v>
      </c>
      <c r="H29" s="288">
        <f t="shared" si="117"/>
        <v>260138964.49634552</v>
      </c>
      <c r="I29" s="288">
        <f t="shared" si="117"/>
        <v>280282938.10585785</v>
      </c>
      <c r="J29" s="288">
        <f t="shared" si="117"/>
        <v>184811631.34121704</v>
      </c>
      <c r="K29" s="288">
        <f t="shared" si="117"/>
        <v>54045660.490135193</v>
      </c>
      <c r="L29" s="288">
        <f t="shared" si="117"/>
        <v>361390229.700737</v>
      </c>
      <c r="M29" s="288">
        <f t="shared" si="117"/>
        <v>138680452.44836426</v>
      </c>
      <c r="N29" s="288">
        <f t="shared" si="117"/>
        <v>340167917.30586243</v>
      </c>
      <c r="O29" s="356">
        <f t="shared" si="117"/>
        <v>1865454808.4485245</v>
      </c>
      <c r="Q29" s="288">
        <f t="shared" ref="Q29:AC29" si="118">Q19-Q23</f>
        <v>0</v>
      </c>
      <c r="R29" s="288">
        <f t="shared" si="118"/>
        <v>0</v>
      </c>
      <c r="S29" s="288">
        <f t="shared" si="118"/>
        <v>0</v>
      </c>
      <c r="T29" s="288">
        <f t="shared" si="118"/>
        <v>0</v>
      </c>
      <c r="U29" s="288">
        <f t="shared" si="118"/>
        <v>0</v>
      </c>
      <c r="V29" s="288">
        <f t="shared" si="118"/>
        <v>0</v>
      </c>
      <c r="W29" s="288">
        <f t="shared" si="118"/>
        <v>0</v>
      </c>
      <c r="X29" s="288">
        <f t="shared" si="118"/>
        <v>0</v>
      </c>
      <c r="Y29" s="288">
        <f t="shared" si="118"/>
        <v>0</v>
      </c>
      <c r="Z29" s="288">
        <f t="shared" si="118"/>
        <v>0</v>
      </c>
      <c r="AA29" s="288">
        <f t="shared" si="118"/>
        <v>0</v>
      </c>
      <c r="AB29" s="288">
        <f t="shared" si="118"/>
        <v>0</v>
      </c>
      <c r="AC29" s="288">
        <f t="shared" si="118"/>
        <v>0</v>
      </c>
      <c r="AE29" s="357">
        <f t="shared" ref="AE29:AQ29" si="119">AE19-AE23</f>
        <v>333446182.77863312</v>
      </c>
      <c r="AF29" s="288">
        <f t="shared" si="119"/>
        <v>-1536069171.3145294</v>
      </c>
      <c r="AG29" s="288">
        <f t="shared" si="119"/>
        <v>11179374.120788574</v>
      </c>
      <c r="AH29" s="288">
        <f t="shared" si="119"/>
        <v>728358724.18087769</v>
      </c>
      <c r="AI29" s="288">
        <f t="shared" si="119"/>
        <v>709021904.79423523</v>
      </c>
      <c r="AJ29" s="288">
        <f t="shared" si="119"/>
        <v>260138964.49634552</v>
      </c>
      <c r="AK29" s="288">
        <f t="shared" si="119"/>
        <v>280282938.10585785</v>
      </c>
      <c r="AL29" s="288">
        <f t="shared" si="119"/>
        <v>184811631.34121704</v>
      </c>
      <c r="AM29" s="288">
        <f t="shared" si="119"/>
        <v>54045660.490135193</v>
      </c>
      <c r="AN29" s="288">
        <f t="shared" si="119"/>
        <v>361390229.700737</v>
      </c>
      <c r="AO29" s="288">
        <f t="shared" si="119"/>
        <v>138680452.44836426</v>
      </c>
      <c r="AP29" s="288">
        <f t="shared" si="119"/>
        <v>340167917.30586243</v>
      </c>
      <c r="AQ29" s="358">
        <f t="shared" si="119"/>
        <v>1865454808.4484863</v>
      </c>
      <c r="AS29" s="288">
        <f t="shared" ref="AS29:BE29" si="120">AS19-AS23</f>
        <v>0</v>
      </c>
      <c r="AT29" s="288">
        <f t="shared" si="120"/>
        <v>0</v>
      </c>
      <c r="AU29" s="288">
        <f t="shared" si="120"/>
        <v>0</v>
      </c>
      <c r="AV29" s="288">
        <f t="shared" si="120"/>
        <v>0</v>
      </c>
      <c r="AW29" s="288">
        <f t="shared" si="120"/>
        <v>0</v>
      </c>
      <c r="AX29" s="288">
        <f t="shared" si="120"/>
        <v>0</v>
      </c>
      <c r="AY29" s="288">
        <f t="shared" si="120"/>
        <v>0</v>
      </c>
      <c r="AZ29" s="288">
        <f t="shared" si="120"/>
        <v>0</v>
      </c>
      <c r="BA29" s="288">
        <f t="shared" si="120"/>
        <v>0</v>
      </c>
      <c r="BB29" s="288">
        <f t="shared" si="120"/>
        <v>0</v>
      </c>
      <c r="BC29" s="288">
        <f t="shared" si="120"/>
        <v>0</v>
      </c>
      <c r="BD29" s="288">
        <f t="shared" si="120"/>
        <v>0</v>
      </c>
      <c r="BE29" s="288">
        <f t="shared" si="120"/>
        <v>0</v>
      </c>
      <c r="BG29" s="288">
        <f t="shared" ref="BG29:BS29" si="121">BG19-BG23</f>
        <v>333446182.77863312</v>
      </c>
      <c r="BH29" s="288">
        <f t="shared" si="121"/>
        <v>-1536069171.3145294</v>
      </c>
      <c r="BI29" s="288">
        <f t="shared" si="121"/>
        <v>11179374.120788574</v>
      </c>
      <c r="BJ29" s="288">
        <f t="shared" si="121"/>
        <v>728358724.18087769</v>
      </c>
      <c r="BK29" s="288">
        <f t="shared" si="121"/>
        <v>709021904.79423523</v>
      </c>
      <c r="BL29" s="288">
        <f t="shared" si="121"/>
        <v>260138964.49634552</v>
      </c>
      <c r="BM29" s="288">
        <f t="shared" si="121"/>
        <v>280282938.10585785</v>
      </c>
      <c r="BN29" s="288">
        <f t="shared" si="121"/>
        <v>184811631.34121704</v>
      </c>
      <c r="BO29" s="288">
        <f t="shared" si="121"/>
        <v>54045660.490135193</v>
      </c>
      <c r="BP29" s="288">
        <f t="shared" si="121"/>
        <v>361390229.700737</v>
      </c>
      <c r="BQ29" s="288">
        <f t="shared" si="121"/>
        <v>138680452.44836426</v>
      </c>
      <c r="BR29" s="288">
        <f t="shared" si="121"/>
        <v>340167917.30586243</v>
      </c>
      <c r="BS29" s="288">
        <f t="shared" si="121"/>
        <v>1865454808.4484863</v>
      </c>
      <c r="BU29" s="288">
        <f t="shared" ref="BU29:CG29" si="122">BU19-BU23</f>
        <v>254477840.22808075</v>
      </c>
      <c r="BV29" s="288">
        <f t="shared" si="122"/>
        <v>-1020792662.2266903</v>
      </c>
      <c r="BW29" s="288">
        <f t="shared" si="122"/>
        <v>-441984563.2766037</v>
      </c>
      <c r="BX29" s="288">
        <f t="shared" si="122"/>
        <v>11957270.882795334</v>
      </c>
      <c r="BY29" s="288">
        <f t="shared" si="122"/>
        <v>-34345152.228315353</v>
      </c>
      <c r="BZ29" s="288">
        <f t="shared" si="122"/>
        <v>7499421.6196613312</v>
      </c>
      <c r="CA29" s="288">
        <f t="shared" si="122"/>
        <v>52433077.800971985</v>
      </c>
      <c r="CB29" s="288">
        <f t="shared" si="122"/>
        <v>-25540584.380338669</v>
      </c>
      <c r="CC29" s="288">
        <f t="shared" si="122"/>
        <v>-208334557.40962791</v>
      </c>
      <c r="CD29" s="288">
        <f t="shared" si="122"/>
        <v>70360234.134307861</v>
      </c>
      <c r="CE29" s="288">
        <f t="shared" si="122"/>
        <v>-126023819.22831535</v>
      </c>
      <c r="CF29" s="288">
        <f t="shared" si="122"/>
        <v>62696873.134307861</v>
      </c>
      <c r="CG29" s="288">
        <f t="shared" si="122"/>
        <v>-1397596620.9497681</v>
      </c>
      <c r="CI29" s="288">
        <f t="shared" ref="CI29:CU29" si="123">CI19-CI23</f>
        <v>278747247.0454464</v>
      </c>
      <c r="CJ29" s="288">
        <f t="shared" si="123"/>
        <v>-62609564.611747742</v>
      </c>
      <c r="CK29" s="288">
        <f t="shared" si="123"/>
        <v>423737650.49784565</v>
      </c>
      <c r="CL29" s="288">
        <f t="shared" si="123"/>
        <v>486693274.85024452</v>
      </c>
      <c r="CM29" s="288">
        <f t="shared" si="123"/>
        <v>530479034.65024376</v>
      </c>
      <c r="CN29" s="288">
        <f t="shared" si="123"/>
        <v>483875031.38357735</v>
      </c>
      <c r="CO29" s="288">
        <f t="shared" si="123"/>
        <v>471965054.01691055</v>
      </c>
      <c r="CP29" s="288">
        <f t="shared" si="123"/>
        <v>454432409.43357754</v>
      </c>
      <c r="CQ29" s="288">
        <f t="shared" si="123"/>
        <v>464900283.81691074</v>
      </c>
      <c r="CR29" s="288">
        <f t="shared" si="123"/>
        <v>525927393.48357773</v>
      </c>
      <c r="CS29" s="288">
        <f t="shared" si="123"/>
        <v>506573927.18357754</v>
      </c>
      <c r="CT29" s="288">
        <f t="shared" si="123"/>
        <v>509214570.88357735</v>
      </c>
      <c r="CU29" s="288">
        <f t="shared" si="123"/>
        <v>5073936312.6337433</v>
      </c>
      <c r="CW29" s="288">
        <f t="shared" ref="CW29:DI29" si="124">CW19-CW23</f>
        <v>-199778904.49489594</v>
      </c>
      <c r="CX29" s="288">
        <f t="shared" si="124"/>
        <v>-452666944.47608948</v>
      </c>
      <c r="CY29" s="288">
        <f t="shared" si="124"/>
        <v>29426286.899547577</v>
      </c>
      <c r="CZ29" s="288">
        <f t="shared" si="124"/>
        <v>229708178.44783783</v>
      </c>
      <c r="DA29" s="288">
        <f t="shared" si="124"/>
        <v>212888022.37230682</v>
      </c>
      <c r="DB29" s="288">
        <f t="shared" si="124"/>
        <v>-231235488.50689507</v>
      </c>
      <c r="DC29" s="288">
        <f t="shared" si="124"/>
        <v>-244115193.71202278</v>
      </c>
      <c r="DD29" s="288">
        <f t="shared" si="124"/>
        <v>-244080193.71202278</v>
      </c>
      <c r="DE29" s="288">
        <f t="shared" si="124"/>
        <v>-202520065.9171505</v>
      </c>
      <c r="DF29" s="288">
        <f t="shared" si="124"/>
        <v>-234897397.9171505</v>
      </c>
      <c r="DG29" s="288">
        <f t="shared" si="124"/>
        <v>-241869655.50689507</v>
      </c>
      <c r="DH29" s="288">
        <f t="shared" si="124"/>
        <v>-231743526.71202278</v>
      </c>
      <c r="DI29" s="288">
        <f t="shared" si="124"/>
        <v>-1810884883.2354431</v>
      </c>
      <c r="DK29" s="288">
        <f t="shared" ref="DK29:DW29" si="125">DK19-DK23</f>
        <v>0</v>
      </c>
      <c r="DL29" s="288">
        <f t="shared" si="125"/>
        <v>0</v>
      </c>
      <c r="DM29" s="288">
        <f t="shared" si="125"/>
        <v>0</v>
      </c>
      <c r="DN29" s="288">
        <f t="shared" si="125"/>
        <v>0</v>
      </c>
      <c r="DO29" s="288">
        <f t="shared" si="125"/>
        <v>0</v>
      </c>
      <c r="DP29" s="288">
        <f t="shared" si="125"/>
        <v>0</v>
      </c>
      <c r="DQ29" s="288">
        <f t="shared" si="125"/>
        <v>0</v>
      </c>
      <c r="DR29" s="288">
        <f t="shared" si="125"/>
        <v>0</v>
      </c>
      <c r="DS29" s="288">
        <f t="shared" si="125"/>
        <v>0</v>
      </c>
      <c r="DT29" s="288">
        <f t="shared" si="125"/>
        <v>0</v>
      </c>
      <c r="DU29" s="288">
        <f t="shared" si="125"/>
        <v>0</v>
      </c>
      <c r="DV29" s="288">
        <f t="shared" si="125"/>
        <v>0</v>
      </c>
      <c r="DW29" s="288">
        <f t="shared" si="125"/>
        <v>0</v>
      </c>
      <c r="DY29" s="288">
        <f t="shared" ref="DY29:EK29" si="126">DY19-DY23</f>
        <v>0</v>
      </c>
      <c r="DZ29" s="288">
        <f t="shared" si="126"/>
        <v>0</v>
      </c>
      <c r="EA29" s="288">
        <f t="shared" si="126"/>
        <v>0</v>
      </c>
      <c r="EB29" s="288">
        <f t="shared" si="126"/>
        <v>0</v>
      </c>
      <c r="EC29" s="288">
        <f t="shared" si="126"/>
        <v>0</v>
      </c>
      <c r="ED29" s="288">
        <f t="shared" si="126"/>
        <v>0</v>
      </c>
      <c r="EE29" s="288">
        <f t="shared" si="126"/>
        <v>0</v>
      </c>
      <c r="EF29" s="288">
        <f t="shared" si="126"/>
        <v>0</v>
      </c>
      <c r="EG29" s="288">
        <f t="shared" si="126"/>
        <v>0</v>
      </c>
      <c r="EH29" s="288">
        <f t="shared" si="126"/>
        <v>0</v>
      </c>
      <c r="EI29" s="288">
        <f t="shared" si="126"/>
        <v>0</v>
      </c>
      <c r="EJ29" s="288">
        <f t="shared" si="126"/>
        <v>0</v>
      </c>
      <c r="EK29" s="288">
        <f t="shared" si="126"/>
        <v>0</v>
      </c>
    </row>
    <row r="30" spans="1:141" s="29" customFormat="1" outlineLevel="1">
      <c r="A30" s="75" t="s">
        <v>10</v>
      </c>
      <c r="B30" s="41" t="s">
        <v>3</v>
      </c>
      <c r="C30" s="335">
        <f t="shared" ref="C30:O30" si="127">C20-C24</f>
        <v>0</v>
      </c>
      <c r="D30" s="42">
        <f t="shared" si="127"/>
        <v>0</v>
      </c>
      <c r="E30" s="42">
        <f t="shared" si="127"/>
        <v>0</v>
      </c>
      <c r="F30" s="42">
        <f t="shared" si="127"/>
        <v>0</v>
      </c>
      <c r="G30" s="42">
        <f t="shared" si="127"/>
        <v>0</v>
      </c>
      <c r="H30" s="42">
        <f t="shared" si="127"/>
        <v>0</v>
      </c>
      <c r="I30" s="42">
        <f t="shared" si="127"/>
        <v>0</v>
      </c>
      <c r="J30" s="42">
        <f t="shared" si="127"/>
        <v>0</v>
      </c>
      <c r="K30" s="42">
        <f t="shared" si="127"/>
        <v>0</v>
      </c>
      <c r="L30" s="42">
        <f t="shared" si="127"/>
        <v>0</v>
      </c>
      <c r="M30" s="42">
        <f t="shared" si="127"/>
        <v>0</v>
      </c>
      <c r="N30" s="42">
        <f t="shared" si="127"/>
        <v>0</v>
      </c>
      <c r="O30" s="336">
        <f t="shared" si="127"/>
        <v>0</v>
      </c>
      <c r="Q30" s="42">
        <f t="shared" ref="Q30:AC30" si="128">Q20-Q24</f>
        <v>0</v>
      </c>
      <c r="R30" s="42">
        <f t="shared" si="128"/>
        <v>0</v>
      </c>
      <c r="S30" s="42">
        <f t="shared" si="128"/>
        <v>0</v>
      </c>
      <c r="T30" s="42">
        <f t="shared" si="128"/>
        <v>0</v>
      </c>
      <c r="U30" s="42">
        <f t="shared" si="128"/>
        <v>0</v>
      </c>
      <c r="V30" s="42">
        <f t="shared" si="128"/>
        <v>0</v>
      </c>
      <c r="W30" s="42">
        <f t="shared" si="128"/>
        <v>0</v>
      </c>
      <c r="X30" s="42">
        <f t="shared" si="128"/>
        <v>0</v>
      </c>
      <c r="Y30" s="42">
        <f t="shared" si="128"/>
        <v>0</v>
      </c>
      <c r="Z30" s="42">
        <f t="shared" si="128"/>
        <v>0</v>
      </c>
      <c r="AA30" s="42">
        <f t="shared" si="128"/>
        <v>0</v>
      </c>
      <c r="AB30" s="42">
        <f t="shared" si="128"/>
        <v>0</v>
      </c>
      <c r="AC30" s="42">
        <f t="shared" si="128"/>
        <v>0</v>
      </c>
      <c r="AE30" s="337">
        <f t="shared" ref="AE30:AQ30" si="129">AE20-AE24</f>
        <v>0</v>
      </c>
      <c r="AF30" s="42">
        <f t="shared" si="129"/>
        <v>0</v>
      </c>
      <c r="AG30" s="42">
        <f t="shared" si="129"/>
        <v>0</v>
      </c>
      <c r="AH30" s="42">
        <f t="shared" si="129"/>
        <v>0</v>
      </c>
      <c r="AI30" s="42">
        <f t="shared" si="129"/>
        <v>0</v>
      </c>
      <c r="AJ30" s="42">
        <f t="shared" si="129"/>
        <v>0</v>
      </c>
      <c r="AK30" s="42">
        <f t="shared" si="129"/>
        <v>0</v>
      </c>
      <c r="AL30" s="42">
        <f t="shared" si="129"/>
        <v>0</v>
      </c>
      <c r="AM30" s="42">
        <f t="shared" si="129"/>
        <v>0</v>
      </c>
      <c r="AN30" s="42">
        <f t="shared" si="129"/>
        <v>0</v>
      </c>
      <c r="AO30" s="42">
        <f t="shared" si="129"/>
        <v>0</v>
      </c>
      <c r="AP30" s="42">
        <f t="shared" si="129"/>
        <v>0</v>
      </c>
      <c r="AQ30" s="338">
        <f t="shared" si="129"/>
        <v>0</v>
      </c>
      <c r="AS30" s="42">
        <f t="shared" ref="AS30:BE30" si="130">AS20-AS24</f>
        <v>0</v>
      </c>
      <c r="AT30" s="42">
        <f t="shared" si="130"/>
        <v>0</v>
      </c>
      <c r="AU30" s="42">
        <f t="shared" si="130"/>
        <v>0</v>
      </c>
      <c r="AV30" s="42">
        <f t="shared" si="130"/>
        <v>0</v>
      </c>
      <c r="AW30" s="42">
        <f t="shared" si="130"/>
        <v>0</v>
      </c>
      <c r="AX30" s="42">
        <f t="shared" si="130"/>
        <v>0</v>
      </c>
      <c r="AY30" s="42">
        <f t="shared" si="130"/>
        <v>0</v>
      </c>
      <c r="AZ30" s="42">
        <f t="shared" si="130"/>
        <v>0</v>
      </c>
      <c r="BA30" s="42">
        <f t="shared" si="130"/>
        <v>0</v>
      </c>
      <c r="BB30" s="42">
        <f t="shared" si="130"/>
        <v>0</v>
      </c>
      <c r="BC30" s="42">
        <f t="shared" si="130"/>
        <v>0</v>
      </c>
      <c r="BD30" s="42">
        <f t="shared" si="130"/>
        <v>0</v>
      </c>
      <c r="BE30" s="42">
        <f t="shared" si="130"/>
        <v>0</v>
      </c>
      <c r="BG30" s="42">
        <f t="shared" ref="BG30:BS30" si="131">BG20-BG24</f>
        <v>0</v>
      </c>
      <c r="BH30" s="42">
        <f t="shared" si="131"/>
        <v>0</v>
      </c>
      <c r="BI30" s="42">
        <f t="shared" si="131"/>
        <v>0</v>
      </c>
      <c r="BJ30" s="42">
        <f t="shared" si="131"/>
        <v>0</v>
      </c>
      <c r="BK30" s="42">
        <f t="shared" si="131"/>
        <v>0</v>
      </c>
      <c r="BL30" s="42">
        <f t="shared" si="131"/>
        <v>0</v>
      </c>
      <c r="BM30" s="42">
        <f t="shared" si="131"/>
        <v>0</v>
      </c>
      <c r="BN30" s="42">
        <f t="shared" si="131"/>
        <v>0</v>
      </c>
      <c r="BO30" s="42">
        <f t="shared" si="131"/>
        <v>0</v>
      </c>
      <c r="BP30" s="42">
        <f t="shared" si="131"/>
        <v>0</v>
      </c>
      <c r="BQ30" s="42">
        <f t="shared" si="131"/>
        <v>0</v>
      </c>
      <c r="BR30" s="42">
        <f t="shared" si="131"/>
        <v>0</v>
      </c>
      <c r="BS30" s="42">
        <f t="shared" si="131"/>
        <v>0</v>
      </c>
      <c r="BU30" s="42">
        <f t="shared" ref="BU30:CG30" si="132">BU20-BU24</f>
        <v>0</v>
      </c>
      <c r="BV30" s="42">
        <f t="shared" si="132"/>
        <v>0</v>
      </c>
      <c r="BW30" s="42">
        <f t="shared" si="132"/>
        <v>0</v>
      </c>
      <c r="BX30" s="42">
        <f t="shared" si="132"/>
        <v>0</v>
      </c>
      <c r="BY30" s="42">
        <f t="shared" si="132"/>
        <v>0</v>
      </c>
      <c r="BZ30" s="42">
        <f t="shared" si="132"/>
        <v>0</v>
      </c>
      <c r="CA30" s="42">
        <f t="shared" si="132"/>
        <v>0</v>
      </c>
      <c r="CB30" s="42">
        <f t="shared" si="132"/>
        <v>0</v>
      </c>
      <c r="CC30" s="42">
        <f t="shared" si="132"/>
        <v>0</v>
      </c>
      <c r="CD30" s="42">
        <f t="shared" si="132"/>
        <v>0</v>
      </c>
      <c r="CE30" s="42">
        <f t="shared" si="132"/>
        <v>0</v>
      </c>
      <c r="CF30" s="42">
        <f t="shared" si="132"/>
        <v>0</v>
      </c>
      <c r="CG30" s="42">
        <f t="shared" si="132"/>
        <v>0</v>
      </c>
      <c r="CI30" s="42">
        <f t="shared" ref="CI30:CU30" si="133">CI20-CI24</f>
        <v>0</v>
      </c>
      <c r="CJ30" s="42">
        <f t="shared" si="133"/>
        <v>0</v>
      </c>
      <c r="CK30" s="42">
        <f t="shared" si="133"/>
        <v>0</v>
      </c>
      <c r="CL30" s="42">
        <f t="shared" si="133"/>
        <v>0</v>
      </c>
      <c r="CM30" s="42">
        <f t="shared" si="133"/>
        <v>0</v>
      </c>
      <c r="CN30" s="42">
        <f t="shared" si="133"/>
        <v>0</v>
      </c>
      <c r="CO30" s="42">
        <f t="shared" si="133"/>
        <v>0</v>
      </c>
      <c r="CP30" s="42">
        <f t="shared" si="133"/>
        <v>0</v>
      </c>
      <c r="CQ30" s="42">
        <f t="shared" si="133"/>
        <v>0</v>
      </c>
      <c r="CR30" s="42">
        <f t="shared" si="133"/>
        <v>0</v>
      </c>
      <c r="CS30" s="42">
        <f t="shared" si="133"/>
        <v>0</v>
      </c>
      <c r="CT30" s="42">
        <f t="shared" si="133"/>
        <v>0</v>
      </c>
      <c r="CU30" s="42">
        <f t="shared" si="133"/>
        <v>0</v>
      </c>
      <c r="CW30" s="42">
        <f t="shared" ref="CW30:DI30" si="134">CW20-CW24</f>
        <v>0</v>
      </c>
      <c r="CX30" s="42">
        <f t="shared" si="134"/>
        <v>0</v>
      </c>
      <c r="CY30" s="42">
        <f t="shared" si="134"/>
        <v>0</v>
      </c>
      <c r="CZ30" s="42">
        <f t="shared" si="134"/>
        <v>0</v>
      </c>
      <c r="DA30" s="42">
        <f t="shared" si="134"/>
        <v>0</v>
      </c>
      <c r="DB30" s="42">
        <f t="shared" si="134"/>
        <v>0</v>
      </c>
      <c r="DC30" s="42">
        <f t="shared" si="134"/>
        <v>0</v>
      </c>
      <c r="DD30" s="42">
        <f t="shared" si="134"/>
        <v>0</v>
      </c>
      <c r="DE30" s="42">
        <f t="shared" si="134"/>
        <v>0</v>
      </c>
      <c r="DF30" s="42">
        <f t="shared" si="134"/>
        <v>0</v>
      </c>
      <c r="DG30" s="42">
        <f t="shared" si="134"/>
        <v>0</v>
      </c>
      <c r="DH30" s="42">
        <f t="shared" si="134"/>
        <v>0</v>
      </c>
      <c r="DI30" s="42">
        <f t="shared" si="134"/>
        <v>0</v>
      </c>
      <c r="DK30" s="42">
        <f t="shared" ref="DK30:DW30" si="135">DK20-DK24</f>
        <v>0</v>
      </c>
      <c r="DL30" s="42">
        <f t="shared" si="135"/>
        <v>0</v>
      </c>
      <c r="DM30" s="42">
        <f t="shared" si="135"/>
        <v>0</v>
      </c>
      <c r="DN30" s="42">
        <f t="shared" si="135"/>
        <v>0</v>
      </c>
      <c r="DO30" s="42">
        <f t="shared" si="135"/>
        <v>0</v>
      </c>
      <c r="DP30" s="42">
        <f t="shared" si="135"/>
        <v>0</v>
      </c>
      <c r="DQ30" s="42">
        <f t="shared" si="135"/>
        <v>0</v>
      </c>
      <c r="DR30" s="42">
        <f t="shared" si="135"/>
        <v>0</v>
      </c>
      <c r="DS30" s="42">
        <f t="shared" si="135"/>
        <v>0</v>
      </c>
      <c r="DT30" s="42">
        <f t="shared" si="135"/>
        <v>0</v>
      </c>
      <c r="DU30" s="42">
        <f t="shared" si="135"/>
        <v>0</v>
      </c>
      <c r="DV30" s="42">
        <f t="shared" si="135"/>
        <v>0</v>
      </c>
      <c r="DW30" s="42">
        <f t="shared" si="135"/>
        <v>0</v>
      </c>
      <c r="DY30" s="42">
        <f t="shared" ref="DY30:EK30" si="136">DY20-DY24</f>
        <v>0</v>
      </c>
      <c r="DZ30" s="42">
        <f t="shared" si="136"/>
        <v>0</v>
      </c>
      <c r="EA30" s="42">
        <f t="shared" si="136"/>
        <v>0</v>
      </c>
      <c r="EB30" s="42">
        <f t="shared" si="136"/>
        <v>0</v>
      </c>
      <c r="EC30" s="42">
        <f t="shared" si="136"/>
        <v>0</v>
      </c>
      <c r="ED30" s="42">
        <f t="shared" si="136"/>
        <v>0</v>
      </c>
      <c r="EE30" s="42">
        <f t="shared" si="136"/>
        <v>0</v>
      </c>
      <c r="EF30" s="42">
        <f t="shared" si="136"/>
        <v>0</v>
      </c>
      <c r="EG30" s="42">
        <f t="shared" si="136"/>
        <v>0</v>
      </c>
      <c r="EH30" s="42">
        <f t="shared" si="136"/>
        <v>0</v>
      </c>
      <c r="EI30" s="42">
        <f t="shared" si="136"/>
        <v>0</v>
      </c>
      <c r="EJ30" s="42">
        <f t="shared" si="136"/>
        <v>0</v>
      </c>
      <c r="EK30" s="42">
        <f t="shared" si="136"/>
        <v>0</v>
      </c>
    </row>
    <row r="31" spans="1:141" ht="16.5" customHeight="1">
      <c r="A31" s="45">
        <v>7</v>
      </c>
      <c r="B31" s="35" t="s">
        <v>25</v>
      </c>
      <c r="C31" s="359">
        <f t="shared" ref="C31:O31" si="137">SUM(C32:C34)</f>
        <v>0</v>
      </c>
      <c r="D31" s="53">
        <f t="shared" si="137"/>
        <v>0</v>
      </c>
      <c r="E31" s="53">
        <f t="shared" si="137"/>
        <v>0</v>
      </c>
      <c r="F31" s="53">
        <f t="shared" si="137"/>
        <v>0</v>
      </c>
      <c r="G31" s="53">
        <f t="shared" si="137"/>
        <v>0</v>
      </c>
      <c r="H31" s="53">
        <f t="shared" si="137"/>
        <v>0</v>
      </c>
      <c r="I31" s="53">
        <f t="shared" si="137"/>
        <v>0</v>
      </c>
      <c r="J31" s="53">
        <f t="shared" si="137"/>
        <v>0</v>
      </c>
      <c r="K31" s="53">
        <f t="shared" si="137"/>
        <v>0</v>
      </c>
      <c r="L31" s="53">
        <f t="shared" si="137"/>
        <v>0</v>
      </c>
      <c r="M31" s="53">
        <f t="shared" si="137"/>
        <v>0</v>
      </c>
      <c r="N31" s="53">
        <f t="shared" si="137"/>
        <v>0</v>
      </c>
      <c r="O31" s="360">
        <f t="shared" si="137"/>
        <v>0</v>
      </c>
      <c r="Q31" s="53">
        <f t="shared" ref="Q31:AC31" si="138">SUM(Q32:Q34)</f>
        <v>0</v>
      </c>
      <c r="R31" s="53">
        <f t="shared" si="138"/>
        <v>0</v>
      </c>
      <c r="S31" s="53">
        <f t="shared" si="138"/>
        <v>0</v>
      </c>
      <c r="T31" s="53">
        <f t="shared" si="138"/>
        <v>0</v>
      </c>
      <c r="U31" s="53">
        <f t="shared" si="138"/>
        <v>0</v>
      </c>
      <c r="V31" s="53">
        <f t="shared" si="138"/>
        <v>0</v>
      </c>
      <c r="W31" s="53">
        <f t="shared" si="138"/>
        <v>0</v>
      </c>
      <c r="X31" s="53">
        <f t="shared" si="138"/>
        <v>0</v>
      </c>
      <c r="Y31" s="53">
        <f t="shared" si="138"/>
        <v>0</v>
      </c>
      <c r="Z31" s="53">
        <f t="shared" si="138"/>
        <v>0</v>
      </c>
      <c r="AA31" s="53">
        <f t="shared" si="138"/>
        <v>0</v>
      </c>
      <c r="AB31" s="53">
        <f t="shared" si="138"/>
        <v>0</v>
      </c>
      <c r="AC31" s="53">
        <f t="shared" si="138"/>
        <v>0</v>
      </c>
      <c r="AE31" s="361">
        <f t="shared" ref="AE31:AQ31" si="139">SUM(AE32:AE34)</f>
        <v>0</v>
      </c>
      <c r="AF31" s="53">
        <f t="shared" si="139"/>
        <v>0</v>
      </c>
      <c r="AG31" s="53">
        <f t="shared" si="139"/>
        <v>0</v>
      </c>
      <c r="AH31" s="53">
        <f t="shared" si="139"/>
        <v>0</v>
      </c>
      <c r="AI31" s="53">
        <f t="shared" si="139"/>
        <v>0</v>
      </c>
      <c r="AJ31" s="53">
        <f t="shared" si="139"/>
        <v>0</v>
      </c>
      <c r="AK31" s="53">
        <f t="shared" si="139"/>
        <v>0</v>
      </c>
      <c r="AL31" s="53">
        <f t="shared" si="139"/>
        <v>0</v>
      </c>
      <c r="AM31" s="53">
        <f t="shared" si="139"/>
        <v>0</v>
      </c>
      <c r="AN31" s="53">
        <f t="shared" si="139"/>
        <v>0</v>
      </c>
      <c r="AO31" s="53">
        <f t="shared" si="139"/>
        <v>0</v>
      </c>
      <c r="AP31" s="53">
        <f t="shared" si="139"/>
        <v>0</v>
      </c>
      <c r="AQ31" s="362">
        <f t="shared" si="139"/>
        <v>0</v>
      </c>
      <c r="AS31" s="53">
        <f t="shared" ref="AS31:BE31" si="140">SUM(AS32:AS34)</f>
        <v>0</v>
      </c>
      <c r="AT31" s="53">
        <f t="shared" si="140"/>
        <v>0</v>
      </c>
      <c r="AU31" s="53">
        <f t="shared" si="140"/>
        <v>0</v>
      </c>
      <c r="AV31" s="53">
        <f t="shared" si="140"/>
        <v>0</v>
      </c>
      <c r="AW31" s="53">
        <f t="shared" si="140"/>
        <v>0</v>
      </c>
      <c r="AX31" s="53">
        <f t="shared" si="140"/>
        <v>0</v>
      </c>
      <c r="AY31" s="53">
        <f t="shared" si="140"/>
        <v>0</v>
      </c>
      <c r="AZ31" s="53">
        <f t="shared" si="140"/>
        <v>0</v>
      </c>
      <c r="BA31" s="53">
        <f t="shared" si="140"/>
        <v>0</v>
      </c>
      <c r="BB31" s="53">
        <f t="shared" si="140"/>
        <v>0</v>
      </c>
      <c r="BC31" s="53">
        <f t="shared" si="140"/>
        <v>0</v>
      </c>
      <c r="BD31" s="53">
        <f t="shared" si="140"/>
        <v>0</v>
      </c>
      <c r="BE31" s="53">
        <f t="shared" si="140"/>
        <v>0</v>
      </c>
      <c r="BG31" s="53">
        <f t="shared" ref="BG31:BS31" si="141">SUM(BG32:BG34)</f>
        <v>0</v>
      </c>
      <c r="BH31" s="53">
        <f t="shared" si="141"/>
        <v>0</v>
      </c>
      <c r="BI31" s="53">
        <f t="shared" si="141"/>
        <v>0</v>
      </c>
      <c r="BJ31" s="53">
        <f t="shared" si="141"/>
        <v>0</v>
      </c>
      <c r="BK31" s="53">
        <f t="shared" si="141"/>
        <v>0</v>
      </c>
      <c r="BL31" s="53">
        <f t="shared" si="141"/>
        <v>0</v>
      </c>
      <c r="BM31" s="53">
        <f t="shared" si="141"/>
        <v>0</v>
      </c>
      <c r="BN31" s="53">
        <f t="shared" si="141"/>
        <v>0</v>
      </c>
      <c r="BO31" s="53">
        <f t="shared" si="141"/>
        <v>0</v>
      </c>
      <c r="BP31" s="53">
        <f t="shared" si="141"/>
        <v>0</v>
      </c>
      <c r="BQ31" s="53">
        <f t="shared" si="141"/>
        <v>0</v>
      </c>
      <c r="BR31" s="53">
        <f t="shared" si="141"/>
        <v>0</v>
      </c>
      <c r="BS31" s="53">
        <f t="shared" si="141"/>
        <v>0</v>
      </c>
      <c r="BU31" s="53">
        <f t="shared" ref="BU31:CG31" si="142">SUM(BU32:BU34)</f>
        <v>0</v>
      </c>
      <c r="BV31" s="53">
        <f t="shared" si="142"/>
        <v>0</v>
      </c>
      <c r="BW31" s="53">
        <f t="shared" si="142"/>
        <v>0</v>
      </c>
      <c r="BX31" s="53">
        <f t="shared" si="142"/>
        <v>0</v>
      </c>
      <c r="BY31" s="53">
        <f t="shared" si="142"/>
        <v>0</v>
      </c>
      <c r="BZ31" s="53">
        <f t="shared" si="142"/>
        <v>0</v>
      </c>
      <c r="CA31" s="53">
        <f t="shared" si="142"/>
        <v>0</v>
      </c>
      <c r="CB31" s="53">
        <f t="shared" si="142"/>
        <v>0</v>
      </c>
      <c r="CC31" s="53">
        <f t="shared" si="142"/>
        <v>0</v>
      </c>
      <c r="CD31" s="53">
        <f t="shared" si="142"/>
        <v>0</v>
      </c>
      <c r="CE31" s="53">
        <f t="shared" si="142"/>
        <v>0</v>
      </c>
      <c r="CF31" s="53">
        <f t="shared" si="142"/>
        <v>0</v>
      </c>
      <c r="CG31" s="53">
        <f t="shared" si="142"/>
        <v>0</v>
      </c>
      <c r="CI31" s="53">
        <f t="shared" ref="CI31:CU31" si="143">SUM(CI32:CI34)</f>
        <v>0</v>
      </c>
      <c r="CJ31" s="53">
        <f t="shared" si="143"/>
        <v>0</v>
      </c>
      <c r="CK31" s="53">
        <f t="shared" si="143"/>
        <v>0</v>
      </c>
      <c r="CL31" s="53">
        <f t="shared" si="143"/>
        <v>0</v>
      </c>
      <c r="CM31" s="53">
        <f t="shared" si="143"/>
        <v>0</v>
      </c>
      <c r="CN31" s="53">
        <f t="shared" si="143"/>
        <v>0</v>
      </c>
      <c r="CO31" s="53">
        <f t="shared" si="143"/>
        <v>0</v>
      </c>
      <c r="CP31" s="53">
        <f t="shared" si="143"/>
        <v>0</v>
      </c>
      <c r="CQ31" s="53">
        <f t="shared" si="143"/>
        <v>0</v>
      </c>
      <c r="CR31" s="53">
        <f t="shared" si="143"/>
        <v>0</v>
      </c>
      <c r="CS31" s="53">
        <f t="shared" si="143"/>
        <v>0</v>
      </c>
      <c r="CT31" s="53">
        <f t="shared" si="143"/>
        <v>0</v>
      </c>
      <c r="CU31" s="53">
        <f t="shared" si="143"/>
        <v>0</v>
      </c>
      <c r="CW31" s="53">
        <f t="shared" ref="CW31:DI31" si="144">SUM(CW32:CW34)</f>
        <v>0</v>
      </c>
      <c r="CX31" s="53">
        <f t="shared" si="144"/>
        <v>0</v>
      </c>
      <c r="CY31" s="53">
        <f t="shared" si="144"/>
        <v>0</v>
      </c>
      <c r="CZ31" s="53">
        <f t="shared" si="144"/>
        <v>0</v>
      </c>
      <c r="DA31" s="53">
        <f t="shared" si="144"/>
        <v>0</v>
      </c>
      <c r="DB31" s="53">
        <f t="shared" si="144"/>
        <v>0</v>
      </c>
      <c r="DC31" s="53">
        <f t="shared" si="144"/>
        <v>0</v>
      </c>
      <c r="DD31" s="53">
        <f t="shared" si="144"/>
        <v>0</v>
      </c>
      <c r="DE31" s="53">
        <f t="shared" si="144"/>
        <v>0</v>
      </c>
      <c r="DF31" s="53">
        <f t="shared" si="144"/>
        <v>0</v>
      </c>
      <c r="DG31" s="53">
        <f t="shared" si="144"/>
        <v>0</v>
      </c>
      <c r="DH31" s="53">
        <f t="shared" si="144"/>
        <v>0</v>
      </c>
      <c r="DI31" s="53">
        <f t="shared" si="144"/>
        <v>0</v>
      </c>
      <c r="DK31" s="53">
        <f t="shared" ref="DK31:DW31" si="145">SUM(DK32:DK34)</f>
        <v>0</v>
      </c>
      <c r="DL31" s="53">
        <f t="shared" si="145"/>
        <v>0</v>
      </c>
      <c r="DM31" s="53">
        <f t="shared" si="145"/>
        <v>0</v>
      </c>
      <c r="DN31" s="53">
        <f t="shared" si="145"/>
        <v>0</v>
      </c>
      <c r="DO31" s="53">
        <f t="shared" si="145"/>
        <v>0</v>
      </c>
      <c r="DP31" s="53">
        <f t="shared" si="145"/>
        <v>0</v>
      </c>
      <c r="DQ31" s="53">
        <f t="shared" si="145"/>
        <v>0</v>
      </c>
      <c r="DR31" s="53">
        <f t="shared" si="145"/>
        <v>0</v>
      </c>
      <c r="DS31" s="53">
        <f t="shared" si="145"/>
        <v>0</v>
      </c>
      <c r="DT31" s="53">
        <f t="shared" si="145"/>
        <v>0</v>
      </c>
      <c r="DU31" s="53">
        <f t="shared" si="145"/>
        <v>0</v>
      </c>
      <c r="DV31" s="53">
        <f t="shared" si="145"/>
        <v>0</v>
      </c>
      <c r="DW31" s="53">
        <f t="shared" si="145"/>
        <v>0</v>
      </c>
      <c r="DY31" s="53">
        <f t="shared" ref="DY31:EK31" si="146">SUM(DY32:DY34)</f>
        <v>0</v>
      </c>
      <c r="DZ31" s="53">
        <f t="shared" si="146"/>
        <v>0</v>
      </c>
      <c r="EA31" s="53">
        <f t="shared" si="146"/>
        <v>0</v>
      </c>
      <c r="EB31" s="53">
        <f t="shared" si="146"/>
        <v>0</v>
      </c>
      <c r="EC31" s="53">
        <f t="shared" si="146"/>
        <v>0</v>
      </c>
      <c r="ED31" s="53">
        <f t="shared" si="146"/>
        <v>0</v>
      </c>
      <c r="EE31" s="53">
        <f t="shared" si="146"/>
        <v>0</v>
      </c>
      <c r="EF31" s="53">
        <f t="shared" si="146"/>
        <v>0</v>
      </c>
      <c r="EG31" s="53">
        <f t="shared" si="146"/>
        <v>0</v>
      </c>
      <c r="EH31" s="53">
        <f t="shared" si="146"/>
        <v>0</v>
      </c>
      <c r="EI31" s="53">
        <f t="shared" si="146"/>
        <v>0</v>
      </c>
      <c r="EJ31" s="53">
        <f t="shared" si="146"/>
        <v>0</v>
      </c>
      <c r="EK31" s="53">
        <f t="shared" si="146"/>
        <v>0</v>
      </c>
    </row>
    <row r="32" spans="1:141" outlineLevel="1">
      <c r="A32" s="46" t="s">
        <v>61</v>
      </c>
      <c r="B32" s="37" t="s">
        <v>1</v>
      </c>
      <c r="C32" s="319">
        <f t="shared" ref="C32:N39" si="147">Q32+AE32</f>
        <v>0</v>
      </c>
      <c r="D32" s="54">
        <f t="shared" si="147"/>
        <v>0</v>
      </c>
      <c r="E32" s="54">
        <f t="shared" si="147"/>
        <v>0</v>
      </c>
      <c r="F32" s="54">
        <f t="shared" si="147"/>
        <v>0</v>
      </c>
      <c r="G32" s="54">
        <f t="shared" si="147"/>
        <v>0</v>
      </c>
      <c r="H32" s="54">
        <f t="shared" si="147"/>
        <v>0</v>
      </c>
      <c r="I32" s="54">
        <f t="shared" si="147"/>
        <v>0</v>
      </c>
      <c r="J32" s="54">
        <f t="shared" si="147"/>
        <v>0</v>
      </c>
      <c r="K32" s="54">
        <f t="shared" si="147"/>
        <v>0</v>
      </c>
      <c r="L32" s="54">
        <f t="shared" si="147"/>
        <v>0</v>
      </c>
      <c r="M32" s="54">
        <f t="shared" si="147"/>
        <v>0</v>
      </c>
      <c r="N32" s="54">
        <f t="shared" si="147"/>
        <v>0</v>
      </c>
      <c r="O32" s="320">
        <f t="shared" ref="O32:O39" si="148">SUM(C32:N32)</f>
        <v>0</v>
      </c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>
        <f t="shared" ref="AC32:AC39" si="149">SUM(Q32:AB32)</f>
        <v>0</v>
      </c>
      <c r="AE32" s="321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322">
        <f t="shared" ref="AQ32:AQ39" si="150">SUM(AE32:AP32)</f>
        <v>0</v>
      </c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>
        <f t="shared" ref="BE32:BE39" si="151">SUM(AS32:BD32)</f>
        <v>0</v>
      </c>
      <c r="BG32" s="54">
        <f t="shared" ref="BG32:BR39" si="152">BU32+CI32+CW32</f>
        <v>0</v>
      </c>
      <c r="BH32" s="54">
        <f t="shared" si="152"/>
        <v>0</v>
      </c>
      <c r="BI32" s="54">
        <f t="shared" si="152"/>
        <v>0</v>
      </c>
      <c r="BJ32" s="54">
        <f t="shared" si="152"/>
        <v>0</v>
      </c>
      <c r="BK32" s="54">
        <f t="shared" si="152"/>
        <v>0</v>
      </c>
      <c r="BL32" s="54">
        <f t="shared" si="152"/>
        <v>0</v>
      </c>
      <c r="BM32" s="54">
        <f t="shared" si="152"/>
        <v>0</v>
      </c>
      <c r="BN32" s="54">
        <f t="shared" si="152"/>
        <v>0</v>
      </c>
      <c r="BO32" s="54">
        <f t="shared" si="152"/>
        <v>0</v>
      </c>
      <c r="BP32" s="54">
        <f t="shared" si="152"/>
        <v>0</v>
      </c>
      <c r="BQ32" s="54">
        <f t="shared" si="152"/>
        <v>0</v>
      </c>
      <c r="BR32" s="54">
        <f t="shared" si="152"/>
        <v>0</v>
      </c>
      <c r="BS32" s="54">
        <f t="shared" ref="BS32:BS39" si="153">SUM(BG32:BR32)</f>
        <v>0</v>
      </c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>
        <f t="shared" ref="CG32:CG39" si="154">SUM(BU32:CF32)</f>
        <v>0</v>
      </c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>
        <f t="shared" ref="CU32:CU39" si="155">SUM(CI32:CT32)</f>
        <v>0</v>
      </c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>
        <f t="shared" ref="DI32:DI39" si="156">SUM(CW32:DH32)</f>
        <v>0</v>
      </c>
      <c r="DK32" s="54"/>
      <c r="DL32" s="54"/>
      <c r="DM32" s="54"/>
      <c r="DN32" s="54"/>
      <c r="DO32" s="54"/>
      <c r="DP32" s="54"/>
      <c r="DQ32" s="54"/>
      <c r="DR32" s="54"/>
      <c r="DS32" s="54"/>
      <c r="DT32" s="54"/>
      <c r="DU32" s="54"/>
      <c r="DV32" s="54"/>
      <c r="DW32" s="54">
        <f t="shared" ref="DW32:DW39" si="157">SUM(DK32:DV32)</f>
        <v>0</v>
      </c>
      <c r="DY32" s="54"/>
      <c r="DZ32" s="54"/>
      <c r="EA32" s="54"/>
      <c r="EB32" s="54"/>
      <c r="EC32" s="54"/>
      <c r="ED32" s="54"/>
      <c r="EE32" s="54"/>
      <c r="EF32" s="54"/>
      <c r="EG32" s="54"/>
      <c r="EH32" s="54"/>
      <c r="EI32" s="54"/>
      <c r="EJ32" s="54"/>
      <c r="EK32" s="54">
        <f t="shared" ref="EK32:EK39" si="158">SUM(DY32:EJ32)</f>
        <v>0</v>
      </c>
    </row>
    <row r="33" spans="1:141" ht="15" customHeight="1" outlineLevel="1">
      <c r="A33" s="46" t="s">
        <v>69</v>
      </c>
      <c r="B33" s="37" t="s">
        <v>2</v>
      </c>
      <c r="C33" s="363">
        <f t="shared" si="147"/>
        <v>0</v>
      </c>
      <c r="D33" s="76">
        <f t="shared" si="147"/>
        <v>0</v>
      </c>
      <c r="E33" s="76">
        <f t="shared" si="147"/>
        <v>0</v>
      </c>
      <c r="F33" s="76">
        <f t="shared" si="147"/>
        <v>0</v>
      </c>
      <c r="G33" s="76">
        <f t="shared" si="147"/>
        <v>0</v>
      </c>
      <c r="H33" s="76">
        <f t="shared" si="147"/>
        <v>0</v>
      </c>
      <c r="I33" s="76">
        <f t="shared" si="147"/>
        <v>0</v>
      </c>
      <c r="J33" s="76">
        <f t="shared" si="147"/>
        <v>0</v>
      </c>
      <c r="K33" s="76">
        <f t="shared" si="147"/>
        <v>0</v>
      </c>
      <c r="L33" s="76">
        <f t="shared" si="147"/>
        <v>0</v>
      </c>
      <c r="M33" s="76">
        <f t="shared" si="147"/>
        <v>0</v>
      </c>
      <c r="N33" s="76">
        <f t="shared" si="147"/>
        <v>0</v>
      </c>
      <c r="O33" s="364">
        <f t="shared" si="148"/>
        <v>0</v>
      </c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>
        <f t="shared" si="149"/>
        <v>0</v>
      </c>
      <c r="AE33" s="365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366">
        <f t="shared" si="150"/>
        <v>0</v>
      </c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>
        <f t="shared" si="151"/>
        <v>0</v>
      </c>
      <c r="BG33" s="76">
        <f t="shared" si="152"/>
        <v>0</v>
      </c>
      <c r="BH33" s="76">
        <f t="shared" si="152"/>
        <v>0</v>
      </c>
      <c r="BI33" s="76">
        <f t="shared" si="152"/>
        <v>0</v>
      </c>
      <c r="BJ33" s="76">
        <f t="shared" si="152"/>
        <v>0</v>
      </c>
      <c r="BK33" s="76">
        <f t="shared" si="152"/>
        <v>0</v>
      </c>
      <c r="BL33" s="76">
        <f t="shared" si="152"/>
        <v>0</v>
      </c>
      <c r="BM33" s="76">
        <f t="shared" si="152"/>
        <v>0</v>
      </c>
      <c r="BN33" s="76">
        <f t="shared" si="152"/>
        <v>0</v>
      </c>
      <c r="BO33" s="76">
        <f t="shared" si="152"/>
        <v>0</v>
      </c>
      <c r="BP33" s="76">
        <f t="shared" si="152"/>
        <v>0</v>
      </c>
      <c r="BQ33" s="76">
        <f t="shared" si="152"/>
        <v>0</v>
      </c>
      <c r="BR33" s="76">
        <f t="shared" si="152"/>
        <v>0</v>
      </c>
      <c r="BS33" s="76">
        <f t="shared" si="153"/>
        <v>0</v>
      </c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>
        <f t="shared" si="154"/>
        <v>0</v>
      </c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>
        <f t="shared" si="155"/>
        <v>0</v>
      </c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>
        <f t="shared" si="156"/>
        <v>0</v>
      </c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>
        <f t="shared" si="157"/>
        <v>0</v>
      </c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>
        <f t="shared" si="158"/>
        <v>0</v>
      </c>
    </row>
    <row r="34" spans="1:141" outlineLevel="1">
      <c r="A34" s="46" t="s">
        <v>70</v>
      </c>
      <c r="B34" s="37" t="s">
        <v>3</v>
      </c>
      <c r="C34" s="319">
        <f t="shared" si="147"/>
        <v>0</v>
      </c>
      <c r="D34" s="54">
        <f t="shared" si="147"/>
        <v>0</v>
      </c>
      <c r="E34" s="54">
        <f t="shared" si="147"/>
        <v>0</v>
      </c>
      <c r="F34" s="54">
        <f t="shared" si="147"/>
        <v>0</v>
      </c>
      <c r="G34" s="54">
        <f t="shared" si="147"/>
        <v>0</v>
      </c>
      <c r="H34" s="54">
        <f t="shared" si="147"/>
        <v>0</v>
      </c>
      <c r="I34" s="54">
        <f t="shared" si="147"/>
        <v>0</v>
      </c>
      <c r="J34" s="54">
        <f t="shared" si="147"/>
        <v>0</v>
      </c>
      <c r="K34" s="54">
        <f t="shared" si="147"/>
        <v>0</v>
      </c>
      <c r="L34" s="54">
        <f t="shared" si="147"/>
        <v>0</v>
      </c>
      <c r="M34" s="54">
        <f t="shared" si="147"/>
        <v>0</v>
      </c>
      <c r="N34" s="54">
        <f t="shared" si="147"/>
        <v>0</v>
      </c>
      <c r="O34" s="320">
        <f t="shared" si="148"/>
        <v>0</v>
      </c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>
        <f t="shared" si="149"/>
        <v>0</v>
      </c>
      <c r="AE34" s="321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322">
        <f t="shared" si="150"/>
        <v>0</v>
      </c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>
        <f t="shared" si="151"/>
        <v>0</v>
      </c>
      <c r="BG34" s="54">
        <f t="shared" si="152"/>
        <v>0</v>
      </c>
      <c r="BH34" s="54">
        <f t="shared" si="152"/>
        <v>0</v>
      </c>
      <c r="BI34" s="54">
        <f t="shared" si="152"/>
        <v>0</v>
      </c>
      <c r="BJ34" s="54">
        <f t="shared" si="152"/>
        <v>0</v>
      </c>
      <c r="BK34" s="54">
        <f t="shared" si="152"/>
        <v>0</v>
      </c>
      <c r="BL34" s="54">
        <f t="shared" si="152"/>
        <v>0</v>
      </c>
      <c r="BM34" s="54">
        <f t="shared" si="152"/>
        <v>0</v>
      </c>
      <c r="BN34" s="54">
        <f t="shared" si="152"/>
        <v>0</v>
      </c>
      <c r="BO34" s="54">
        <f t="shared" si="152"/>
        <v>0</v>
      </c>
      <c r="BP34" s="54">
        <f t="shared" si="152"/>
        <v>0</v>
      </c>
      <c r="BQ34" s="54">
        <f t="shared" si="152"/>
        <v>0</v>
      </c>
      <c r="BR34" s="54">
        <f t="shared" si="152"/>
        <v>0</v>
      </c>
      <c r="BS34" s="54">
        <f t="shared" si="153"/>
        <v>0</v>
      </c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>
        <f t="shared" si="154"/>
        <v>0</v>
      </c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>
        <f t="shared" si="155"/>
        <v>0</v>
      </c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>
        <f t="shared" si="156"/>
        <v>0</v>
      </c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>
        <f t="shared" si="157"/>
        <v>0</v>
      </c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>
        <f t="shared" si="158"/>
        <v>0</v>
      </c>
    </row>
    <row r="35" spans="1:141">
      <c r="A35" s="38">
        <v>8</v>
      </c>
      <c r="B35" s="39" t="s">
        <v>26</v>
      </c>
      <c r="C35" s="319">
        <f t="shared" si="147"/>
        <v>20005548.111111112</v>
      </c>
      <c r="D35" s="54">
        <f t="shared" si="147"/>
        <v>20005548.111111112</v>
      </c>
      <c r="E35" s="54">
        <f t="shared" si="147"/>
        <v>20005548.111111112</v>
      </c>
      <c r="F35" s="54">
        <f t="shared" si="147"/>
        <v>10005548.111111112</v>
      </c>
      <c r="G35" s="54">
        <f t="shared" si="147"/>
        <v>10005548.111111112</v>
      </c>
      <c r="H35" s="54">
        <f t="shared" si="147"/>
        <v>10005548.111111112</v>
      </c>
      <c r="I35" s="54">
        <f t="shared" si="147"/>
        <v>10005548.111111112</v>
      </c>
      <c r="J35" s="54">
        <f t="shared" si="147"/>
        <v>10005548.111111112</v>
      </c>
      <c r="K35" s="54">
        <f t="shared" si="147"/>
        <v>10005548.111111112</v>
      </c>
      <c r="L35" s="54">
        <f t="shared" si="147"/>
        <v>10005548.111111112</v>
      </c>
      <c r="M35" s="54">
        <f t="shared" si="147"/>
        <v>10005548.111111112</v>
      </c>
      <c r="N35" s="54">
        <f t="shared" si="147"/>
        <v>10005548.111111112</v>
      </c>
      <c r="O35" s="320">
        <f t="shared" si="148"/>
        <v>150066577.33333328</v>
      </c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>
        <f t="shared" si="149"/>
        <v>0</v>
      </c>
      <c r="AE35" s="321">
        <f t="shared" ref="AE35:AP39" si="159">AS35+BU35+CI35+CW35+DK35</f>
        <v>20005548.111111112</v>
      </c>
      <c r="AF35" s="54">
        <f t="shared" si="159"/>
        <v>20005548.111111112</v>
      </c>
      <c r="AG35" s="54">
        <f t="shared" si="159"/>
        <v>20005548.111111112</v>
      </c>
      <c r="AH35" s="54">
        <f t="shared" si="159"/>
        <v>10005548.111111112</v>
      </c>
      <c r="AI35" s="54">
        <f t="shared" si="159"/>
        <v>10005548.111111112</v>
      </c>
      <c r="AJ35" s="54">
        <f t="shared" si="159"/>
        <v>10005548.111111112</v>
      </c>
      <c r="AK35" s="54">
        <f t="shared" si="159"/>
        <v>10005548.111111112</v>
      </c>
      <c r="AL35" s="54">
        <f t="shared" si="159"/>
        <v>10005548.111111112</v>
      </c>
      <c r="AM35" s="54">
        <f t="shared" si="159"/>
        <v>10005548.111111112</v>
      </c>
      <c r="AN35" s="54">
        <f t="shared" si="159"/>
        <v>10005548.111111112</v>
      </c>
      <c r="AO35" s="54">
        <f t="shared" si="159"/>
        <v>10005548.111111112</v>
      </c>
      <c r="AP35" s="54">
        <f t="shared" si="159"/>
        <v>10005548.111111112</v>
      </c>
      <c r="AQ35" s="322">
        <f t="shared" si="150"/>
        <v>150066577.33333328</v>
      </c>
      <c r="AS35" s="54">
        <v>0</v>
      </c>
      <c r="AT35" s="54">
        <v>0</v>
      </c>
      <c r="AU35" s="54">
        <v>0</v>
      </c>
      <c r="AV35" s="54">
        <v>0</v>
      </c>
      <c r="AW35" s="54">
        <v>0</v>
      </c>
      <c r="AX35" s="54">
        <v>0</v>
      </c>
      <c r="AY35" s="54">
        <v>0</v>
      </c>
      <c r="AZ35" s="54">
        <v>0</v>
      </c>
      <c r="BA35" s="54">
        <v>0</v>
      </c>
      <c r="BB35" s="54">
        <v>0</v>
      </c>
      <c r="BC35" s="54">
        <v>0</v>
      </c>
      <c r="BD35" s="54">
        <v>0</v>
      </c>
      <c r="BE35" s="54">
        <f t="shared" si="151"/>
        <v>0</v>
      </c>
      <c r="BG35" s="54">
        <f t="shared" si="152"/>
        <v>20000000</v>
      </c>
      <c r="BH35" s="54">
        <f t="shared" si="152"/>
        <v>20000000</v>
      </c>
      <c r="BI35" s="54">
        <f t="shared" si="152"/>
        <v>20000000</v>
      </c>
      <c r="BJ35" s="54">
        <f t="shared" si="152"/>
        <v>10000000</v>
      </c>
      <c r="BK35" s="54">
        <f t="shared" si="152"/>
        <v>10000000</v>
      </c>
      <c r="BL35" s="54">
        <f t="shared" si="152"/>
        <v>10000000</v>
      </c>
      <c r="BM35" s="54">
        <f t="shared" si="152"/>
        <v>10000000</v>
      </c>
      <c r="BN35" s="54">
        <f t="shared" si="152"/>
        <v>10000000</v>
      </c>
      <c r="BO35" s="54">
        <f t="shared" si="152"/>
        <v>10000000</v>
      </c>
      <c r="BP35" s="54">
        <f t="shared" si="152"/>
        <v>10000000</v>
      </c>
      <c r="BQ35" s="54">
        <f t="shared" si="152"/>
        <v>10000000</v>
      </c>
      <c r="BR35" s="54">
        <f t="shared" si="152"/>
        <v>10000000</v>
      </c>
      <c r="BS35" s="54">
        <f t="shared" si="153"/>
        <v>150000000</v>
      </c>
      <c r="BU35" s="54">
        <v>20000000</v>
      </c>
      <c r="BV35" s="54">
        <v>20000000</v>
      </c>
      <c r="BW35" s="54">
        <v>20000000</v>
      </c>
      <c r="BX35" s="54">
        <v>10000000</v>
      </c>
      <c r="BY35" s="54">
        <v>10000000</v>
      </c>
      <c r="BZ35" s="54">
        <v>10000000</v>
      </c>
      <c r="CA35" s="54">
        <v>10000000</v>
      </c>
      <c r="CB35" s="54">
        <v>10000000</v>
      </c>
      <c r="CC35" s="54">
        <v>10000000</v>
      </c>
      <c r="CD35" s="54">
        <v>10000000</v>
      </c>
      <c r="CE35" s="54">
        <v>10000000</v>
      </c>
      <c r="CF35" s="54">
        <v>10000000</v>
      </c>
      <c r="CG35" s="54">
        <f t="shared" si="154"/>
        <v>150000000</v>
      </c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>
        <f t="shared" si="155"/>
        <v>0</v>
      </c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>
        <f t="shared" si="156"/>
        <v>0</v>
      </c>
      <c r="DK35" s="54">
        <v>5548.1111111111113</v>
      </c>
      <c r="DL35" s="54">
        <v>5548.1111111111113</v>
      </c>
      <c r="DM35" s="54">
        <v>5548.1111111111113</v>
      </c>
      <c r="DN35" s="54">
        <v>5548.1111111111113</v>
      </c>
      <c r="DO35" s="54">
        <v>5548.1111111111113</v>
      </c>
      <c r="DP35" s="54">
        <v>5548.1111111111113</v>
      </c>
      <c r="DQ35" s="54">
        <v>5548.1111111111113</v>
      </c>
      <c r="DR35" s="54">
        <v>5548.1111111111113</v>
      </c>
      <c r="DS35" s="54">
        <v>5548.1111111111113</v>
      </c>
      <c r="DT35" s="54">
        <v>5548.1111111111113</v>
      </c>
      <c r="DU35" s="54">
        <v>5548.1111111111113</v>
      </c>
      <c r="DV35" s="54">
        <v>5548.1111111111113</v>
      </c>
      <c r="DW35" s="54">
        <f t="shared" si="157"/>
        <v>66577.333333333328</v>
      </c>
      <c r="DY35" s="54"/>
      <c r="DZ35" s="54"/>
      <c r="EA35" s="54"/>
      <c r="EB35" s="54"/>
      <c r="EC35" s="54"/>
      <c r="ED35" s="54"/>
      <c r="EE35" s="54"/>
      <c r="EF35" s="54"/>
      <c r="EG35" s="54"/>
      <c r="EH35" s="54"/>
      <c r="EI35" s="54"/>
      <c r="EJ35" s="54"/>
      <c r="EK35" s="54">
        <f t="shared" si="158"/>
        <v>0</v>
      </c>
    </row>
    <row r="36" spans="1:141">
      <c r="A36" s="47">
        <v>9</v>
      </c>
      <c r="B36" s="35" t="s">
        <v>27</v>
      </c>
      <c r="C36" s="319">
        <f t="shared" si="147"/>
        <v>1440729191.0893345</v>
      </c>
      <c r="D36" s="54">
        <f t="shared" si="147"/>
        <v>2314401491.6227865</v>
      </c>
      <c r="E36" s="54">
        <f t="shared" si="147"/>
        <v>2754845108.8531456</v>
      </c>
      <c r="F36" s="54">
        <f t="shared" si="147"/>
        <v>2658973977.945015</v>
      </c>
      <c r="G36" s="54">
        <f t="shared" si="147"/>
        <v>2984563857.6971397</v>
      </c>
      <c r="H36" s="54">
        <f t="shared" si="147"/>
        <v>3083765892.6644506</v>
      </c>
      <c r="I36" s="54">
        <f t="shared" si="147"/>
        <v>3139619158.6549101</v>
      </c>
      <c r="J36" s="54">
        <f t="shared" si="147"/>
        <v>3321581053.7279758</v>
      </c>
      <c r="K36" s="54">
        <f t="shared" si="147"/>
        <v>3248341883.5147653</v>
      </c>
      <c r="L36" s="54">
        <f t="shared" si="147"/>
        <v>3254733184.6761322</v>
      </c>
      <c r="M36" s="54">
        <f t="shared" si="147"/>
        <v>3261994460.9206567</v>
      </c>
      <c r="N36" s="54">
        <f t="shared" si="147"/>
        <v>3102355062.0342402</v>
      </c>
      <c r="O36" s="320">
        <f t="shared" si="148"/>
        <v>34565904323.400558</v>
      </c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>
        <f t="shared" si="149"/>
        <v>0</v>
      </c>
      <c r="AE36" s="321">
        <f t="shared" si="159"/>
        <v>1440729191.0893345</v>
      </c>
      <c r="AF36" s="54">
        <f t="shared" si="159"/>
        <v>2314401491.6227865</v>
      </c>
      <c r="AG36" s="54">
        <f t="shared" si="159"/>
        <v>2754845108.8531456</v>
      </c>
      <c r="AH36" s="54">
        <f t="shared" si="159"/>
        <v>2658973977.945015</v>
      </c>
      <c r="AI36" s="54">
        <f t="shared" si="159"/>
        <v>2984563857.6971397</v>
      </c>
      <c r="AJ36" s="54">
        <f t="shared" si="159"/>
        <v>3083765892.6644506</v>
      </c>
      <c r="AK36" s="54">
        <f t="shared" si="159"/>
        <v>3139619158.6549101</v>
      </c>
      <c r="AL36" s="54">
        <f t="shared" si="159"/>
        <v>3321581053.7279758</v>
      </c>
      <c r="AM36" s="54">
        <f t="shared" si="159"/>
        <v>3248341883.5147653</v>
      </c>
      <c r="AN36" s="54">
        <f t="shared" si="159"/>
        <v>3254733184.6761322</v>
      </c>
      <c r="AO36" s="54">
        <f t="shared" si="159"/>
        <v>3261994460.9206567</v>
      </c>
      <c r="AP36" s="54">
        <f t="shared" si="159"/>
        <v>3102355062.0342402</v>
      </c>
      <c r="AQ36" s="322">
        <f t="shared" si="150"/>
        <v>34565904323.400558</v>
      </c>
      <c r="AS36" s="54">
        <v>1440729191.0893345</v>
      </c>
      <c r="AT36" s="54">
        <v>2314401491.6227865</v>
      </c>
      <c r="AU36" s="54">
        <v>2754845108.8531456</v>
      </c>
      <c r="AV36" s="54">
        <v>2658973977.945015</v>
      </c>
      <c r="AW36" s="54">
        <v>2984563857.6971397</v>
      </c>
      <c r="AX36" s="54">
        <v>3083765892.6644506</v>
      </c>
      <c r="AY36" s="54">
        <v>3139619158.6549101</v>
      </c>
      <c r="AZ36" s="54">
        <v>3321581053.7279758</v>
      </c>
      <c r="BA36" s="54">
        <v>3248341883.5147653</v>
      </c>
      <c r="BB36" s="54">
        <v>3254733184.6761322</v>
      </c>
      <c r="BC36" s="54">
        <v>3261994460.9206567</v>
      </c>
      <c r="BD36" s="54">
        <v>3102355062.0342402</v>
      </c>
      <c r="BE36" s="54">
        <f t="shared" si="151"/>
        <v>34565904323.400558</v>
      </c>
      <c r="BG36" s="54">
        <f t="shared" si="152"/>
        <v>0</v>
      </c>
      <c r="BH36" s="54">
        <f t="shared" si="152"/>
        <v>0</v>
      </c>
      <c r="BI36" s="54">
        <f t="shared" si="152"/>
        <v>0</v>
      </c>
      <c r="BJ36" s="54">
        <f t="shared" si="152"/>
        <v>0</v>
      </c>
      <c r="BK36" s="54">
        <f t="shared" si="152"/>
        <v>0</v>
      </c>
      <c r="BL36" s="54">
        <f t="shared" si="152"/>
        <v>0</v>
      </c>
      <c r="BM36" s="54">
        <f t="shared" si="152"/>
        <v>0</v>
      </c>
      <c r="BN36" s="54">
        <f t="shared" si="152"/>
        <v>0</v>
      </c>
      <c r="BO36" s="54">
        <f t="shared" si="152"/>
        <v>0</v>
      </c>
      <c r="BP36" s="54">
        <f t="shared" si="152"/>
        <v>0</v>
      </c>
      <c r="BQ36" s="54">
        <f t="shared" si="152"/>
        <v>0</v>
      </c>
      <c r="BR36" s="54">
        <f t="shared" si="152"/>
        <v>0</v>
      </c>
      <c r="BS36" s="54">
        <f t="shared" si="153"/>
        <v>0</v>
      </c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>
        <f t="shared" si="154"/>
        <v>0</v>
      </c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>
        <f t="shared" si="155"/>
        <v>0</v>
      </c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>
        <f t="shared" si="156"/>
        <v>0</v>
      </c>
      <c r="DK36" s="54">
        <v>0</v>
      </c>
      <c r="DL36" s="54">
        <v>0</v>
      </c>
      <c r="DM36" s="54">
        <v>0</v>
      </c>
      <c r="DN36" s="54">
        <v>0</v>
      </c>
      <c r="DO36" s="54">
        <v>0</v>
      </c>
      <c r="DP36" s="54">
        <v>0</v>
      </c>
      <c r="DQ36" s="54">
        <v>0</v>
      </c>
      <c r="DR36" s="54">
        <v>0</v>
      </c>
      <c r="DS36" s="54">
        <v>0</v>
      </c>
      <c r="DT36" s="54">
        <v>0</v>
      </c>
      <c r="DU36" s="54">
        <v>0</v>
      </c>
      <c r="DV36" s="54">
        <v>0</v>
      </c>
      <c r="DW36" s="54">
        <f t="shared" si="157"/>
        <v>0</v>
      </c>
      <c r="DY36" s="54"/>
      <c r="DZ36" s="54"/>
      <c r="EA36" s="54"/>
      <c r="EB36" s="54"/>
      <c r="EC36" s="54"/>
      <c r="ED36" s="54"/>
      <c r="EE36" s="54"/>
      <c r="EF36" s="54"/>
      <c r="EG36" s="54"/>
      <c r="EH36" s="54"/>
      <c r="EI36" s="54"/>
      <c r="EJ36" s="54"/>
      <c r="EK36" s="54">
        <f t="shared" si="158"/>
        <v>0</v>
      </c>
    </row>
    <row r="37" spans="1:141">
      <c r="A37" s="38">
        <v>10</v>
      </c>
      <c r="B37" s="48" t="s">
        <v>28</v>
      </c>
      <c r="C37" s="359">
        <f t="shared" si="147"/>
        <v>1440729191.0893345</v>
      </c>
      <c r="D37" s="53">
        <f t="shared" si="147"/>
        <v>2314401491.6227865</v>
      </c>
      <c r="E37" s="53">
        <f t="shared" si="147"/>
        <v>2754845108.8531456</v>
      </c>
      <c r="F37" s="53">
        <f t="shared" si="147"/>
        <v>2658973977.945015</v>
      </c>
      <c r="G37" s="53">
        <f t="shared" si="147"/>
        <v>2984563857.6971397</v>
      </c>
      <c r="H37" s="53">
        <f t="shared" si="147"/>
        <v>3083765892.6644506</v>
      </c>
      <c r="I37" s="53">
        <f t="shared" si="147"/>
        <v>3139619158.6549101</v>
      </c>
      <c r="J37" s="53">
        <f t="shared" si="147"/>
        <v>3321581053.7279758</v>
      </c>
      <c r="K37" s="53">
        <f t="shared" si="147"/>
        <v>3248341883.5147653</v>
      </c>
      <c r="L37" s="53">
        <f t="shared" si="147"/>
        <v>3254733184.6761322</v>
      </c>
      <c r="M37" s="53">
        <f t="shared" si="147"/>
        <v>3261994460.9206567</v>
      </c>
      <c r="N37" s="53">
        <f t="shared" si="147"/>
        <v>3102355062.0342402</v>
      </c>
      <c r="O37" s="360">
        <f t="shared" si="148"/>
        <v>34565904323.400558</v>
      </c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>
        <f t="shared" si="149"/>
        <v>0</v>
      </c>
      <c r="AE37" s="361">
        <f t="shared" si="159"/>
        <v>1440729191.0893345</v>
      </c>
      <c r="AF37" s="53">
        <f t="shared" si="159"/>
        <v>2314401491.6227865</v>
      </c>
      <c r="AG37" s="53">
        <f t="shared" si="159"/>
        <v>2754845108.8531456</v>
      </c>
      <c r="AH37" s="53">
        <f t="shared" si="159"/>
        <v>2658973977.945015</v>
      </c>
      <c r="AI37" s="53">
        <f t="shared" si="159"/>
        <v>2984563857.6971397</v>
      </c>
      <c r="AJ37" s="53">
        <f t="shared" si="159"/>
        <v>3083765892.6644506</v>
      </c>
      <c r="AK37" s="53">
        <f t="shared" si="159"/>
        <v>3139619158.6549101</v>
      </c>
      <c r="AL37" s="53">
        <f t="shared" si="159"/>
        <v>3321581053.7279758</v>
      </c>
      <c r="AM37" s="53">
        <f t="shared" si="159"/>
        <v>3248341883.5147653</v>
      </c>
      <c r="AN37" s="53">
        <f t="shared" si="159"/>
        <v>3254733184.6761322</v>
      </c>
      <c r="AO37" s="53">
        <f t="shared" si="159"/>
        <v>3261994460.9206567</v>
      </c>
      <c r="AP37" s="53">
        <f t="shared" si="159"/>
        <v>3102355062.0342402</v>
      </c>
      <c r="AQ37" s="362">
        <f t="shared" si="150"/>
        <v>34565904323.400558</v>
      </c>
      <c r="AS37" s="53">
        <v>1440729191.0893345</v>
      </c>
      <c r="AT37" s="53">
        <v>2314401491.6227865</v>
      </c>
      <c r="AU37" s="53">
        <v>2754845108.8531456</v>
      </c>
      <c r="AV37" s="53">
        <v>2658973977.945015</v>
      </c>
      <c r="AW37" s="53">
        <v>2984563857.6971397</v>
      </c>
      <c r="AX37" s="53">
        <v>3083765892.6644506</v>
      </c>
      <c r="AY37" s="53">
        <v>3139619158.6549101</v>
      </c>
      <c r="AZ37" s="53">
        <v>3321581053.7279758</v>
      </c>
      <c r="BA37" s="53">
        <v>3248341883.5147653</v>
      </c>
      <c r="BB37" s="53">
        <v>3254733184.6761322</v>
      </c>
      <c r="BC37" s="53">
        <v>3261994460.9206567</v>
      </c>
      <c r="BD37" s="53">
        <v>3102355062.0342402</v>
      </c>
      <c r="BE37" s="53">
        <f t="shared" si="151"/>
        <v>34565904323.400558</v>
      </c>
      <c r="BG37" s="53">
        <f t="shared" si="152"/>
        <v>0</v>
      </c>
      <c r="BH37" s="53">
        <f t="shared" si="152"/>
        <v>0</v>
      </c>
      <c r="BI37" s="53">
        <f t="shared" si="152"/>
        <v>0</v>
      </c>
      <c r="BJ37" s="53">
        <f t="shared" si="152"/>
        <v>0</v>
      </c>
      <c r="BK37" s="53">
        <f t="shared" si="152"/>
        <v>0</v>
      </c>
      <c r="BL37" s="53">
        <f t="shared" si="152"/>
        <v>0</v>
      </c>
      <c r="BM37" s="53">
        <f t="shared" si="152"/>
        <v>0</v>
      </c>
      <c r="BN37" s="53">
        <f t="shared" si="152"/>
        <v>0</v>
      </c>
      <c r="BO37" s="53">
        <f t="shared" si="152"/>
        <v>0</v>
      </c>
      <c r="BP37" s="53">
        <f t="shared" si="152"/>
        <v>0</v>
      </c>
      <c r="BQ37" s="53">
        <f t="shared" si="152"/>
        <v>0</v>
      </c>
      <c r="BR37" s="53">
        <f t="shared" si="152"/>
        <v>0</v>
      </c>
      <c r="BS37" s="53">
        <f t="shared" si="153"/>
        <v>0</v>
      </c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>
        <f t="shared" si="154"/>
        <v>0</v>
      </c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>
        <f t="shared" si="155"/>
        <v>0</v>
      </c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>
        <f t="shared" si="156"/>
        <v>0</v>
      </c>
      <c r="DK37" s="53">
        <v>0</v>
      </c>
      <c r="DL37" s="53">
        <v>0</v>
      </c>
      <c r="DM37" s="53">
        <v>0</v>
      </c>
      <c r="DN37" s="53">
        <v>0</v>
      </c>
      <c r="DO37" s="53">
        <v>0</v>
      </c>
      <c r="DP37" s="53">
        <v>0</v>
      </c>
      <c r="DQ37" s="53">
        <v>0</v>
      </c>
      <c r="DR37" s="53">
        <v>0</v>
      </c>
      <c r="DS37" s="53">
        <v>0</v>
      </c>
      <c r="DT37" s="53">
        <v>0</v>
      </c>
      <c r="DU37" s="53">
        <v>0</v>
      </c>
      <c r="DV37" s="53">
        <v>0</v>
      </c>
      <c r="DW37" s="53">
        <f t="shared" si="157"/>
        <v>0</v>
      </c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>
        <f t="shared" si="158"/>
        <v>0</v>
      </c>
    </row>
    <row r="38" spans="1:141">
      <c r="A38" s="38">
        <v>11</v>
      </c>
      <c r="B38" s="39" t="s">
        <v>29</v>
      </c>
      <c r="C38" s="319">
        <f t="shared" si="147"/>
        <v>5784175968.9827738</v>
      </c>
      <c r="D38" s="54">
        <f t="shared" si="147"/>
        <v>4543425733.8565702</v>
      </c>
      <c r="E38" s="54">
        <f t="shared" si="147"/>
        <v>5327519947.7613316</v>
      </c>
      <c r="F38" s="54">
        <f t="shared" si="147"/>
        <v>4755578140.938798</v>
      </c>
      <c r="G38" s="54">
        <f t="shared" si="147"/>
        <v>6335307781.7256832</v>
      </c>
      <c r="H38" s="54">
        <f t="shared" si="147"/>
        <v>5675236412.4745121</v>
      </c>
      <c r="I38" s="54">
        <f t="shared" si="147"/>
        <v>5052170571.0964689</v>
      </c>
      <c r="J38" s="54">
        <f t="shared" si="147"/>
        <v>4936337765.8505669</v>
      </c>
      <c r="K38" s="54">
        <f t="shared" si="147"/>
        <v>6919304369.0964689</v>
      </c>
      <c r="L38" s="54">
        <f t="shared" si="147"/>
        <v>5101990953.5700569</v>
      </c>
      <c r="M38" s="54">
        <f t="shared" si="147"/>
        <v>5416826877.9853573</v>
      </c>
      <c r="N38" s="54">
        <f t="shared" si="147"/>
        <v>5525603708.9471064</v>
      </c>
      <c r="O38" s="320">
        <f t="shared" si="148"/>
        <v>65373478232.28569</v>
      </c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>
        <f t="shared" si="149"/>
        <v>0</v>
      </c>
      <c r="AE38" s="321">
        <f t="shared" si="159"/>
        <v>5784175968.9827738</v>
      </c>
      <c r="AF38" s="54">
        <f t="shared" si="159"/>
        <v>4543425733.8565702</v>
      </c>
      <c r="AG38" s="54">
        <f t="shared" si="159"/>
        <v>5327519947.7613316</v>
      </c>
      <c r="AH38" s="54">
        <f t="shared" si="159"/>
        <v>4755578140.938798</v>
      </c>
      <c r="AI38" s="54">
        <f t="shared" si="159"/>
        <v>6335307781.7256832</v>
      </c>
      <c r="AJ38" s="54">
        <f t="shared" si="159"/>
        <v>5675236412.4745121</v>
      </c>
      <c r="AK38" s="54">
        <f t="shared" si="159"/>
        <v>5052170571.0964689</v>
      </c>
      <c r="AL38" s="54">
        <f t="shared" si="159"/>
        <v>4936337765.8505669</v>
      </c>
      <c r="AM38" s="54">
        <f t="shared" si="159"/>
        <v>6919304369.0964689</v>
      </c>
      <c r="AN38" s="54">
        <f t="shared" si="159"/>
        <v>5101990953.5700569</v>
      </c>
      <c r="AO38" s="54">
        <f t="shared" si="159"/>
        <v>5416826877.9853573</v>
      </c>
      <c r="AP38" s="54">
        <f t="shared" si="159"/>
        <v>5525603708.9471064</v>
      </c>
      <c r="AQ38" s="322">
        <f t="shared" si="150"/>
        <v>65373478232.28569</v>
      </c>
      <c r="AS38" s="54">
        <v>5085051683.2684879</v>
      </c>
      <c r="AT38" s="54">
        <v>4093196981.7930779</v>
      </c>
      <c r="AU38" s="54">
        <v>4600864865.7930784</v>
      </c>
      <c r="AV38" s="54">
        <v>3968860918.7165751</v>
      </c>
      <c r="AW38" s="54">
        <v>5549018826.1701279</v>
      </c>
      <c r="AX38" s="54">
        <v>4908280870.2522898</v>
      </c>
      <c r="AY38" s="54">
        <v>4272047108.8742466</v>
      </c>
      <c r="AZ38" s="54">
        <v>4169382223.6283445</v>
      </c>
      <c r="BA38" s="54">
        <v>6178684666.8742466</v>
      </c>
      <c r="BB38" s="54">
        <v>4321867491.3478346</v>
      </c>
      <c r="BC38" s="54">
        <v>4663039255.763135</v>
      </c>
      <c r="BD38" s="54">
        <v>4745480246.724884</v>
      </c>
      <c r="BE38" s="54">
        <f t="shared" si="151"/>
        <v>56555775139.206322</v>
      </c>
      <c r="BG38" s="54">
        <f t="shared" si="152"/>
        <v>699124285.71428573</v>
      </c>
      <c r="BH38" s="54">
        <f t="shared" si="152"/>
        <v>450228752.06349206</v>
      </c>
      <c r="BI38" s="54">
        <f t="shared" si="152"/>
        <v>726655081.96825385</v>
      </c>
      <c r="BJ38" s="54">
        <f t="shared" si="152"/>
        <v>786717222.22222221</v>
      </c>
      <c r="BK38" s="54">
        <f t="shared" si="152"/>
        <v>786288955.55555558</v>
      </c>
      <c r="BL38" s="54">
        <f t="shared" si="152"/>
        <v>766955542.22222221</v>
      </c>
      <c r="BM38" s="54">
        <f t="shared" si="152"/>
        <v>780123462.22222221</v>
      </c>
      <c r="BN38" s="54">
        <f t="shared" si="152"/>
        <v>766955542.22222221</v>
      </c>
      <c r="BO38" s="54">
        <f t="shared" si="152"/>
        <v>740619702.22222221</v>
      </c>
      <c r="BP38" s="54">
        <f t="shared" si="152"/>
        <v>780123462.22222221</v>
      </c>
      <c r="BQ38" s="54">
        <f t="shared" si="152"/>
        <v>753787622.22222221</v>
      </c>
      <c r="BR38" s="54">
        <f t="shared" si="152"/>
        <v>780123462.22222221</v>
      </c>
      <c r="BS38" s="54">
        <f t="shared" si="153"/>
        <v>8817703093.0793648</v>
      </c>
      <c r="BU38" s="54">
        <v>319592000</v>
      </c>
      <c r="BV38" s="54">
        <v>158213760</v>
      </c>
      <c r="BW38" s="54">
        <v>308129327.99999994</v>
      </c>
      <c r="BX38" s="54">
        <v>329198000</v>
      </c>
      <c r="BY38" s="54">
        <v>329198000</v>
      </c>
      <c r="BZ38" s="54">
        <v>342365920</v>
      </c>
      <c r="CA38" s="54">
        <v>355533840</v>
      </c>
      <c r="CB38" s="54">
        <v>342365920</v>
      </c>
      <c r="CC38" s="54">
        <v>316030080</v>
      </c>
      <c r="CD38" s="54">
        <v>355533840</v>
      </c>
      <c r="CE38" s="54">
        <v>329198000</v>
      </c>
      <c r="CF38" s="54">
        <v>355533840</v>
      </c>
      <c r="CG38" s="54">
        <f t="shared" si="154"/>
        <v>3840892528</v>
      </c>
      <c r="CI38" s="54">
        <v>114364285.71428572</v>
      </c>
      <c r="CJ38" s="54">
        <v>85773214.285714284</v>
      </c>
      <c r="CK38" s="54">
        <v>123894642.85714285</v>
      </c>
      <c r="CL38" s="54">
        <v>133425000</v>
      </c>
      <c r="CM38" s="54">
        <v>133425000</v>
      </c>
      <c r="CN38" s="54">
        <v>133425000</v>
      </c>
      <c r="CO38" s="54">
        <v>133425000</v>
      </c>
      <c r="CP38" s="54">
        <v>133425000</v>
      </c>
      <c r="CQ38" s="54">
        <v>133425000</v>
      </c>
      <c r="CR38" s="54">
        <v>133425000</v>
      </c>
      <c r="CS38" s="54">
        <v>133425000</v>
      </c>
      <c r="CT38" s="54">
        <v>133425000</v>
      </c>
      <c r="CU38" s="54">
        <f t="shared" si="155"/>
        <v>1524857142.8571429</v>
      </c>
      <c r="CW38" s="54">
        <v>265168000</v>
      </c>
      <c r="CX38" s="54">
        <v>206241777.77777776</v>
      </c>
      <c r="CY38" s="54">
        <v>294631111.1111111</v>
      </c>
      <c r="CZ38" s="54">
        <v>324094222.22222221</v>
      </c>
      <c r="DA38" s="54">
        <v>323665955.55555552</v>
      </c>
      <c r="DB38" s="54">
        <v>291164622.22222221</v>
      </c>
      <c r="DC38" s="54">
        <v>291164622.22222221</v>
      </c>
      <c r="DD38" s="54">
        <v>291164622.22222221</v>
      </c>
      <c r="DE38" s="54">
        <v>291164622.22222221</v>
      </c>
      <c r="DF38" s="54">
        <v>291164622.22222221</v>
      </c>
      <c r="DG38" s="54">
        <v>291164622.22222221</v>
      </c>
      <c r="DH38" s="54">
        <v>291164622.22222221</v>
      </c>
      <c r="DI38" s="54">
        <f t="shared" si="156"/>
        <v>3451953422.2222228</v>
      </c>
      <c r="DK38" s="54">
        <v>0</v>
      </c>
      <c r="DL38" s="54">
        <v>0</v>
      </c>
      <c r="DM38" s="54">
        <v>0</v>
      </c>
      <c r="DN38" s="54">
        <v>0</v>
      </c>
      <c r="DO38" s="54">
        <v>0</v>
      </c>
      <c r="DP38" s="54">
        <v>0</v>
      </c>
      <c r="DQ38" s="54">
        <v>0</v>
      </c>
      <c r="DR38" s="54">
        <v>0</v>
      </c>
      <c r="DS38" s="54">
        <v>0</v>
      </c>
      <c r="DT38" s="54">
        <v>0</v>
      </c>
      <c r="DU38" s="54">
        <v>0</v>
      </c>
      <c r="DV38" s="54">
        <v>0</v>
      </c>
      <c r="DW38" s="54">
        <f t="shared" si="157"/>
        <v>0</v>
      </c>
      <c r="DY38" s="54"/>
      <c r="DZ38" s="54"/>
      <c r="EA38" s="54"/>
      <c r="EB38" s="54"/>
      <c r="EC38" s="54"/>
      <c r="ED38" s="54"/>
      <c r="EE38" s="54"/>
      <c r="EF38" s="54"/>
      <c r="EG38" s="54"/>
      <c r="EH38" s="54"/>
      <c r="EI38" s="54"/>
      <c r="EJ38" s="54"/>
      <c r="EK38" s="54">
        <f t="shared" si="158"/>
        <v>0</v>
      </c>
    </row>
    <row r="39" spans="1:141">
      <c r="A39" s="55">
        <v>12</v>
      </c>
      <c r="B39" s="56" t="s">
        <v>30</v>
      </c>
      <c r="C39" s="323">
        <f t="shared" si="147"/>
        <v>10459232108.664085</v>
      </c>
      <c r="D39" s="57">
        <f t="shared" si="147"/>
        <v>8973005312.6781425</v>
      </c>
      <c r="E39" s="57">
        <f t="shared" si="147"/>
        <v>8898059360.5499115</v>
      </c>
      <c r="F39" s="57">
        <f t="shared" si="147"/>
        <v>9011687661.5691586</v>
      </c>
      <c r="G39" s="57">
        <f t="shared" si="147"/>
        <v>9146478987.4667816</v>
      </c>
      <c r="H39" s="57">
        <f t="shared" si="147"/>
        <v>9595363924.6966782</v>
      </c>
      <c r="I39" s="57">
        <f t="shared" si="147"/>
        <v>10022639147.481373</v>
      </c>
      <c r="J39" s="57">
        <f t="shared" si="147"/>
        <v>10529772671.456768</v>
      </c>
      <c r="K39" s="57">
        <f t="shared" si="147"/>
        <v>9535865291.1497402</v>
      </c>
      <c r="L39" s="57">
        <f t="shared" si="147"/>
        <v>9108679136.8471889</v>
      </c>
      <c r="M39" s="57">
        <f t="shared" si="147"/>
        <v>9238634630.2021885</v>
      </c>
      <c r="N39" s="57">
        <f t="shared" si="147"/>
        <v>11454542815.86355</v>
      </c>
      <c r="O39" s="324">
        <f t="shared" si="148"/>
        <v>115973961048.62556</v>
      </c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>
        <f t="shared" si="149"/>
        <v>0</v>
      </c>
      <c r="AE39" s="325">
        <f t="shared" si="159"/>
        <v>10459232108.664085</v>
      </c>
      <c r="AF39" s="57">
        <f t="shared" si="159"/>
        <v>8973005312.6781425</v>
      </c>
      <c r="AG39" s="57">
        <f t="shared" si="159"/>
        <v>8898059360.5499115</v>
      </c>
      <c r="AH39" s="57">
        <f t="shared" si="159"/>
        <v>9011687661.5691586</v>
      </c>
      <c r="AI39" s="57">
        <f t="shared" si="159"/>
        <v>9146478987.4667816</v>
      </c>
      <c r="AJ39" s="57">
        <f t="shared" si="159"/>
        <v>9595363924.6966782</v>
      </c>
      <c r="AK39" s="57">
        <f t="shared" si="159"/>
        <v>10022639147.481373</v>
      </c>
      <c r="AL39" s="57">
        <f t="shared" si="159"/>
        <v>10529772671.456768</v>
      </c>
      <c r="AM39" s="57">
        <f t="shared" si="159"/>
        <v>9535865291.1497402</v>
      </c>
      <c r="AN39" s="57">
        <f t="shared" si="159"/>
        <v>9108679136.8471889</v>
      </c>
      <c r="AO39" s="57">
        <f t="shared" si="159"/>
        <v>9238634630.2021885</v>
      </c>
      <c r="AP39" s="57">
        <f t="shared" si="159"/>
        <v>11454542815.86355</v>
      </c>
      <c r="AQ39" s="326">
        <f t="shared" si="150"/>
        <v>115973961048.62556</v>
      </c>
      <c r="AS39" s="57">
        <v>9071413074.9872189</v>
      </c>
      <c r="AT39" s="57">
        <v>7516098440.3346109</v>
      </c>
      <c r="AU39" s="57">
        <v>7598269672.2063799</v>
      </c>
      <c r="AV39" s="57">
        <v>7688191220.7811832</v>
      </c>
      <c r="AW39" s="57">
        <v>7848430527.1788063</v>
      </c>
      <c r="AX39" s="57">
        <v>8123855633.0161085</v>
      </c>
      <c r="AY39" s="57">
        <v>8707815450.0008049</v>
      </c>
      <c r="AZ39" s="57">
        <v>8883369486.1761971</v>
      </c>
      <c r="BA39" s="57">
        <v>8212091289.1691723</v>
      </c>
      <c r="BB39" s="57">
        <v>7815232028.533287</v>
      </c>
      <c r="BC39" s="57">
        <v>7940180139.8882866</v>
      </c>
      <c r="BD39" s="57">
        <v>10136838744.549648</v>
      </c>
      <c r="BE39" s="57">
        <f t="shared" si="151"/>
        <v>99541785706.821701</v>
      </c>
      <c r="BG39" s="57">
        <f t="shared" si="152"/>
        <v>1382834296.6768649</v>
      </c>
      <c r="BH39" s="57">
        <f t="shared" si="152"/>
        <v>1452322135.3435316</v>
      </c>
      <c r="BI39" s="57">
        <f t="shared" si="152"/>
        <v>1295204951.3435316</v>
      </c>
      <c r="BJ39" s="57">
        <f t="shared" si="152"/>
        <v>1318511703.7879758</v>
      </c>
      <c r="BK39" s="57">
        <f t="shared" si="152"/>
        <v>1293463723.2879758</v>
      </c>
      <c r="BL39" s="57">
        <f t="shared" si="152"/>
        <v>1466923554.6805687</v>
      </c>
      <c r="BM39" s="57">
        <f t="shared" si="152"/>
        <v>1310238960.4805684</v>
      </c>
      <c r="BN39" s="57">
        <f t="shared" si="152"/>
        <v>1641418448.2805686</v>
      </c>
      <c r="BO39" s="57">
        <f t="shared" si="152"/>
        <v>1319189264.9805686</v>
      </c>
      <c r="BP39" s="57">
        <f t="shared" si="152"/>
        <v>1288862371.3139019</v>
      </c>
      <c r="BQ39" s="57">
        <f t="shared" si="152"/>
        <v>1293469753.3139019</v>
      </c>
      <c r="BR39" s="57">
        <f t="shared" si="152"/>
        <v>1313119334.3139019</v>
      </c>
      <c r="BS39" s="57">
        <f t="shared" si="153"/>
        <v>16375558497.803858</v>
      </c>
      <c r="BU39" s="57">
        <v>353847359.69166666</v>
      </c>
      <c r="BV39" s="57">
        <v>461395058.69166666</v>
      </c>
      <c r="BW39" s="57">
        <v>336683433.02500004</v>
      </c>
      <c r="BX39" s="57">
        <v>351729344.02499998</v>
      </c>
      <c r="BY39" s="57">
        <v>345595762.02499998</v>
      </c>
      <c r="BZ39" s="57">
        <v>359367480.17314816</v>
      </c>
      <c r="CA39" s="57">
        <v>378136181.1731481</v>
      </c>
      <c r="CB39" s="57">
        <v>623026153.17314827</v>
      </c>
      <c r="CC39" s="57">
        <v>380278478.17314816</v>
      </c>
      <c r="CD39" s="57">
        <v>361826453.17314816</v>
      </c>
      <c r="CE39" s="57">
        <v>358433175.17314816</v>
      </c>
      <c r="CF39" s="57">
        <v>377191736.1731481</v>
      </c>
      <c r="CG39" s="57">
        <f t="shared" si="154"/>
        <v>4687510614.6703711</v>
      </c>
      <c r="CI39" s="57">
        <v>471536610.03414291</v>
      </c>
      <c r="CJ39" s="57">
        <v>499621200.03414291</v>
      </c>
      <c r="CK39" s="57">
        <v>438001005.03414291</v>
      </c>
      <c r="CL39" s="57">
        <v>441430006.03414291</v>
      </c>
      <c r="CM39" s="57">
        <v>440990570.03414291</v>
      </c>
      <c r="CN39" s="57">
        <v>437891777.03414291</v>
      </c>
      <c r="CO39" s="57">
        <v>437665344.03414291</v>
      </c>
      <c r="CP39" s="57">
        <v>493579860.03414291</v>
      </c>
      <c r="CQ39" s="57">
        <v>435408150.03414291</v>
      </c>
      <c r="CR39" s="57">
        <v>442013302.03414291</v>
      </c>
      <c r="CS39" s="57">
        <v>434477238.03414291</v>
      </c>
      <c r="CT39" s="57">
        <v>441205120.03414291</v>
      </c>
      <c r="CU39" s="57">
        <f t="shared" si="155"/>
        <v>5413820182.4097137</v>
      </c>
      <c r="CW39" s="57">
        <v>557450326.95105529</v>
      </c>
      <c r="CX39" s="57">
        <v>491305876.61772192</v>
      </c>
      <c r="CY39" s="57">
        <v>520520513.28438854</v>
      </c>
      <c r="CZ39" s="57">
        <v>525352353.72883302</v>
      </c>
      <c r="DA39" s="57">
        <v>506877391.22883302</v>
      </c>
      <c r="DB39" s="57">
        <v>669664297.47327757</v>
      </c>
      <c r="DC39" s="57">
        <v>494437435.27327752</v>
      </c>
      <c r="DD39" s="57">
        <v>524812435.07327753</v>
      </c>
      <c r="DE39" s="57">
        <v>503502636.77327752</v>
      </c>
      <c r="DF39" s="57">
        <v>485022616.10661083</v>
      </c>
      <c r="DG39" s="57">
        <v>500559340.10661083</v>
      </c>
      <c r="DH39" s="57">
        <v>494722478.10661083</v>
      </c>
      <c r="DI39" s="57">
        <f t="shared" si="156"/>
        <v>6274227700.7237749</v>
      </c>
      <c r="DK39" s="57">
        <v>4984737</v>
      </c>
      <c r="DL39" s="57">
        <v>4584737</v>
      </c>
      <c r="DM39" s="57">
        <v>4584737</v>
      </c>
      <c r="DN39" s="57">
        <v>4984737</v>
      </c>
      <c r="DO39" s="57">
        <v>4584737</v>
      </c>
      <c r="DP39" s="57">
        <v>4584737</v>
      </c>
      <c r="DQ39" s="57">
        <v>4584737</v>
      </c>
      <c r="DR39" s="57">
        <v>4984737</v>
      </c>
      <c r="DS39" s="57">
        <v>4584737</v>
      </c>
      <c r="DT39" s="57">
        <v>4584737</v>
      </c>
      <c r="DU39" s="57">
        <v>4984737</v>
      </c>
      <c r="DV39" s="57">
        <v>4584737</v>
      </c>
      <c r="DW39" s="57">
        <f t="shared" si="157"/>
        <v>56616844</v>
      </c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>
        <f t="shared" si="158"/>
        <v>0</v>
      </c>
    </row>
    <row r="40" spans="1:141">
      <c r="A40" s="67">
        <v>13</v>
      </c>
      <c r="B40" s="68" t="s">
        <v>31</v>
      </c>
      <c r="C40" s="367">
        <f t="shared" ref="C40:O40" ca="1" si="160">C27+C31+C35-C36-C38-C39</f>
        <v>601502786.20492554</v>
      </c>
      <c r="D40" s="84">
        <f t="shared" ca="1" si="160"/>
        <v>-4314677890.2602415</v>
      </c>
      <c r="E40" s="84">
        <f t="shared" ca="1" si="160"/>
        <v>4436564006.3042355</v>
      </c>
      <c r="F40" s="84">
        <f t="shared" ca="1" si="160"/>
        <v>2796510279.3515453</v>
      </c>
      <c r="G40" s="84">
        <f t="shared" ca="1" si="160"/>
        <v>2981179891.7924595</v>
      </c>
      <c r="H40" s="84">
        <f t="shared" ca="1" si="160"/>
        <v>2005021479.4358158</v>
      </c>
      <c r="I40" s="84">
        <f t="shared" ca="1" si="160"/>
        <v>7816844330.49366</v>
      </c>
      <c r="J40" s="84">
        <f t="shared" ca="1" si="160"/>
        <v>6617593476.9673386</v>
      </c>
      <c r="K40" s="84">
        <f t="shared" ca="1" si="160"/>
        <v>6069842860.8661022</v>
      </c>
      <c r="L40" s="84">
        <f t="shared" ca="1" si="160"/>
        <v>7063528681.9640446</v>
      </c>
      <c r="M40" s="84">
        <f t="shared" ca="1" si="160"/>
        <v>7433416300.2930069</v>
      </c>
      <c r="N40" s="84">
        <f t="shared" ca="1" si="160"/>
        <v>5300282191.2253513</v>
      </c>
      <c r="O40" s="368">
        <f t="shared" ca="1" si="160"/>
        <v>48807608394.638229</v>
      </c>
      <c r="Q40" s="84">
        <f t="shared" ref="Q40:AC40" ca="1" si="161">Q27+Q31+Q35-Q36-Q38-Q39</f>
        <v>0</v>
      </c>
      <c r="R40" s="84">
        <f t="shared" ca="1" si="161"/>
        <v>0</v>
      </c>
      <c r="S40" s="84">
        <f t="shared" ca="1" si="161"/>
        <v>0</v>
      </c>
      <c r="T40" s="84">
        <f t="shared" ca="1" si="161"/>
        <v>0</v>
      </c>
      <c r="U40" s="84">
        <f t="shared" ca="1" si="161"/>
        <v>0</v>
      </c>
      <c r="V40" s="84">
        <f t="shared" ca="1" si="161"/>
        <v>0</v>
      </c>
      <c r="W40" s="84">
        <f t="shared" ca="1" si="161"/>
        <v>0</v>
      </c>
      <c r="X40" s="84">
        <f t="shared" ca="1" si="161"/>
        <v>0</v>
      </c>
      <c r="Y40" s="84">
        <f t="shared" ca="1" si="161"/>
        <v>0</v>
      </c>
      <c r="Z40" s="84">
        <f t="shared" ca="1" si="161"/>
        <v>0</v>
      </c>
      <c r="AA40" s="84">
        <f t="shared" ca="1" si="161"/>
        <v>0</v>
      </c>
      <c r="AB40" s="84">
        <f t="shared" ca="1" si="161"/>
        <v>0</v>
      </c>
      <c r="AC40" s="84">
        <f t="shared" ca="1" si="161"/>
        <v>0</v>
      </c>
      <c r="AE40" s="369">
        <f t="shared" ref="AE40:AQ40" si="162">AE27+AE31+AE35-AE36-AE38-AE39</f>
        <v>601502786.20492554</v>
      </c>
      <c r="AF40" s="84">
        <f t="shared" si="162"/>
        <v>-4314677890.2602415</v>
      </c>
      <c r="AG40" s="84">
        <f t="shared" si="162"/>
        <v>4436564006.3042355</v>
      </c>
      <c r="AH40" s="84">
        <f t="shared" si="162"/>
        <v>2796510279.3515453</v>
      </c>
      <c r="AI40" s="84">
        <f t="shared" si="162"/>
        <v>2981179891.7924595</v>
      </c>
      <c r="AJ40" s="84">
        <f t="shared" si="162"/>
        <v>2005021479.4358158</v>
      </c>
      <c r="AK40" s="84">
        <f t="shared" si="162"/>
        <v>7816844330.49366</v>
      </c>
      <c r="AL40" s="84">
        <f t="shared" si="162"/>
        <v>6617593476.9673386</v>
      </c>
      <c r="AM40" s="84">
        <f t="shared" si="162"/>
        <v>6069842860.8661022</v>
      </c>
      <c r="AN40" s="84">
        <f t="shared" si="162"/>
        <v>7063528681.9640446</v>
      </c>
      <c r="AO40" s="84">
        <f t="shared" si="162"/>
        <v>7433416300.2930069</v>
      </c>
      <c r="AP40" s="84">
        <f t="shared" si="162"/>
        <v>5300282191.2253513</v>
      </c>
      <c r="AQ40" s="370">
        <f t="shared" si="162"/>
        <v>48807608394.638229</v>
      </c>
      <c r="AS40" s="84">
        <f t="shared" ref="AS40:BE40" si="163">AS27+AS31+AS35-AS36-AS38-AS39</f>
        <v>2334994374.7063351</v>
      </c>
      <c r="AT40" s="84">
        <f t="shared" si="163"/>
        <v>-891478642.64979839</v>
      </c>
      <c r="AU40" s="84">
        <f t="shared" si="163"/>
        <v>6431823854.38412</v>
      </c>
      <c r="AV40" s="84">
        <f t="shared" si="163"/>
        <v>4168359670.0697536</v>
      </c>
      <c r="AW40" s="84">
        <f t="shared" si="163"/>
        <v>4346489854.7306442</v>
      </c>
      <c r="AX40" s="84">
        <f t="shared" si="163"/>
        <v>3973340800.7311525</v>
      </c>
      <c r="AY40" s="84">
        <f t="shared" si="163"/>
        <v>9621503003.9794807</v>
      </c>
      <c r="AZ40" s="84">
        <f t="shared" si="163"/>
        <v>8836135025.017807</v>
      </c>
      <c r="BA40" s="84">
        <f t="shared" si="163"/>
        <v>8070185356.4676476</v>
      </c>
      <c r="BB40" s="84">
        <f t="shared" si="163"/>
        <v>8765703474.6883202</v>
      </c>
      <c r="BC40" s="84">
        <f t="shared" si="163"/>
        <v>9336972412.2696571</v>
      </c>
      <c r="BD40" s="84">
        <f t="shared" si="163"/>
        <v>7047936259.3445015</v>
      </c>
      <c r="BE40" s="84">
        <f t="shared" si="163"/>
        <v>72041965443.739609</v>
      </c>
      <c r="BG40" s="84">
        <f t="shared" ref="BG40:BS40" si="164">BG27+BG31+BG35-BG36-BG38-BG39</f>
        <v>-1728512399.6125174</v>
      </c>
      <c r="BH40" s="84">
        <f t="shared" si="164"/>
        <v>-3418620058.7215528</v>
      </c>
      <c r="BI40" s="84">
        <f t="shared" si="164"/>
        <v>-1990680659.1909969</v>
      </c>
      <c r="BJ40" s="84">
        <f t="shared" si="164"/>
        <v>-1366870201.8293204</v>
      </c>
      <c r="BK40" s="84">
        <f t="shared" si="164"/>
        <v>-1360730774.0492961</v>
      </c>
      <c r="BL40" s="84">
        <f t="shared" si="164"/>
        <v>-1963740132.4064455</v>
      </c>
      <c r="BM40" s="84">
        <f t="shared" si="164"/>
        <v>-1800079484.5969329</v>
      </c>
      <c r="BN40" s="84">
        <f t="shared" si="164"/>
        <v>-2213562359.1615739</v>
      </c>
      <c r="BO40" s="84">
        <f t="shared" si="164"/>
        <v>-1995763306.7126555</v>
      </c>
      <c r="BP40" s="84">
        <f t="shared" si="164"/>
        <v>-1697595603.8353872</v>
      </c>
      <c r="BQ40" s="84">
        <f t="shared" si="164"/>
        <v>-1898576923.08776</v>
      </c>
      <c r="BR40" s="84">
        <f t="shared" si="164"/>
        <v>-1743074879.2302618</v>
      </c>
      <c r="BS40" s="84">
        <f t="shared" si="164"/>
        <v>-23177806782.434738</v>
      </c>
      <c r="BU40" s="84">
        <f t="shared" ref="BU40:CG40" si="165">BU27+BU31+BU35-BU36-BU38-BU39</f>
        <v>-398961519.46358591</v>
      </c>
      <c r="BV40" s="84">
        <f t="shared" si="165"/>
        <v>-1620401480.9183569</v>
      </c>
      <c r="BW40" s="84">
        <f t="shared" si="165"/>
        <v>-1066797324.3016038</v>
      </c>
      <c r="BX40" s="84">
        <f t="shared" si="165"/>
        <v>-658970073.14220464</v>
      </c>
      <c r="BY40" s="84">
        <f t="shared" si="165"/>
        <v>-699138914.25331533</v>
      </c>
      <c r="BZ40" s="84">
        <f t="shared" si="165"/>
        <v>-684233978.55348682</v>
      </c>
      <c r="CA40" s="84">
        <f t="shared" si="165"/>
        <v>-671236943.37217617</v>
      </c>
      <c r="CB40" s="84">
        <f t="shared" si="165"/>
        <v>-980932657.55348694</v>
      </c>
      <c r="CC40" s="84">
        <f t="shared" si="165"/>
        <v>-894643115.58277607</v>
      </c>
      <c r="CD40" s="84">
        <f t="shared" si="165"/>
        <v>-637000059.03884029</v>
      </c>
      <c r="CE40" s="84">
        <f t="shared" si="165"/>
        <v>-803654994.40146351</v>
      </c>
      <c r="CF40" s="84">
        <f t="shared" si="165"/>
        <v>-660028703.03884029</v>
      </c>
      <c r="CG40" s="84">
        <f t="shared" si="165"/>
        <v>-9775999763.6201401</v>
      </c>
      <c r="CI40" s="84">
        <f t="shared" ref="CI40:CU40" si="166">CI27+CI31+CI35-CI36-CI38-CI39</f>
        <v>-307153648.70298225</v>
      </c>
      <c r="CJ40" s="84">
        <f t="shared" si="166"/>
        <v>-648003978.93160486</v>
      </c>
      <c r="CK40" s="84">
        <f t="shared" si="166"/>
        <v>-138157997.39344013</v>
      </c>
      <c r="CL40" s="84">
        <f t="shared" si="166"/>
        <v>-88161731.183898389</v>
      </c>
      <c r="CM40" s="84">
        <f t="shared" si="166"/>
        <v>-43936535.383899152</v>
      </c>
      <c r="CN40" s="84">
        <f t="shared" si="166"/>
        <v>-87441745.650565565</v>
      </c>
      <c r="CO40" s="84">
        <f t="shared" si="166"/>
        <v>-99125290.017232358</v>
      </c>
      <c r="CP40" s="84">
        <f t="shared" si="166"/>
        <v>-172572450.60056537</v>
      </c>
      <c r="CQ40" s="84">
        <f t="shared" si="166"/>
        <v>-103932866.21723217</v>
      </c>
      <c r="CR40" s="84">
        <f t="shared" si="166"/>
        <v>-49510908.550565183</v>
      </c>
      <c r="CS40" s="84">
        <f t="shared" si="166"/>
        <v>-61328310.850565374</v>
      </c>
      <c r="CT40" s="84">
        <f t="shared" si="166"/>
        <v>-65415549.150565565</v>
      </c>
      <c r="CU40" s="84">
        <f t="shared" si="166"/>
        <v>-1864741012.6331134</v>
      </c>
      <c r="CW40" s="84">
        <f t="shared" ref="CW40:DI40" si="167">CW27+CW31+CW35-CW36-CW38-CW39</f>
        <v>-1022397231.4459512</v>
      </c>
      <c r="CX40" s="84">
        <f t="shared" si="167"/>
        <v>-1150214598.8715892</v>
      </c>
      <c r="CY40" s="84">
        <f t="shared" si="167"/>
        <v>-785725337.49595213</v>
      </c>
      <c r="CZ40" s="84">
        <f t="shared" si="167"/>
        <v>-619738397.50321746</v>
      </c>
      <c r="DA40" s="84">
        <f t="shared" si="167"/>
        <v>-617655324.41208172</v>
      </c>
      <c r="DB40" s="84">
        <f t="shared" si="167"/>
        <v>-1192064408.202395</v>
      </c>
      <c r="DC40" s="84">
        <f t="shared" si="167"/>
        <v>-1029717251.2075225</v>
      </c>
      <c r="DD40" s="84">
        <f t="shared" si="167"/>
        <v>-1060057251.0075226</v>
      </c>
      <c r="DE40" s="84">
        <f t="shared" si="167"/>
        <v>-997187324.91265023</v>
      </c>
      <c r="DF40" s="84">
        <f t="shared" si="167"/>
        <v>-1011084636.2459836</v>
      </c>
      <c r="DG40" s="84">
        <f t="shared" si="167"/>
        <v>-1033593617.8357282</v>
      </c>
      <c r="DH40" s="84">
        <f t="shared" si="167"/>
        <v>-1017630627.0408559</v>
      </c>
      <c r="DI40" s="84">
        <f t="shared" si="167"/>
        <v>-11537066006.181442</v>
      </c>
      <c r="DK40" s="84">
        <f t="shared" ref="DK40:DW40" si="168">DK27+DK31+DK35-DK36-DK38-DK39</f>
        <v>-4979188.888888889</v>
      </c>
      <c r="DL40" s="84">
        <f t="shared" si="168"/>
        <v>-4579188.888888889</v>
      </c>
      <c r="DM40" s="84">
        <f t="shared" si="168"/>
        <v>-4579188.888888889</v>
      </c>
      <c r="DN40" s="84">
        <f t="shared" si="168"/>
        <v>-4979188.888888889</v>
      </c>
      <c r="DO40" s="84">
        <f t="shared" si="168"/>
        <v>-4579188.888888889</v>
      </c>
      <c r="DP40" s="84">
        <f t="shared" si="168"/>
        <v>-4579188.888888889</v>
      </c>
      <c r="DQ40" s="84">
        <f t="shared" si="168"/>
        <v>-4579188.888888889</v>
      </c>
      <c r="DR40" s="84">
        <f t="shared" si="168"/>
        <v>-4979188.888888889</v>
      </c>
      <c r="DS40" s="84">
        <f t="shared" si="168"/>
        <v>-4579188.888888889</v>
      </c>
      <c r="DT40" s="84">
        <f t="shared" si="168"/>
        <v>-4579188.888888889</v>
      </c>
      <c r="DU40" s="84">
        <f t="shared" si="168"/>
        <v>-4979188.888888889</v>
      </c>
      <c r="DV40" s="84">
        <f t="shared" si="168"/>
        <v>-4579188.888888889</v>
      </c>
      <c r="DW40" s="84">
        <f t="shared" si="168"/>
        <v>-56550266.666666664</v>
      </c>
      <c r="DY40" s="84">
        <f t="shared" ref="DY40:EK40" si="169">DY27+DY31+DY35-DY36-DY38-DY39</f>
        <v>0</v>
      </c>
      <c r="DZ40" s="84">
        <f t="shared" si="169"/>
        <v>0</v>
      </c>
      <c r="EA40" s="84">
        <f t="shared" si="169"/>
        <v>0</v>
      </c>
      <c r="EB40" s="84">
        <f t="shared" si="169"/>
        <v>0</v>
      </c>
      <c r="EC40" s="84">
        <f t="shared" si="169"/>
        <v>0</v>
      </c>
      <c r="ED40" s="84">
        <f t="shared" si="169"/>
        <v>0</v>
      </c>
      <c r="EE40" s="84">
        <f t="shared" si="169"/>
        <v>0</v>
      </c>
      <c r="EF40" s="84">
        <f t="shared" si="169"/>
        <v>0</v>
      </c>
      <c r="EG40" s="84">
        <f t="shared" si="169"/>
        <v>0</v>
      </c>
      <c r="EH40" s="84">
        <f t="shared" si="169"/>
        <v>0</v>
      </c>
      <c r="EI40" s="84">
        <f t="shared" si="169"/>
        <v>0</v>
      </c>
      <c r="EJ40" s="84">
        <f t="shared" si="169"/>
        <v>0</v>
      </c>
      <c r="EK40" s="84">
        <f t="shared" si="169"/>
        <v>0</v>
      </c>
    </row>
    <row r="41" spans="1:141" s="79" customFormat="1">
      <c r="A41" s="77">
        <v>14</v>
      </c>
      <c r="B41" s="78" t="s">
        <v>32</v>
      </c>
      <c r="C41" s="371">
        <f t="shared" ref="C41:N42" si="170">Q41+AE41</f>
        <v>0</v>
      </c>
      <c r="D41" s="83">
        <f t="shared" si="170"/>
        <v>0</v>
      </c>
      <c r="E41" s="83">
        <f t="shared" si="170"/>
        <v>0</v>
      </c>
      <c r="F41" s="83">
        <f t="shared" si="170"/>
        <v>0</v>
      </c>
      <c r="G41" s="83">
        <f t="shared" si="170"/>
        <v>0</v>
      </c>
      <c r="H41" s="83">
        <f t="shared" si="170"/>
        <v>0</v>
      </c>
      <c r="I41" s="83">
        <f t="shared" si="170"/>
        <v>0</v>
      </c>
      <c r="J41" s="83">
        <f t="shared" si="170"/>
        <v>0</v>
      </c>
      <c r="K41" s="83">
        <f t="shared" si="170"/>
        <v>0</v>
      </c>
      <c r="L41" s="83">
        <f t="shared" si="170"/>
        <v>0</v>
      </c>
      <c r="M41" s="83">
        <f t="shared" si="170"/>
        <v>0</v>
      </c>
      <c r="N41" s="83">
        <f t="shared" si="170"/>
        <v>0</v>
      </c>
      <c r="O41" s="372">
        <f>SUM(C41:N41)</f>
        <v>0</v>
      </c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>
        <f>SUM(Q41:AB41)</f>
        <v>0</v>
      </c>
      <c r="AE41" s="373">
        <f t="shared" ref="AE41:AP42" si="171">AS41+BU41+CI41+CW41+DK41</f>
        <v>0</v>
      </c>
      <c r="AF41" s="83">
        <f t="shared" si="171"/>
        <v>0</v>
      </c>
      <c r="AG41" s="83">
        <f t="shared" si="171"/>
        <v>0</v>
      </c>
      <c r="AH41" s="83">
        <f t="shared" si="171"/>
        <v>0</v>
      </c>
      <c r="AI41" s="83">
        <f t="shared" si="171"/>
        <v>0</v>
      </c>
      <c r="AJ41" s="83">
        <f t="shared" si="171"/>
        <v>0</v>
      </c>
      <c r="AK41" s="83">
        <f t="shared" si="171"/>
        <v>0</v>
      </c>
      <c r="AL41" s="83">
        <f t="shared" si="171"/>
        <v>0</v>
      </c>
      <c r="AM41" s="83">
        <f t="shared" si="171"/>
        <v>0</v>
      </c>
      <c r="AN41" s="83">
        <f t="shared" si="171"/>
        <v>0</v>
      </c>
      <c r="AO41" s="83">
        <f t="shared" si="171"/>
        <v>0</v>
      </c>
      <c r="AP41" s="83">
        <f t="shared" si="171"/>
        <v>0</v>
      </c>
      <c r="AQ41" s="374">
        <f>SUM(AE41:AP41)</f>
        <v>0</v>
      </c>
      <c r="AS41" s="83">
        <v>0</v>
      </c>
      <c r="AT41" s="83">
        <v>0</v>
      </c>
      <c r="AU41" s="83">
        <v>0</v>
      </c>
      <c r="AV41" s="83">
        <v>0</v>
      </c>
      <c r="AW41" s="83">
        <v>0</v>
      </c>
      <c r="AX41" s="83">
        <v>0</v>
      </c>
      <c r="AY41" s="83">
        <v>0</v>
      </c>
      <c r="AZ41" s="83">
        <v>0</v>
      </c>
      <c r="BA41" s="83">
        <v>0</v>
      </c>
      <c r="BB41" s="83">
        <v>0</v>
      </c>
      <c r="BC41" s="83">
        <v>0</v>
      </c>
      <c r="BD41" s="83">
        <v>0</v>
      </c>
      <c r="BE41" s="83">
        <f>SUM(AS41:BD41)</f>
        <v>0</v>
      </c>
      <c r="BG41" s="83">
        <f t="shared" ref="BG41:BR42" si="172">BU41+CI41+CW41</f>
        <v>0</v>
      </c>
      <c r="BH41" s="83">
        <f t="shared" si="172"/>
        <v>0</v>
      </c>
      <c r="BI41" s="83">
        <f t="shared" si="172"/>
        <v>0</v>
      </c>
      <c r="BJ41" s="83">
        <f t="shared" si="172"/>
        <v>0</v>
      </c>
      <c r="BK41" s="83">
        <f t="shared" si="172"/>
        <v>0</v>
      </c>
      <c r="BL41" s="83">
        <f t="shared" si="172"/>
        <v>0</v>
      </c>
      <c r="BM41" s="83">
        <f t="shared" si="172"/>
        <v>0</v>
      </c>
      <c r="BN41" s="83">
        <f t="shared" si="172"/>
        <v>0</v>
      </c>
      <c r="BO41" s="83">
        <f t="shared" si="172"/>
        <v>0</v>
      </c>
      <c r="BP41" s="83">
        <f t="shared" si="172"/>
        <v>0</v>
      </c>
      <c r="BQ41" s="83">
        <f t="shared" si="172"/>
        <v>0</v>
      </c>
      <c r="BR41" s="83">
        <f t="shared" si="172"/>
        <v>0</v>
      </c>
      <c r="BS41" s="83">
        <f>SUM(BG41:BR41)</f>
        <v>0</v>
      </c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>
        <f>SUM(BU41:CF41)</f>
        <v>0</v>
      </c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>
        <f>SUM(CI41:CT41)</f>
        <v>0</v>
      </c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>
        <f>SUM(CW41:DH41)</f>
        <v>0</v>
      </c>
      <c r="DK41" s="83">
        <v>0</v>
      </c>
      <c r="DL41" s="83">
        <v>0</v>
      </c>
      <c r="DM41" s="83">
        <v>0</v>
      </c>
      <c r="DN41" s="83">
        <v>0</v>
      </c>
      <c r="DO41" s="83">
        <v>0</v>
      </c>
      <c r="DP41" s="83">
        <v>0</v>
      </c>
      <c r="DQ41" s="83">
        <v>0</v>
      </c>
      <c r="DR41" s="83">
        <v>0</v>
      </c>
      <c r="DS41" s="83">
        <v>0</v>
      </c>
      <c r="DT41" s="83">
        <v>0</v>
      </c>
      <c r="DU41" s="83">
        <v>0</v>
      </c>
      <c r="DV41" s="83">
        <v>0</v>
      </c>
      <c r="DW41" s="83">
        <f>SUM(DK41:DV41)</f>
        <v>0</v>
      </c>
      <c r="DY41" s="83"/>
      <c r="DZ41" s="83"/>
      <c r="EA41" s="83"/>
      <c r="EB41" s="83"/>
      <c r="EC41" s="83"/>
      <c r="ED41" s="83"/>
      <c r="EE41" s="83"/>
      <c r="EF41" s="83"/>
      <c r="EG41" s="83"/>
      <c r="EH41" s="83"/>
      <c r="EI41" s="83"/>
      <c r="EJ41" s="83"/>
      <c r="EK41" s="83">
        <f>SUM(DY41:EJ41)</f>
        <v>0</v>
      </c>
    </row>
    <row r="42" spans="1:141" s="79" customFormat="1">
      <c r="A42" s="80">
        <v>15</v>
      </c>
      <c r="B42" s="81" t="s">
        <v>33</v>
      </c>
      <c r="C42" s="375">
        <f t="shared" si="170"/>
        <v>433624999.99999994</v>
      </c>
      <c r="D42" s="82">
        <f t="shared" si="170"/>
        <v>433624999.99999994</v>
      </c>
      <c r="E42" s="82">
        <f t="shared" si="170"/>
        <v>433624999.99999994</v>
      </c>
      <c r="F42" s="82">
        <f t="shared" si="170"/>
        <v>433624999.99999994</v>
      </c>
      <c r="G42" s="82">
        <f t="shared" si="170"/>
        <v>433624999.99999994</v>
      </c>
      <c r="H42" s="82">
        <f t="shared" si="170"/>
        <v>433624999.99999994</v>
      </c>
      <c r="I42" s="82">
        <f t="shared" si="170"/>
        <v>433624999.99999994</v>
      </c>
      <c r="J42" s="82">
        <f t="shared" si="170"/>
        <v>433624999.99999994</v>
      </c>
      <c r="K42" s="82">
        <f t="shared" si="170"/>
        <v>433624999.99999994</v>
      </c>
      <c r="L42" s="82">
        <f t="shared" si="170"/>
        <v>433624999.99999994</v>
      </c>
      <c r="M42" s="82">
        <f t="shared" si="170"/>
        <v>433624999.99999994</v>
      </c>
      <c r="N42" s="82">
        <f t="shared" si="170"/>
        <v>433624999.99999994</v>
      </c>
      <c r="O42" s="376">
        <f>SUM(C42:N42)</f>
        <v>5203499999.999999</v>
      </c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>
        <f>SUM(Q42:AB42)</f>
        <v>0</v>
      </c>
      <c r="AE42" s="377">
        <f t="shared" si="171"/>
        <v>433624999.99999994</v>
      </c>
      <c r="AF42" s="82">
        <f t="shared" si="171"/>
        <v>433624999.99999994</v>
      </c>
      <c r="AG42" s="82">
        <f t="shared" si="171"/>
        <v>433624999.99999994</v>
      </c>
      <c r="AH42" s="82">
        <f t="shared" si="171"/>
        <v>433624999.99999994</v>
      </c>
      <c r="AI42" s="82">
        <f t="shared" si="171"/>
        <v>433624999.99999994</v>
      </c>
      <c r="AJ42" s="82">
        <f t="shared" si="171"/>
        <v>433624999.99999994</v>
      </c>
      <c r="AK42" s="82">
        <f t="shared" si="171"/>
        <v>433624999.99999994</v>
      </c>
      <c r="AL42" s="82">
        <f t="shared" si="171"/>
        <v>433624999.99999994</v>
      </c>
      <c r="AM42" s="82">
        <f t="shared" si="171"/>
        <v>433624999.99999994</v>
      </c>
      <c r="AN42" s="82">
        <f t="shared" si="171"/>
        <v>433624999.99999994</v>
      </c>
      <c r="AO42" s="82">
        <f t="shared" si="171"/>
        <v>433624999.99999994</v>
      </c>
      <c r="AP42" s="82">
        <f t="shared" si="171"/>
        <v>433624999.99999994</v>
      </c>
      <c r="AQ42" s="378">
        <f>SUM(AE42:AP42)</f>
        <v>5203499999.999999</v>
      </c>
      <c r="AS42" s="82">
        <v>433624999.99999994</v>
      </c>
      <c r="AT42" s="82">
        <v>433624999.99999994</v>
      </c>
      <c r="AU42" s="82">
        <v>433624999.99999994</v>
      </c>
      <c r="AV42" s="82">
        <v>433624999.99999994</v>
      </c>
      <c r="AW42" s="82">
        <v>433624999.99999994</v>
      </c>
      <c r="AX42" s="82">
        <v>433624999.99999994</v>
      </c>
      <c r="AY42" s="82">
        <v>433624999.99999994</v>
      </c>
      <c r="AZ42" s="82">
        <v>433624999.99999994</v>
      </c>
      <c r="BA42" s="82">
        <v>433624999.99999994</v>
      </c>
      <c r="BB42" s="82">
        <v>433624999.99999994</v>
      </c>
      <c r="BC42" s="82">
        <v>433624999.99999994</v>
      </c>
      <c r="BD42" s="82">
        <v>433624999.99999994</v>
      </c>
      <c r="BE42" s="82">
        <f>SUM(AS42:BD42)</f>
        <v>5203499999.999999</v>
      </c>
      <c r="BG42" s="82">
        <f t="shared" si="172"/>
        <v>0</v>
      </c>
      <c r="BH42" s="82">
        <f t="shared" si="172"/>
        <v>0</v>
      </c>
      <c r="BI42" s="82">
        <f t="shared" si="172"/>
        <v>0</v>
      </c>
      <c r="BJ42" s="82">
        <f t="shared" si="172"/>
        <v>0</v>
      </c>
      <c r="BK42" s="82">
        <f t="shared" si="172"/>
        <v>0</v>
      </c>
      <c r="BL42" s="82">
        <f t="shared" si="172"/>
        <v>0</v>
      </c>
      <c r="BM42" s="82">
        <f t="shared" si="172"/>
        <v>0</v>
      </c>
      <c r="BN42" s="82">
        <f t="shared" si="172"/>
        <v>0</v>
      </c>
      <c r="BO42" s="82">
        <f t="shared" si="172"/>
        <v>0</v>
      </c>
      <c r="BP42" s="82">
        <f t="shared" si="172"/>
        <v>0</v>
      </c>
      <c r="BQ42" s="82">
        <f t="shared" si="172"/>
        <v>0</v>
      </c>
      <c r="BR42" s="82">
        <f t="shared" si="172"/>
        <v>0</v>
      </c>
      <c r="BS42" s="82">
        <f>SUM(BG42:BR42)</f>
        <v>0</v>
      </c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>
        <f>SUM(BU42:CF42)</f>
        <v>0</v>
      </c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>
        <f>SUM(CI42:CT42)</f>
        <v>0</v>
      </c>
      <c r="CW42" s="82"/>
      <c r="CX42" s="82"/>
      <c r="CY42" s="82"/>
      <c r="CZ42" s="82"/>
      <c r="DA42" s="82"/>
      <c r="DB42" s="82"/>
      <c r="DC42" s="82"/>
      <c r="DD42" s="82"/>
      <c r="DE42" s="82"/>
      <c r="DF42" s="82"/>
      <c r="DG42" s="82"/>
      <c r="DH42" s="82"/>
      <c r="DI42" s="82">
        <f>SUM(CW42:DH42)</f>
        <v>0</v>
      </c>
      <c r="DK42" s="82">
        <v>0</v>
      </c>
      <c r="DL42" s="82">
        <v>0</v>
      </c>
      <c r="DM42" s="82">
        <v>0</v>
      </c>
      <c r="DN42" s="82">
        <v>0</v>
      </c>
      <c r="DO42" s="82">
        <v>0</v>
      </c>
      <c r="DP42" s="82">
        <v>0</v>
      </c>
      <c r="DQ42" s="82">
        <v>0</v>
      </c>
      <c r="DR42" s="82">
        <v>0</v>
      </c>
      <c r="DS42" s="82">
        <v>0</v>
      </c>
      <c r="DT42" s="82">
        <v>0</v>
      </c>
      <c r="DU42" s="82">
        <v>0</v>
      </c>
      <c r="DV42" s="82">
        <v>0</v>
      </c>
      <c r="DW42" s="82">
        <f>SUM(DK42:DV42)</f>
        <v>0</v>
      </c>
      <c r="DY42" s="82"/>
      <c r="DZ42" s="82"/>
      <c r="EA42" s="82"/>
      <c r="EB42" s="82"/>
      <c r="EC42" s="82"/>
      <c r="ED42" s="82"/>
      <c r="EE42" s="82"/>
      <c r="EF42" s="82"/>
      <c r="EG42" s="82"/>
      <c r="EH42" s="82"/>
      <c r="EI42" s="82"/>
      <c r="EJ42" s="82"/>
      <c r="EK42" s="82">
        <f>SUM(DY42:EJ42)</f>
        <v>0</v>
      </c>
    </row>
    <row r="43" spans="1:141">
      <c r="A43" s="69">
        <v>16</v>
      </c>
      <c r="B43" s="70" t="s">
        <v>34</v>
      </c>
      <c r="C43" s="379">
        <f t="shared" ref="C43:O43" si="173">C41-C42</f>
        <v>-433624999.99999994</v>
      </c>
      <c r="D43" s="85">
        <f t="shared" si="173"/>
        <v>-433624999.99999994</v>
      </c>
      <c r="E43" s="85">
        <f t="shared" si="173"/>
        <v>-433624999.99999994</v>
      </c>
      <c r="F43" s="85">
        <f t="shared" si="173"/>
        <v>-433624999.99999994</v>
      </c>
      <c r="G43" s="85">
        <f t="shared" si="173"/>
        <v>-433624999.99999994</v>
      </c>
      <c r="H43" s="85">
        <f t="shared" si="173"/>
        <v>-433624999.99999994</v>
      </c>
      <c r="I43" s="85">
        <f t="shared" si="173"/>
        <v>-433624999.99999994</v>
      </c>
      <c r="J43" s="85">
        <f t="shared" si="173"/>
        <v>-433624999.99999994</v>
      </c>
      <c r="K43" s="85">
        <f t="shared" si="173"/>
        <v>-433624999.99999994</v>
      </c>
      <c r="L43" s="85">
        <f t="shared" si="173"/>
        <v>-433624999.99999994</v>
      </c>
      <c r="M43" s="85">
        <f t="shared" si="173"/>
        <v>-433624999.99999994</v>
      </c>
      <c r="N43" s="85">
        <f t="shared" si="173"/>
        <v>-433624999.99999994</v>
      </c>
      <c r="O43" s="380">
        <f t="shared" si="173"/>
        <v>-5203499999.999999</v>
      </c>
      <c r="Q43" s="85">
        <f t="shared" ref="Q43:AC43" si="174">Q41-Q42</f>
        <v>0</v>
      </c>
      <c r="R43" s="85">
        <f t="shared" si="174"/>
        <v>0</v>
      </c>
      <c r="S43" s="85">
        <f t="shared" si="174"/>
        <v>0</v>
      </c>
      <c r="T43" s="85">
        <f t="shared" si="174"/>
        <v>0</v>
      </c>
      <c r="U43" s="85">
        <f t="shared" si="174"/>
        <v>0</v>
      </c>
      <c r="V43" s="85">
        <f t="shared" si="174"/>
        <v>0</v>
      </c>
      <c r="W43" s="85">
        <f t="shared" si="174"/>
        <v>0</v>
      </c>
      <c r="X43" s="85">
        <f t="shared" si="174"/>
        <v>0</v>
      </c>
      <c r="Y43" s="85">
        <f t="shared" si="174"/>
        <v>0</v>
      </c>
      <c r="Z43" s="85">
        <f t="shared" si="174"/>
        <v>0</v>
      </c>
      <c r="AA43" s="85">
        <f t="shared" si="174"/>
        <v>0</v>
      </c>
      <c r="AB43" s="85">
        <f t="shared" si="174"/>
        <v>0</v>
      </c>
      <c r="AC43" s="85">
        <f t="shared" si="174"/>
        <v>0</v>
      </c>
      <c r="AE43" s="381">
        <f t="shared" ref="AE43:AQ43" si="175">AE41-AE42</f>
        <v>-433624999.99999994</v>
      </c>
      <c r="AF43" s="85">
        <f t="shared" si="175"/>
        <v>-433624999.99999994</v>
      </c>
      <c r="AG43" s="85">
        <f t="shared" si="175"/>
        <v>-433624999.99999994</v>
      </c>
      <c r="AH43" s="85">
        <f t="shared" si="175"/>
        <v>-433624999.99999994</v>
      </c>
      <c r="AI43" s="85">
        <f t="shared" si="175"/>
        <v>-433624999.99999994</v>
      </c>
      <c r="AJ43" s="85">
        <f t="shared" si="175"/>
        <v>-433624999.99999994</v>
      </c>
      <c r="AK43" s="85">
        <f t="shared" si="175"/>
        <v>-433624999.99999994</v>
      </c>
      <c r="AL43" s="85">
        <f t="shared" si="175"/>
        <v>-433624999.99999994</v>
      </c>
      <c r="AM43" s="85">
        <f t="shared" si="175"/>
        <v>-433624999.99999994</v>
      </c>
      <c r="AN43" s="85">
        <f t="shared" si="175"/>
        <v>-433624999.99999994</v>
      </c>
      <c r="AO43" s="85">
        <f t="shared" si="175"/>
        <v>-433624999.99999994</v>
      </c>
      <c r="AP43" s="85">
        <f t="shared" si="175"/>
        <v>-433624999.99999994</v>
      </c>
      <c r="AQ43" s="382">
        <f t="shared" si="175"/>
        <v>-5203499999.999999</v>
      </c>
      <c r="AS43" s="85">
        <f t="shared" ref="AS43:BE43" si="176">AS41-AS42</f>
        <v>-433624999.99999994</v>
      </c>
      <c r="AT43" s="85">
        <f t="shared" si="176"/>
        <v>-433624999.99999994</v>
      </c>
      <c r="AU43" s="85">
        <f t="shared" si="176"/>
        <v>-433624999.99999994</v>
      </c>
      <c r="AV43" s="85">
        <f t="shared" si="176"/>
        <v>-433624999.99999994</v>
      </c>
      <c r="AW43" s="85">
        <f t="shared" si="176"/>
        <v>-433624999.99999994</v>
      </c>
      <c r="AX43" s="85">
        <f t="shared" si="176"/>
        <v>-433624999.99999994</v>
      </c>
      <c r="AY43" s="85">
        <f t="shared" si="176"/>
        <v>-433624999.99999994</v>
      </c>
      <c r="AZ43" s="85">
        <f t="shared" si="176"/>
        <v>-433624999.99999994</v>
      </c>
      <c r="BA43" s="85">
        <f t="shared" si="176"/>
        <v>-433624999.99999994</v>
      </c>
      <c r="BB43" s="85">
        <f t="shared" si="176"/>
        <v>-433624999.99999994</v>
      </c>
      <c r="BC43" s="85">
        <f t="shared" si="176"/>
        <v>-433624999.99999994</v>
      </c>
      <c r="BD43" s="85">
        <f t="shared" si="176"/>
        <v>-433624999.99999994</v>
      </c>
      <c r="BE43" s="85">
        <f t="shared" si="176"/>
        <v>-5203499999.999999</v>
      </c>
      <c r="BG43" s="85">
        <f t="shared" ref="BG43:BS43" si="177">BG41-BG42</f>
        <v>0</v>
      </c>
      <c r="BH43" s="85">
        <f t="shared" si="177"/>
        <v>0</v>
      </c>
      <c r="BI43" s="85">
        <f t="shared" si="177"/>
        <v>0</v>
      </c>
      <c r="BJ43" s="85">
        <f t="shared" si="177"/>
        <v>0</v>
      </c>
      <c r="BK43" s="85">
        <f t="shared" si="177"/>
        <v>0</v>
      </c>
      <c r="BL43" s="85">
        <f t="shared" si="177"/>
        <v>0</v>
      </c>
      <c r="BM43" s="85">
        <f t="shared" si="177"/>
        <v>0</v>
      </c>
      <c r="BN43" s="85">
        <f t="shared" si="177"/>
        <v>0</v>
      </c>
      <c r="BO43" s="85">
        <f t="shared" si="177"/>
        <v>0</v>
      </c>
      <c r="BP43" s="85">
        <f t="shared" si="177"/>
        <v>0</v>
      </c>
      <c r="BQ43" s="85">
        <f t="shared" si="177"/>
        <v>0</v>
      </c>
      <c r="BR43" s="85">
        <f t="shared" si="177"/>
        <v>0</v>
      </c>
      <c r="BS43" s="85">
        <f t="shared" si="177"/>
        <v>0</v>
      </c>
      <c r="BU43" s="85">
        <f t="shared" ref="BU43:CG43" si="178">BU41-BU42</f>
        <v>0</v>
      </c>
      <c r="BV43" s="85">
        <f t="shared" si="178"/>
        <v>0</v>
      </c>
      <c r="BW43" s="85">
        <f t="shared" si="178"/>
        <v>0</v>
      </c>
      <c r="BX43" s="85">
        <f t="shared" si="178"/>
        <v>0</v>
      </c>
      <c r="BY43" s="85">
        <f t="shared" si="178"/>
        <v>0</v>
      </c>
      <c r="BZ43" s="85">
        <f t="shared" si="178"/>
        <v>0</v>
      </c>
      <c r="CA43" s="85">
        <f t="shared" si="178"/>
        <v>0</v>
      </c>
      <c r="CB43" s="85">
        <f t="shared" si="178"/>
        <v>0</v>
      </c>
      <c r="CC43" s="85">
        <f t="shared" si="178"/>
        <v>0</v>
      </c>
      <c r="CD43" s="85">
        <f t="shared" si="178"/>
        <v>0</v>
      </c>
      <c r="CE43" s="85">
        <f t="shared" si="178"/>
        <v>0</v>
      </c>
      <c r="CF43" s="85">
        <f t="shared" si="178"/>
        <v>0</v>
      </c>
      <c r="CG43" s="85">
        <f t="shared" si="178"/>
        <v>0</v>
      </c>
      <c r="CI43" s="85">
        <f t="shared" ref="CI43:CU43" si="179">CI41-CI42</f>
        <v>0</v>
      </c>
      <c r="CJ43" s="85">
        <f t="shared" si="179"/>
        <v>0</v>
      </c>
      <c r="CK43" s="85">
        <f t="shared" si="179"/>
        <v>0</v>
      </c>
      <c r="CL43" s="85">
        <f t="shared" si="179"/>
        <v>0</v>
      </c>
      <c r="CM43" s="85">
        <f t="shared" si="179"/>
        <v>0</v>
      </c>
      <c r="CN43" s="85">
        <f t="shared" si="179"/>
        <v>0</v>
      </c>
      <c r="CO43" s="85">
        <f t="shared" si="179"/>
        <v>0</v>
      </c>
      <c r="CP43" s="85">
        <f t="shared" si="179"/>
        <v>0</v>
      </c>
      <c r="CQ43" s="85">
        <f t="shared" si="179"/>
        <v>0</v>
      </c>
      <c r="CR43" s="85">
        <f t="shared" si="179"/>
        <v>0</v>
      </c>
      <c r="CS43" s="85">
        <f t="shared" si="179"/>
        <v>0</v>
      </c>
      <c r="CT43" s="85">
        <f t="shared" si="179"/>
        <v>0</v>
      </c>
      <c r="CU43" s="85">
        <f t="shared" si="179"/>
        <v>0</v>
      </c>
      <c r="CW43" s="85">
        <f t="shared" ref="CW43:DI43" si="180">CW41-CW42</f>
        <v>0</v>
      </c>
      <c r="CX43" s="85">
        <f t="shared" si="180"/>
        <v>0</v>
      </c>
      <c r="CY43" s="85">
        <f t="shared" si="180"/>
        <v>0</v>
      </c>
      <c r="CZ43" s="85">
        <f t="shared" si="180"/>
        <v>0</v>
      </c>
      <c r="DA43" s="85">
        <f t="shared" si="180"/>
        <v>0</v>
      </c>
      <c r="DB43" s="85">
        <f t="shared" si="180"/>
        <v>0</v>
      </c>
      <c r="DC43" s="85">
        <f t="shared" si="180"/>
        <v>0</v>
      </c>
      <c r="DD43" s="85">
        <f t="shared" si="180"/>
        <v>0</v>
      </c>
      <c r="DE43" s="85">
        <f t="shared" si="180"/>
        <v>0</v>
      </c>
      <c r="DF43" s="85">
        <f t="shared" si="180"/>
        <v>0</v>
      </c>
      <c r="DG43" s="85">
        <f t="shared" si="180"/>
        <v>0</v>
      </c>
      <c r="DH43" s="85">
        <f t="shared" si="180"/>
        <v>0</v>
      </c>
      <c r="DI43" s="85">
        <f t="shared" si="180"/>
        <v>0</v>
      </c>
      <c r="DK43" s="85">
        <f t="shared" ref="DK43:DW43" si="181">DK41-DK42</f>
        <v>0</v>
      </c>
      <c r="DL43" s="85">
        <f t="shared" si="181"/>
        <v>0</v>
      </c>
      <c r="DM43" s="85">
        <f t="shared" si="181"/>
        <v>0</v>
      </c>
      <c r="DN43" s="85">
        <f t="shared" si="181"/>
        <v>0</v>
      </c>
      <c r="DO43" s="85">
        <f t="shared" si="181"/>
        <v>0</v>
      </c>
      <c r="DP43" s="85">
        <f t="shared" si="181"/>
        <v>0</v>
      </c>
      <c r="DQ43" s="85">
        <f t="shared" si="181"/>
        <v>0</v>
      </c>
      <c r="DR43" s="85">
        <f t="shared" si="181"/>
        <v>0</v>
      </c>
      <c r="DS43" s="85">
        <f t="shared" si="181"/>
        <v>0</v>
      </c>
      <c r="DT43" s="85">
        <f t="shared" si="181"/>
        <v>0</v>
      </c>
      <c r="DU43" s="85">
        <f t="shared" si="181"/>
        <v>0</v>
      </c>
      <c r="DV43" s="85">
        <f t="shared" si="181"/>
        <v>0</v>
      </c>
      <c r="DW43" s="85">
        <f t="shared" si="181"/>
        <v>0</v>
      </c>
      <c r="DY43" s="85">
        <f t="shared" ref="DY43:EK43" si="182">DY41-DY42</f>
        <v>0</v>
      </c>
      <c r="DZ43" s="85">
        <f t="shared" si="182"/>
        <v>0</v>
      </c>
      <c r="EA43" s="85">
        <f t="shared" si="182"/>
        <v>0</v>
      </c>
      <c r="EB43" s="85">
        <f t="shared" si="182"/>
        <v>0</v>
      </c>
      <c r="EC43" s="85">
        <f t="shared" si="182"/>
        <v>0</v>
      </c>
      <c r="ED43" s="85">
        <f t="shared" si="182"/>
        <v>0</v>
      </c>
      <c r="EE43" s="85">
        <f t="shared" si="182"/>
        <v>0</v>
      </c>
      <c r="EF43" s="85">
        <f t="shared" si="182"/>
        <v>0</v>
      </c>
      <c r="EG43" s="85">
        <f t="shared" si="182"/>
        <v>0</v>
      </c>
      <c r="EH43" s="85">
        <f t="shared" si="182"/>
        <v>0</v>
      </c>
      <c r="EI43" s="85">
        <f t="shared" si="182"/>
        <v>0</v>
      </c>
      <c r="EJ43" s="85">
        <f t="shared" si="182"/>
        <v>0</v>
      </c>
      <c r="EK43" s="85">
        <f t="shared" si="182"/>
        <v>0</v>
      </c>
    </row>
    <row r="44" spans="1:141">
      <c r="A44" s="71">
        <v>17</v>
      </c>
      <c r="B44" s="68" t="s">
        <v>35</v>
      </c>
      <c r="C44" s="367">
        <f t="shared" ref="C44:O44" ca="1" si="183">C40+C43</f>
        <v>167877786.2049256</v>
      </c>
      <c r="D44" s="84">
        <f t="shared" ca="1" si="183"/>
        <v>-4748302890.2602415</v>
      </c>
      <c r="E44" s="84">
        <f t="shared" ca="1" si="183"/>
        <v>4002939006.3042355</v>
      </c>
      <c r="F44" s="84">
        <f t="shared" ca="1" si="183"/>
        <v>2362885279.3515453</v>
      </c>
      <c r="G44" s="84">
        <f t="shared" ca="1" si="183"/>
        <v>2547554891.7924595</v>
      </c>
      <c r="H44" s="84">
        <f t="shared" ca="1" si="183"/>
        <v>1571396479.4358158</v>
      </c>
      <c r="I44" s="84">
        <f t="shared" ca="1" si="183"/>
        <v>7383219330.49366</v>
      </c>
      <c r="J44" s="84">
        <f t="shared" ca="1" si="183"/>
        <v>6183968476.9673386</v>
      </c>
      <c r="K44" s="84">
        <f t="shared" ca="1" si="183"/>
        <v>5636217860.8661022</v>
      </c>
      <c r="L44" s="84">
        <f t="shared" ca="1" si="183"/>
        <v>6629903681.9640446</v>
      </c>
      <c r="M44" s="84">
        <f t="shared" ca="1" si="183"/>
        <v>6999791300.2930069</v>
      </c>
      <c r="N44" s="84">
        <f t="shared" ca="1" si="183"/>
        <v>4866657191.2253513</v>
      </c>
      <c r="O44" s="368">
        <f t="shared" ca="1" si="183"/>
        <v>43604108394.638229</v>
      </c>
      <c r="Q44" s="84">
        <f t="shared" ref="Q44:AC44" ca="1" si="184">Q40+Q43</f>
        <v>0</v>
      </c>
      <c r="R44" s="84">
        <f t="shared" ca="1" si="184"/>
        <v>0</v>
      </c>
      <c r="S44" s="84">
        <f t="shared" ca="1" si="184"/>
        <v>0</v>
      </c>
      <c r="T44" s="84">
        <f t="shared" ca="1" si="184"/>
        <v>0</v>
      </c>
      <c r="U44" s="84">
        <f t="shared" ca="1" si="184"/>
        <v>0</v>
      </c>
      <c r="V44" s="84">
        <f t="shared" ca="1" si="184"/>
        <v>0</v>
      </c>
      <c r="W44" s="84">
        <f t="shared" ca="1" si="184"/>
        <v>0</v>
      </c>
      <c r="X44" s="84">
        <f t="shared" ca="1" si="184"/>
        <v>0</v>
      </c>
      <c r="Y44" s="84">
        <f t="shared" ca="1" si="184"/>
        <v>0</v>
      </c>
      <c r="Z44" s="84">
        <f t="shared" ca="1" si="184"/>
        <v>0</v>
      </c>
      <c r="AA44" s="84">
        <f t="shared" ca="1" si="184"/>
        <v>0</v>
      </c>
      <c r="AB44" s="84">
        <f t="shared" ca="1" si="184"/>
        <v>0</v>
      </c>
      <c r="AC44" s="84">
        <f t="shared" ca="1" si="184"/>
        <v>0</v>
      </c>
      <c r="AE44" s="369">
        <f t="shared" ref="AE44:AQ44" si="185">AE40+AE43</f>
        <v>167877786.2049256</v>
      </c>
      <c r="AF44" s="84">
        <f t="shared" si="185"/>
        <v>-4748302890.2602415</v>
      </c>
      <c r="AG44" s="84">
        <f t="shared" si="185"/>
        <v>4002939006.3042355</v>
      </c>
      <c r="AH44" s="84">
        <f t="shared" si="185"/>
        <v>2362885279.3515453</v>
      </c>
      <c r="AI44" s="84">
        <f t="shared" si="185"/>
        <v>2547554891.7924595</v>
      </c>
      <c r="AJ44" s="84">
        <f t="shared" si="185"/>
        <v>1571396479.4358158</v>
      </c>
      <c r="AK44" s="84">
        <f t="shared" si="185"/>
        <v>7383219330.49366</v>
      </c>
      <c r="AL44" s="84">
        <f t="shared" si="185"/>
        <v>6183968476.9673386</v>
      </c>
      <c r="AM44" s="84">
        <f t="shared" si="185"/>
        <v>5636217860.8661022</v>
      </c>
      <c r="AN44" s="84">
        <f t="shared" si="185"/>
        <v>6629903681.9640446</v>
      </c>
      <c r="AO44" s="84">
        <f t="shared" si="185"/>
        <v>6999791300.2930069</v>
      </c>
      <c r="AP44" s="84">
        <f t="shared" si="185"/>
        <v>4866657191.2253513</v>
      </c>
      <c r="AQ44" s="370">
        <f t="shared" si="185"/>
        <v>43604108394.638229</v>
      </c>
      <c r="AS44" s="84">
        <f t="shared" ref="AS44:BE44" si="186">AS40+AS43</f>
        <v>1901369374.7063351</v>
      </c>
      <c r="AT44" s="84">
        <f t="shared" si="186"/>
        <v>-1325103642.6497984</v>
      </c>
      <c r="AU44" s="84">
        <f t="shared" si="186"/>
        <v>5998198854.38412</v>
      </c>
      <c r="AV44" s="84">
        <f t="shared" si="186"/>
        <v>3734734670.0697536</v>
      </c>
      <c r="AW44" s="84">
        <f t="shared" si="186"/>
        <v>3912864854.7306442</v>
      </c>
      <c r="AX44" s="84">
        <f t="shared" si="186"/>
        <v>3539715800.7311525</v>
      </c>
      <c r="AY44" s="84">
        <f t="shared" si="186"/>
        <v>9187878003.9794807</v>
      </c>
      <c r="AZ44" s="84">
        <f t="shared" si="186"/>
        <v>8402510025.017807</v>
      </c>
      <c r="BA44" s="84">
        <f t="shared" si="186"/>
        <v>7636560356.4676476</v>
      </c>
      <c r="BB44" s="84">
        <f t="shared" si="186"/>
        <v>8332078474.6883202</v>
      </c>
      <c r="BC44" s="84">
        <f t="shared" si="186"/>
        <v>8903347412.2696571</v>
      </c>
      <c r="BD44" s="84">
        <f t="shared" si="186"/>
        <v>6614311259.3445015</v>
      </c>
      <c r="BE44" s="84">
        <f t="shared" si="186"/>
        <v>66838465443.739609</v>
      </c>
      <c r="BG44" s="84">
        <f t="shared" ref="BG44:BS44" si="187">BG40+BG43</f>
        <v>-1728512399.6125174</v>
      </c>
      <c r="BH44" s="84">
        <f t="shared" si="187"/>
        <v>-3418620058.7215528</v>
      </c>
      <c r="BI44" s="84">
        <f t="shared" si="187"/>
        <v>-1990680659.1909969</v>
      </c>
      <c r="BJ44" s="84">
        <f t="shared" si="187"/>
        <v>-1366870201.8293204</v>
      </c>
      <c r="BK44" s="84">
        <f t="shared" si="187"/>
        <v>-1360730774.0492961</v>
      </c>
      <c r="BL44" s="84">
        <f t="shared" si="187"/>
        <v>-1963740132.4064455</v>
      </c>
      <c r="BM44" s="84">
        <f t="shared" si="187"/>
        <v>-1800079484.5969329</v>
      </c>
      <c r="BN44" s="84">
        <f t="shared" si="187"/>
        <v>-2213562359.1615739</v>
      </c>
      <c r="BO44" s="84">
        <f t="shared" si="187"/>
        <v>-1995763306.7126555</v>
      </c>
      <c r="BP44" s="84">
        <f t="shared" si="187"/>
        <v>-1697595603.8353872</v>
      </c>
      <c r="BQ44" s="84">
        <f t="shared" si="187"/>
        <v>-1898576923.08776</v>
      </c>
      <c r="BR44" s="84">
        <f t="shared" si="187"/>
        <v>-1743074879.2302618</v>
      </c>
      <c r="BS44" s="84">
        <f t="shared" si="187"/>
        <v>-23177806782.434738</v>
      </c>
      <c r="BU44" s="84">
        <f t="shared" ref="BU44:CG44" si="188">BU40+BU43</f>
        <v>-398961519.46358591</v>
      </c>
      <c r="BV44" s="84">
        <f t="shared" si="188"/>
        <v>-1620401480.9183569</v>
      </c>
      <c r="BW44" s="84">
        <f t="shared" si="188"/>
        <v>-1066797324.3016038</v>
      </c>
      <c r="BX44" s="84">
        <f t="shared" si="188"/>
        <v>-658970073.14220464</v>
      </c>
      <c r="BY44" s="84">
        <f t="shared" si="188"/>
        <v>-699138914.25331533</v>
      </c>
      <c r="BZ44" s="84">
        <f t="shared" si="188"/>
        <v>-684233978.55348682</v>
      </c>
      <c r="CA44" s="84">
        <f t="shared" si="188"/>
        <v>-671236943.37217617</v>
      </c>
      <c r="CB44" s="84">
        <f t="shared" si="188"/>
        <v>-980932657.55348694</v>
      </c>
      <c r="CC44" s="84">
        <f t="shared" si="188"/>
        <v>-894643115.58277607</v>
      </c>
      <c r="CD44" s="84">
        <f t="shared" si="188"/>
        <v>-637000059.03884029</v>
      </c>
      <c r="CE44" s="84">
        <f t="shared" si="188"/>
        <v>-803654994.40146351</v>
      </c>
      <c r="CF44" s="84">
        <f t="shared" si="188"/>
        <v>-660028703.03884029</v>
      </c>
      <c r="CG44" s="84">
        <f t="shared" si="188"/>
        <v>-9775999763.6201401</v>
      </c>
      <c r="CI44" s="84">
        <f t="shared" ref="CI44:CU44" si="189">CI40+CI43</f>
        <v>-307153648.70298225</v>
      </c>
      <c r="CJ44" s="84">
        <f t="shared" si="189"/>
        <v>-648003978.93160486</v>
      </c>
      <c r="CK44" s="84">
        <f t="shared" si="189"/>
        <v>-138157997.39344013</v>
      </c>
      <c r="CL44" s="84">
        <f t="shared" si="189"/>
        <v>-88161731.183898389</v>
      </c>
      <c r="CM44" s="84">
        <f t="shared" si="189"/>
        <v>-43936535.383899152</v>
      </c>
      <c r="CN44" s="84">
        <f t="shared" si="189"/>
        <v>-87441745.650565565</v>
      </c>
      <c r="CO44" s="84">
        <f t="shared" si="189"/>
        <v>-99125290.017232358</v>
      </c>
      <c r="CP44" s="84">
        <f t="shared" si="189"/>
        <v>-172572450.60056537</v>
      </c>
      <c r="CQ44" s="84">
        <f t="shared" si="189"/>
        <v>-103932866.21723217</v>
      </c>
      <c r="CR44" s="84">
        <f t="shared" si="189"/>
        <v>-49510908.550565183</v>
      </c>
      <c r="CS44" s="84">
        <f t="shared" si="189"/>
        <v>-61328310.850565374</v>
      </c>
      <c r="CT44" s="84">
        <f t="shared" si="189"/>
        <v>-65415549.150565565</v>
      </c>
      <c r="CU44" s="84">
        <f t="shared" si="189"/>
        <v>-1864741012.6331134</v>
      </c>
      <c r="CW44" s="84">
        <f t="shared" ref="CW44:DI44" si="190">CW40+CW43</f>
        <v>-1022397231.4459512</v>
      </c>
      <c r="CX44" s="84">
        <f t="shared" si="190"/>
        <v>-1150214598.8715892</v>
      </c>
      <c r="CY44" s="84">
        <f t="shared" si="190"/>
        <v>-785725337.49595213</v>
      </c>
      <c r="CZ44" s="84">
        <f t="shared" si="190"/>
        <v>-619738397.50321746</v>
      </c>
      <c r="DA44" s="84">
        <f t="shared" si="190"/>
        <v>-617655324.41208172</v>
      </c>
      <c r="DB44" s="84">
        <f t="shared" si="190"/>
        <v>-1192064408.202395</v>
      </c>
      <c r="DC44" s="84">
        <f t="shared" si="190"/>
        <v>-1029717251.2075225</v>
      </c>
      <c r="DD44" s="84">
        <f t="shared" si="190"/>
        <v>-1060057251.0075226</v>
      </c>
      <c r="DE44" s="84">
        <f t="shared" si="190"/>
        <v>-997187324.91265023</v>
      </c>
      <c r="DF44" s="84">
        <f t="shared" si="190"/>
        <v>-1011084636.2459836</v>
      </c>
      <c r="DG44" s="84">
        <f t="shared" si="190"/>
        <v>-1033593617.8357282</v>
      </c>
      <c r="DH44" s="84">
        <f t="shared" si="190"/>
        <v>-1017630627.0408559</v>
      </c>
      <c r="DI44" s="84">
        <f t="shared" si="190"/>
        <v>-11537066006.181442</v>
      </c>
      <c r="DK44" s="84">
        <f t="shared" ref="DK44:DW44" si="191">DK40+DK43</f>
        <v>-4979188.888888889</v>
      </c>
      <c r="DL44" s="84">
        <f t="shared" si="191"/>
        <v>-4579188.888888889</v>
      </c>
      <c r="DM44" s="84">
        <f t="shared" si="191"/>
        <v>-4579188.888888889</v>
      </c>
      <c r="DN44" s="84">
        <f t="shared" si="191"/>
        <v>-4979188.888888889</v>
      </c>
      <c r="DO44" s="84">
        <f t="shared" si="191"/>
        <v>-4579188.888888889</v>
      </c>
      <c r="DP44" s="84">
        <f t="shared" si="191"/>
        <v>-4579188.888888889</v>
      </c>
      <c r="DQ44" s="84">
        <f t="shared" si="191"/>
        <v>-4579188.888888889</v>
      </c>
      <c r="DR44" s="84">
        <f t="shared" si="191"/>
        <v>-4979188.888888889</v>
      </c>
      <c r="DS44" s="84">
        <f t="shared" si="191"/>
        <v>-4579188.888888889</v>
      </c>
      <c r="DT44" s="84">
        <f t="shared" si="191"/>
        <v>-4579188.888888889</v>
      </c>
      <c r="DU44" s="84">
        <f t="shared" si="191"/>
        <v>-4979188.888888889</v>
      </c>
      <c r="DV44" s="84">
        <f t="shared" si="191"/>
        <v>-4579188.888888889</v>
      </c>
      <c r="DW44" s="84">
        <f t="shared" si="191"/>
        <v>-56550266.666666664</v>
      </c>
      <c r="DY44" s="84">
        <f t="shared" ref="DY44:EK44" si="192">DY40+DY43</f>
        <v>0</v>
      </c>
      <c r="DZ44" s="84">
        <f t="shared" si="192"/>
        <v>0</v>
      </c>
      <c r="EA44" s="84">
        <f t="shared" si="192"/>
        <v>0</v>
      </c>
      <c r="EB44" s="84">
        <f t="shared" si="192"/>
        <v>0</v>
      </c>
      <c r="EC44" s="84">
        <f t="shared" si="192"/>
        <v>0</v>
      </c>
      <c r="ED44" s="84">
        <f t="shared" si="192"/>
        <v>0</v>
      </c>
      <c r="EE44" s="84">
        <f t="shared" si="192"/>
        <v>0</v>
      </c>
      <c r="EF44" s="84">
        <f t="shared" si="192"/>
        <v>0</v>
      </c>
      <c r="EG44" s="84">
        <f t="shared" si="192"/>
        <v>0</v>
      </c>
      <c r="EH44" s="84">
        <f t="shared" si="192"/>
        <v>0</v>
      </c>
      <c r="EI44" s="84">
        <f t="shared" si="192"/>
        <v>0</v>
      </c>
      <c r="EJ44" s="84">
        <f t="shared" si="192"/>
        <v>0</v>
      </c>
      <c r="EK44" s="84">
        <f t="shared" si="192"/>
        <v>0</v>
      </c>
    </row>
    <row r="45" spans="1:141" s="29" customFormat="1">
      <c r="A45" s="87">
        <v>18</v>
      </c>
      <c r="B45" s="88" t="s">
        <v>36</v>
      </c>
      <c r="C45" s="383">
        <f t="shared" ref="C45:N46" si="193">Q45+AE45</f>
        <v>380273874.94127083</v>
      </c>
      <c r="D45" s="286">
        <f t="shared" si="193"/>
        <v>0</v>
      </c>
      <c r="E45" s="286">
        <f t="shared" si="193"/>
        <v>934619042.34686375</v>
      </c>
      <c r="F45" s="286">
        <f t="shared" si="193"/>
        <v>746946934.01394844</v>
      </c>
      <c r="G45" s="286">
        <f t="shared" si="193"/>
        <v>782572970.9461298</v>
      </c>
      <c r="H45" s="286">
        <f t="shared" si="193"/>
        <v>707943160.14623451</v>
      </c>
      <c r="I45" s="286">
        <f t="shared" si="193"/>
        <v>1837575600.7959003</v>
      </c>
      <c r="J45" s="286">
        <f t="shared" si="193"/>
        <v>1680502005.0035582</v>
      </c>
      <c r="K45" s="286">
        <f t="shared" si="193"/>
        <v>1527312071.2935266</v>
      </c>
      <c r="L45" s="286">
        <f t="shared" si="193"/>
        <v>1666415694.9376678</v>
      </c>
      <c r="M45" s="286">
        <f t="shared" si="193"/>
        <v>1780669482.453928</v>
      </c>
      <c r="N45" s="286">
        <f t="shared" si="193"/>
        <v>1322862251.8688984</v>
      </c>
      <c r="O45" s="384">
        <f>SUM(C45:N45)</f>
        <v>13367693088.747927</v>
      </c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>
        <f>SUM(Q45:AB45)</f>
        <v>0</v>
      </c>
      <c r="AE45" s="385">
        <f t="shared" ref="AE45:AP46" si="194">AS45+BU45+CI45+CW45+DK45</f>
        <v>380273874.94127083</v>
      </c>
      <c r="AF45" s="286">
        <f t="shared" si="194"/>
        <v>0</v>
      </c>
      <c r="AG45" s="286">
        <f t="shared" si="194"/>
        <v>934619042.34686375</v>
      </c>
      <c r="AH45" s="286">
        <f t="shared" si="194"/>
        <v>746946934.01394844</v>
      </c>
      <c r="AI45" s="286">
        <f t="shared" si="194"/>
        <v>782572970.9461298</v>
      </c>
      <c r="AJ45" s="286">
        <f t="shared" si="194"/>
        <v>707943160.14623451</v>
      </c>
      <c r="AK45" s="286">
        <f t="shared" si="194"/>
        <v>1837575600.7959003</v>
      </c>
      <c r="AL45" s="286">
        <f t="shared" si="194"/>
        <v>1680502005.0035582</v>
      </c>
      <c r="AM45" s="286">
        <f t="shared" si="194"/>
        <v>1527312071.2935266</v>
      </c>
      <c r="AN45" s="286">
        <f t="shared" si="194"/>
        <v>1666415694.9376678</v>
      </c>
      <c r="AO45" s="286">
        <f t="shared" si="194"/>
        <v>1780669482.453928</v>
      </c>
      <c r="AP45" s="286">
        <f t="shared" si="194"/>
        <v>1322862251.8688984</v>
      </c>
      <c r="AQ45" s="386">
        <f>SUM(AE45:AP45)</f>
        <v>13367693088.747927</v>
      </c>
      <c r="AS45" s="286">
        <v>380273874.94127083</v>
      </c>
      <c r="AT45" s="286">
        <v>0</v>
      </c>
      <c r="AU45" s="286">
        <v>934619042.34686375</v>
      </c>
      <c r="AV45" s="286">
        <v>746946934.01394844</v>
      </c>
      <c r="AW45" s="286">
        <v>782572970.9461298</v>
      </c>
      <c r="AX45" s="286">
        <v>707943160.14623451</v>
      </c>
      <c r="AY45" s="286">
        <v>1837575600.7959003</v>
      </c>
      <c r="AZ45" s="286">
        <v>1680502005.0035582</v>
      </c>
      <c r="BA45" s="286">
        <v>1527312071.2935266</v>
      </c>
      <c r="BB45" s="286">
        <v>1666415694.9376678</v>
      </c>
      <c r="BC45" s="286">
        <v>1780669482.453928</v>
      </c>
      <c r="BD45" s="286">
        <v>1322862251.8688984</v>
      </c>
      <c r="BE45" s="286">
        <f>SUM(AS45:BD45)</f>
        <v>13367693088.747927</v>
      </c>
      <c r="BG45" s="286">
        <f t="shared" ref="BG45:BR46" si="195">BU45+CI45+CW45</f>
        <v>0</v>
      </c>
      <c r="BH45" s="286">
        <f t="shared" si="195"/>
        <v>0</v>
      </c>
      <c r="BI45" s="286">
        <f t="shared" si="195"/>
        <v>0</v>
      </c>
      <c r="BJ45" s="286">
        <f t="shared" si="195"/>
        <v>0</v>
      </c>
      <c r="BK45" s="286">
        <f t="shared" si="195"/>
        <v>0</v>
      </c>
      <c r="BL45" s="286">
        <f t="shared" si="195"/>
        <v>0</v>
      </c>
      <c r="BM45" s="286">
        <f t="shared" si="195"/>
        <v>0</v>
      </c>
      <c r="BN45" s="286">
        <f t="shared" si="195"/>
        <v>0</v>
      </c>
      <c r="BO45" s="286">
        <f t="shared" si="195"/>
        <v>0</v>
      </c>
      <c r="BP45" s="286">
        <f t="shared" si="195"/>
        <v>0</v>
      </c>
      <c r="BQ45" s="286">
        <f t="shared" si="195"/>
        <v>0</v>
      </c>
      <c r="BR45" s="286">
        <f t="shared" si="195"/>
        <v>0</v>
      </c>
      <c r="BS45" s="286">
        <f>SUM(BG45:BR45)</f>
        <v>0</v>
      </c>
      <c r="BU45" s="286"/>
      <c r="BV45" s="286"/>
      <c r="BW45" s="286"/>
      <c r="BX45" s="286"/>
      <c r="BY45" s="286"/>
      <c r="BZ45" s="286"/>
      <c r="CA45" s="286"/>
      <c r="CB45" s="286"/>
      <c r="CC45" s="286"/>
      <c r="CD45" s="286"/>
      <c r="CE45" s="286"/>
      <c r="CF45" s="286"/>
      <c r="CG45" s="286">
        <f>SUM(BU45:CF45)</f>
        <v>0</v>
      </c>
      <c r="CI45" s="286"/>
      <c r="CJ45" s="286"/>
      <c r="CK45" s="286"/>
      <c r="CL45" s="286"/>
      <c r="CM45" s="286"/>
      <c r="CN45" s="286"/>
      <c r="CO45" s="286"/>
      <c r="CP45" s="286"/>
      <c r="CQ45" s="286"/>
      <c r="CR45" s="286"/>
      <c r="CS45" s="286"/>
      <c r="CT45" s="286"/>
      <c r="CU45" s="286">
        <f>SUM(CI45:CT45)</f>
        <v>0</v>
      </c>
      <c r="CW45" s="286"/>
      <c r="CX45" s="286"/>
      <c r="CY45" s="286"/>
      <c r="CZ45" s="286"/>
      <c r="DA45" s="286"/>
      <c r="DB45" s="286"/>
      <c r="DC45" s="286"/>
      <c r="DD45" s="286"/>
      <c r="DE45" s="286"/>
      <c r="DF45" s="286"/>
      <c r="DG45" s="286"/>
      <c r="DH45" s="286"/>
      <c r="DI45" s="286">
        <f>SUM(CW45:DH45)</f>
        <v>0</v>
      </c>
      <c r="DK45" s="286">
        <v>0</v>
      </c>
      <c r="DL45" s="286">
        <v>0</v>
      </c>
      <c r="DM45" s="286">
        <v>0</v>
      </c>
      <c r="DN45" s="286">
        <v>0</v>
      </c>
      <c r="DO45" s="286">
        <v>0</v>
      </c>
      <c r="DP45" s="286">
        <v>0</v>
      </c>
      <c r="DQ45" s="286">
        <v>0</v>
      </c>
      <c r="DR45" s="286">
        <v>0</v>
      </c>
      <c r="DS45" s="286">
        <v>0</v>
      </c>
      <c r="DT45" s="286">
        <v>0</v>
      </c>
      <c r="DU45" s="286">
        <v>0</v>
      </c>
      <c r="DV45" s="286">
        <v>0</v>
      </c>
      <c r="DW45" s="286">
        <f>SUM(DK45:DV45)</f>
        <v>0</v>
      </c>
      <c r="DY45" s="286"/>
      <c r="DZ45" s="286"/>
      <c r="EA45" s="286"/>
      <c r="EB45" s="286"/>
      <c r="EC45" s="286"/>
      <c r="ED45" s="286"/>
      <c r="EE45" s="286"/>
      <c r="EF45" s="286"/>
      <c r="EG45" s="286"/>
      <c r="EH45" s="286"/>
      <c r="EI45" s="286"/>
      <c r="EJ45" s="286"/>
      <c r="EK45" s="286">
        <f>SUM(DY45:EJ45)</f>
        <v>0</v>
      </c>
    </row>
    <row r="46" spans="1:141" s="29" customFormat="1">
      <c r="A46" s="89">
        <v>19</v>
      </c>
      <c r="B46" s="90" t="s">
        <v>37</v>
      </c>
      <c r="C46" s="379">
        <f t="shared" si="193"/>
        <v>0</v>
      </c>
      <c r="D46" s="85">
        <f t="shared" si="193"/>
        <v>0</v>
      </c>
      <c r="E46" s="85">
        <f t="shared" si="193"/>
        <v>0</v>
      </c>
      <c r="F46" s="85">
        <f t="shared" si="193"/>
        <v>0</v>
      </c>
      <c r="G46" s="85">
        <f t="shared" si="193"/>
        <v>0</v>
      </c>
      <c r="H46" s="85">
        <f t="shared" si="193"/>
        <v>0</v>
      </c>
      <c r="I46" s="85">
        <f t="shared" si="193"/>
        <v>0</v>
      </c>
      <c r="J46" s="85">
        <f t="shared" si="193"/>
        <v>0</v>
      </c>
      <c r="K46" s="85">
        <f t="shared" si="193"/>
        <v>0</v>
      </c>
      <c r="L46" s="85">
        <f t="shared" si="193"/>
        <v>0</v>
      </c>
      <c r="M46" s="85">
        <f t="shared" si="193"/>
        <v>0</v>
      </c>
      <c r="N46" s="85">
        <f t="shared" si="193"/>
        <v>0</v>
      </c>
      <c r="O46" s="380">
        <f>SUM(C46:N46)</f>
        <v>0</v>
      </c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>
        <f>SUM(Q46:AB46)</f>
        <v>0</v>
      </c>
      <c r="AE46" s="381">
        <f t="shared" si="194"/>
        <v>0</v>
      </c>
      <c r="AF46" s="85">
        <f t="shared" si="194"/>
        <v>0</v>
      </c>
      <c r="AG46" s="85">
        <f t="shared" si="194"/>
        <v>0</v>
      </c>
      <c r="AH46" s="85">
        <f t="shared" si="194"/>
        <v>0</v>
      </c>
      <c r="AI46" s="85">
        <f t="shared" si="194"/>
        <v>0</v>
      </c>
      <c r="AJ46" s="85">
        <f t="shared" si="194"/>
        <v>0</v>
      </c>
      <c r="AK46" s="85">
        <f t="shared" si="194"/>
        <v>0</v>
      </c>
      <c r="AL46" s="85">
        <f t="shared" si="194"/>
        <v>0</v>
      </c>
      <c r="AM46" s="85">
        <f t="shared" si="194"/>
        <v>0</v>
      </c>
      <c r="AN46" s="85">
        <f t="shared" si="194"/>
        <v>0</v>
      </c>
      <c r="AO46" s="85">
        <f t="shared" si="194"/>
        <v>0</v>
      </c>
      <c r="AP46" s="85">
        <f t="shared" si="194"/>
        <v>0</v>
      </c>
      <c r="AQ46" s="382">
        <f>SUM(AE46:AP46)</f>
        <v>0</v>
      </c>
      <c r="AS46" s="85">
        <v>0</v>
      </c>
      <c r="AT46" s="85">
        <v>0</v>
      </c>
      <c r="AU46" s="85">
        <v>0</v>
      </c>
      <c r="AV46" s="85">
        <v>0</v>
      </c>
      <c r="AW46" s="85">
        <v>0</v>
      </c>
      <c r="AX46" s="85">
        <v>0</v>
      </c>
      <c r="AY46" s="85">
        <v>0</v>
      </c>
      <c r="AZ46" s="85">
        <v>0</v>
      </c>
      <c r="BA46" s="85">
        <v>0</v>
      </c>
      <c r="BB46" s="85">
        <v>0</v>
      </c>
      <c r="BC46" s="85">
        <v>0</v>
      </c>
      <c r="BD46" s="85">
        <v>0</v>
      </c>
      <c r="BE46" s="85">
        <f>SUM(AS46:BD46)</f>
        <v>0</v>
      </c>
      <c r="BG46" s="85">
        <f t="shared" si="195"/>
        <v>0</v>
      </c>
      <c r="BH46" s="85">
        <f t="shared" si="195"/>
        <v>0</v>
      </c>
      <c r="BI46" s="85">
        <f t="shared" si="195"/>
        <v>0</v>
      </c>
      <c r="BJ46" s="85">
        <f t="shared" si="195"/>
        <v>0</v>
      </c>
      <c r="BK46" s="85">
        <f t="shared" si="195"/>
        <v>0</v>
      </c>
      <c r="BL46" s="85">
        <f t="shared" si="195"/>
        <v>0</v>
      </c>
      <c r="BM46" s="85">
        <f t="shared" si="195"/>
        <v>0</v>
      </c>
      <c r="BN46" s="85">
        <f t="shared" si="195"/>
        <v>0</v>
      </c>
      <c r="BO46" s="85">
        <f t="shared" si="195"/>
        <v>0</v>
      </c>
      <c r="BP46" s="85">
        <f t="shared" si="195"/>
        <v>0</v>
      </c>
      <c r="BQ46" s="85">
        <f t="shared" si="195"/>
        <v>0</v>
      </c>
      <c r="BR46" s="85">
        <f t="shared" si="195"/>
        <v>0</v>
      </c>
      <c r="BS46" s="85">
        <f>SUM(BG46:BR46)</f>
        <v>0</v>
      </c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>
        <f>SUM(BU46:CF46)</f>
        <v>0</v>
      </c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>
        <f>SUM(CI46:CT46)</f>
        <v>0</v>
      </c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>
        <f>SUM(CW46:DH46)</f>
        <v>0</v>
      </c>
      <c r="DK46" s="85">
        <v>0</v>
      </c>
      <c r="DL46" s="85">
        <v>0</v>
      </c>
      <c r="DM46" s="85">
        <v>0</v>
      </c>
      <c r="DN46" s="85">
        <v>0</v>
      </c>
      <c r="DO46" s="85">
        <v>0</v>
      </c>
      <c r="DP46" s="85">
        <v>0</v>
      </c>
      <c r="DQ46" s="85">
        <v>0</v>
      </c>
      <c r="DR46" s="85">
        <v>0</v>
      </c>
      <c r="DS46" s="85">
        <v>0</v>
      </c>
      <c r="DT46" s="85">
        <v>0</v>
      </c>
      <c r="DU46" s="85">
        <v>0</v>
      </c>
      <c r="DV46" s="85">
        <v>0</v>
      </c>
      <c r="DW46" s="85">
        <f>SUM(DK46:DV46)</f>
        <v>0</v>
      </c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>
        <f>SUM(DY46:EJ46)</f>
        <v>0</v>
      </c>
    </row>
    <row r="47" spans="1:141" s="51" customFormat="1">
      <c r="A47" s="72">
        <v>20</v>
      </c>
      <c r="B47" s="68" t="s">
        <v>38</v>
      </c>
      <c r="C47" s="387">
        <f t="shared" ref="C47:O47" ca="1" si="196">C44-C45-C46</f>
        <v>-212396088.73634523</v>
      </c>
      <c r="D47" s="86">
        <f t="shared" ca="1" si="196"/>
        <v>-4748302890.2602415</v>
      </c>
      <c r="E47" s="86">
        <f t="shared" ca="1" si="196"/>
        <v>3068319963.9573717</v>
      </c>
      <c r="F47" s="86">
        <f t="shared" ca="1" si="196"/>
        <v>1615938345.3375969</v>
      </c>
      <c r="G47" s="86">
        <f t="shared" ca="1" si="196"/>
        <v>1764981920.8463297</v>
      </c>
      <c r="H47" s="86">
        <f t="shared" ca="1" si="196"/>
        <v>863453319.2895813</v>
      </c>
      <c r="I47" s="86">
        <f t="shared" ca="1" si="196"/>
        <v>5545643729.6977596</v>
      </c>
      <c r="J47" s="86">
        <f t="shared" ca="1" si="196"/>
        <v>4503466471.9637804</v>
      </c>
      <c r="K47" s="86">
        <f t="shared" ca="1" si="196"/>
        <v>4108905789.5725756</v>
      </c>
      <c r="L47" s="86">
        <f t="shared" ca="1" si="196"/>
        <v>4963487987.0263767</v>
      </c>
      <c r="M47" s="86">
        <f t="shared" ca="1" si="196"/>
        <v>5219121817.8390789</v>
      </c>
      <c r="N47" s="86">
        <f t="shared" ca="1" si="196"/>
        <v>3543794939.3564529</v>
      </c>
      <c r="O47" s="388">
        <f t="shared" ca="1" si="196"/>
        <v>30236415305.890305</v>
      </c>
      <c r="Q47" s="86">
        <f t="shared" ref="Q47:AC47" ca="1" si="197">Q44-Q45-Q46</f>
        <v>0</v>
      </c>
      <c r="R47" s="86">
        <f t="shared" ca="1" si="197"/>
        <v>0</v>
      </c>
      <c r="S47" s="86">
        <f t="shared" ca="1" si="197"/>
        <v>0</v>
      </c>
      <c r="T47" s="86">
        <f t="shared" ca="1" si="197"/>
        <v>0</v>
      </c>
      <c r="U47" s="86">
        <f t="shared" ca="1" si="197"/>
        <v>0</v>
      </c>
      <c r="V47" s="86">
        <f t="shared" ca="1" si="197"/>
        <v>0</v>
      </c>
      <c r="W47" s="86">
        <f t="shared" ca="1" si="197"/>
        <v>0</v>
      </c>
      <c r="X47" s="86">
        <f t="shared" ca="1" si="197"/>
        <v>0</v>
      </c>
      <c r="Y47" s="86">
        <f t="shared" ca="1" si="197"/>
        <v>0</v>
      </c>
      <c r="Z47" s="86">
        <f t="shared" ca="1" si="197"/>
        <v>0</v>
      </c>
      <c r="AA47" s="86">
        <f t="shared" ca="1" si="197"/>
        <v>0</v>
      </c>
      <c r="AB47" s="86">
        <f t="shared" ca="1" si="197"/>
        <v>0</v>
      </c>
      <c r="AC47" s="86">
        <f t="shared" ca="1" si="197"/>
        <v>0</v>
      </c>
      <c r="AE47" s="389">
        <f t="shared" ref="AE47:AQ47" si="198">AE44-AE45-AE46</f>
        <v>-212396088.73634523</v>
      </c>
      <c r="AF47" s="86">
        <f t="shared" si="198"/>
        <v>-4748302890.2602415</v>
      </c>
      <c r="AG47" s="86">
        <f t="shared" si="198"/>
        <v>3068319963.9573717</v>
      </c>
      <c r="AH47" s="86">
        <f t="shared" si="198"/>
        <v>1615938345.3375969</v>
      </c>
      <c r="AI47" s="86">
        <f t="shared" si="198"/>
        <v>1764981920.8463297</v>
      </c>
      <c r="AJ47" s="86">
        <f t="shared" si="198"/>
        <v>863453319.2895813</v>
      </c>
      <c r="AK47" s="86">
        <f t="shared" si="198"/>
        <v>5545643729.6977596</v>
      </c>
      <c r="AL47" s="86">
        <f t="shared" si="198"/>
        <v>4503466471.9637804</v>
      </c>
      <c r="AM47" s="86">
        <f t="shared" si="198"/>
        <v>4108905789.5725756</v>
      </c>
      <c r="AN47" s="86">
        <f t="shared" si="198"/>
        <v>4963487987.0263767</v>
      </c>
      <c r="AO47" s="86">
        <f t="shared" si="198"/>
        <v>5219121817.8390789</v>
      </c>
      <c r="AP47" s="86">
        <f t="shared" si="198"/>
        <v>3543794939.3564529</v>
      </c>
      <c r="AQ47" s="390">
        <f t="shared" si="198"/>
        <v>30236415305.890305</v>
      </c>
      <c r="AS47" s="86">
        <f t="shared" ref="AS47:BE47" si="199">AS44-AS45-AS46</f>
        <v>1521095499.7650642</v>
      </c>
      <c r="AT47" s="86">
        <f t="shared" si="199"/>
        <v>-1325103642.6497984</v>
      </c>
      <c r="AU47" s="86">
        <f t="shared" si="199"/>
        <v>5063579812.0372562</v>
      </c>
      <c r="AV47" s="86">
        <f t="shared" si="199"/>
        <v>2987787736.0558052</v>
      </c>
      <c r="AW47" s="86">
        <f t="shared" si="199"/>
        <v>3130291883.7845144</v>
      </c>
      <c r="AX47" s="86">
        <f t="shared" si="199"/>
        <v>2831772640.584918</v>
      </c>
      <c r="AY47" s="86">
        <f t="shared" si="199"/>
        <v>7350302403.1835804</v>
      </c>
      <c r="AZ47" s="86">
        <f t="shared" si="199"/>
        <v>6722008020.0142488</v>
      </c>
      <c r="BA47" s="86">
        <f t="shared" si="199"/>
        <v>6109248285.1741209</v>
      </c>
      <c r="BB47" s="86">
        <f t="shared" si="199"/>
        <v>6665662779.7506523</v>
      </c>
      <c r="BC47" s="86">
        <f t="shared" si="199"/>
        <v>7122677929.8157291</v>
      </c>
      <c r="BD47" s="86">
        <f t="shared" si="199"/>
        <v>5291449007.4756031</v>
      </c>
      <c r="BE47" s="86">
        <f t="shared" si="199"/>
        <v>53470772354.991684</v>
      </c>
      <c r="BG47" s="86">
        <f t="shared" ref="BG47:BS47" si="200">BG44-BG45-BG46</f>
        <v>-1728512399.6125174</v>
      </c>
      <c r="BH47" s="86">
        <f t="shared" si="200"/>
        <v>-3418620058.7215528</v>
      </c>
      <c r="BI47" s="86">
        <f t="shared" si="200"/>
        <v>-1990680659.1909969</v>
      </c>
      <c r="BJ47" s="86">
        <f t="shared" si="200"/>
        <v>-1366870201.8293204</v>
      </c>
      <c r="BK47" s="86">
        <f t="shared" si="200"/>
        <v>-1360730774.0492961</v>
      </c>
      <c r="BL47" s="86">
        <f t="shared" si="200"/>
        <v>-1963740132.4064455</v>
      </c>
      <c r="BM47" s="86">
        <f t="shared" si="200"/>
        <v>-1800079484.5969329</v>
      </c>
      <c r="BN47" s="86">
        <f t="shared" si="200"/>
        <v>-2213562359.1615739</v>
      </c>
      <c r="BO47" s="86">
        <f t="shared" si="200"/>
        <v>-1995763306.7126555</v>
      </c>
      <c r="BP47" s="86">
        <f t="shared" si="200"/>
        <v>-1697595603.8353872</v>
      </c>
      <c r="BQ47" s="86">
        <f t="shared" si="200"/>
        <v>-1898576923.08776</v>
      </c>
      <c r="BR47" s="86">
        <f t="shared" si="200"/>
        <v>-1743074879.2302618</v>
      </c>
      <c r="BS47" s="86">
        <f t="shared" si="200"/>
        <v>-23177806782.434738</v>
      </c>
      <c r="BU47" s="86">
        <f t="shared" ref="BU47:CG47" si="201">BU44-BU45-BU46</f>
        <v>-398961519.46358591</v>
      </c>
      <c r="BV47" s="86">
        <f t="shared" si="201"/>
        <v>-1620401480.9183569</v>
      </c>
      <c r="BW47" s="86">
        <f t="shared" si="201"/>
        <v>-1066797324.3016038</v>
      </c>
      <c r="BX47" s="86">
        <f t="shared" si="201"/>
        <v>-658970073.14220464</v>
      </c>
      <c r="BY47" s="86">
        <f t="shared" si="201"/>
        <v>-699138914.25331533</v>
      </c>
      <c r="BZ47" s="86">
        <f t="shared" si="201"/>
        <v>-684233978.55348682</v>
      </c>
      <c r="CA47" s="86">
        <f t="shared" si="201"/>
        <v>-671236943.37217617</v>
      </c>
      <c r="CB47" s="86">
        <f t="shared" si="201"/>
        <v>-980932657.55348694</v>
      </c>
      <c r="CC47" s="86">
        <f t="shared" si="201"/>
        <v>-894643115.58277607</v>
      </c>
      <c r="CD47" s="86">
        <f t="shared" si="201"/>
        <v>-637000059.03884029</v>
      </c>
      <c r="CE47" s="86">
        <f t="shared" si="201"/>
        <v>-803654994.40146351</v>
      </c>
      <c r="CF47" s="86">
        <f t="shared" si="201"/>
        <v>-660028703.03884029</v>
      </c>
      <c r="CG47" s="86">
        <f t="shared" si="201"/>
        <v>-9775999763.6201401</v>
      </c>
      <c r="CI47" s="86">
        <f t="shared" ref="CI47:CU47" si="202">CI44-CI45-CI46</f>
        <v>-307153648.70298225</v>
      </c>
      <c r="CJ47" s="86">
        <f t="shared" si="202"/>
        <v>-648003978.93160486</v>
      </c>
      <c r="CK47" s="86">
        <f t="shared" si="202"/>
        <v>-138157997.39344013</v>
      </c>
      <c r="CL47" s="86">
        <f t="shared" si="202"/>
        <v>-88161731.183898389</v>
      </c>
      <c r="CM47" s="86">
        <f t="shared" si="202"/>
        <v>-43936535.383899152</v>
      </c>
      <c r="CN47" s="86">
        <f t="shared" si="202"/>
        <v>-87441745.650565565</v>
      </c>
      <c r="CO47" s="86">
        <f t="shared" si="202"/>
        <v>-99125290.017232358</v>
      </c>
      <c r="CP47" s="86">
        <f t="shared" si="202"/>
        <v>-172572450.60056537</v>
      </c>
      <c r="CQ47" s="86">
        <f t="shared" si="202"/>
        <v>-103932866.21723217</v>
      </c>
      <c r="CR47" s="86">
        <f t="shared" si="202"/>
        <v>-49510908.550565183</v>
      </c>
      <c r="CS47" s="86">
        <f t="shared" si="202"/>
        <v>-61328310.850565374</v>
      </c>
      <c r="CT47" s="86">
        <f t="shared" si="202"/>
        <v>-65415549.150565565</v>
      </c>
      <c r="CU47" s="86">
        <f t="shared" si="202"/>
        <v>-1864741012.6331134</v>
      </c>
      <c r="CW47" s="86">
        <f t="shared" ref="CW47:DI47" si="203">CW44-CW45-CW46</f>
        <v>-1022397231.4459512</v>
      </c>
      <c r="CX47" s="86">
        <f t="shared" si="203"/>
        <v>-1150214598.8715892</v>
      </c>
      <c r="CY47" s="86">
        <f t="shared" si="203"/>
        <v>-785725337.49595213</v>
      </c>
      <c r="CZ47" s="86">
        <f t="shared" si="203"/>
        <v>-619738397.50321746</v>
      </c>
      <c r="DA47" s="86">
        <f t="shared" si="203"/>
        <v>-617655324.41208172</v>
      </c>
      <c r="DB47" s="86">
        <f t="shared" si="203"/>
        <v>-1192064408.202395</v>
      </c>
      <c r="DC47" s="86">
        <f t="shared" si="203"/>
        <v>-1029717251.2075225</v>
      </c>
      <c r="DD47" s="86">
        <f t="shared" si="203"/>
        <v>-1060057251.0075226</v>
      </c>
      <c r="DE47" s="86">
        <f t="shared" si="203"/>
        <v>-997187324.91265023</v>
      </c>
      <c r="DF47" s="86">
        <f t="shared" si="203"/>
        <v>-1011084636.2459836</v>
      </c>
      <c r="DG47" s="86">
        <f t="shared" si="203"/>
        <v>-1033593617.8357282</v>
      </c>
      <c r="DH47" s="86">
        <f t="shared" si="203"/>
        <v>-1017630627.0408559</v>
      </c>
      <c r="DI47" s="86">
        <f t="shared" si="203"/>
        <v>-11537066006.181442</v>
      </c>
      <c r="DK47" s="86">
        <f t="shared" ref="DK47:DW47" si="204">DK44-DK45-DK46</f>
        <v>-4979188.888888889</v>
      </c>
      <c r="DL47" s="86">
        <f t="shared" si="204"/>
        <v>-4579188.888888889</v>
      </c>
      <c r="DM47" s="86">
        <f t="shared" si="204"/>
        <v>-4579188.888888889</v>
      </c>
      <c r="DN47" s="86">
        <f t="shared" si="204"/>
        <v>-4979188.888888889</v>
      </c>
      <c r="DO47" s="86">
        <f t="shared" si="204"/>
        <v>-4579188.888888889</v>
      </c>
      <c r="DP47" s="86">
        <f t="shared" si="204"/>
        <v>-4579188.888888889</v>
      </c>
      <c r="DQ47" s="86">
        <f t="shared" si="204"/>
        <v>-4579188.888888889</v>
      </c>
      <c r="DR47" s="86">
        <f t="shared" si="204"/>
        <v>-4979188.888888889</v>
      </c>
      <c r="DS47" s="86">
        <f t="shared" si="204"/>
        <v>-4579188.888888889</v>
      </c>
      <c r="DT47" s="86">
        <f t="shared" si="204"/>
        <v>-4579188.888888889</v>
      </c>
      <c r="DU47" s="86">
        <f t="shared" si="204"/>
        <v>-4979188.888888889</v>
      </c>
      <c r="DV47" s="86">
        <f t="shared" si="204"/>
        <v>-4579188.888888889</v>
      </c>
      <c r="DW47" s="86">
        <f t="shared" si="204"/>
        <v>-56550266.666666664</v>
      </c>
      <c r="DY47" s="86">
        <f t="shared" ref="DY47:EK47" si="205">DY44-DY45-DY46</f>
        <v>0</v>
      </c>
      <c r="DZ47" s="86">
        <f t="shared" si="205"/>
        <v>0</v>
      </c>
      <c r="EA47" s="86">
        <f t="shared" si="205"/>
        <v>0</v>
      </c>
      <c r="EB47" s="86">
        <f t="shared" si="205"/>
        <v>0</v>
      </c>
      <c r="EC47" s="86">
        <f t="shared" si="205"/>
        <v>0</v>
      </c>
      <c r="ED47" s="86">
        <f t="shared" si="205"/>
        <v>0</v>
      </c>
      <c r="EE47" s="86">
        <f t="shared" si="205"/>
        <v>0</v>
      </c>
      <c r="EF47" s="86">
        <f t="shared" si="205"/>
        <v>0</v>
      </c>
      <c r="EG47" s="86">
        <f t="shared" si="205"/>
        <v>0</v>
      </c>
      <c r="EH47" s="86">
        <f t="shared" si="205"/>
        <v>0</v>
      </c>
      <c r="EI47" s="86">
        <f t="shared" si="205"/>
        <v>0</v>
      </c>
      <c r="EJ47" s="86">
        <f t="shared" si="205"/>
        <v>0</v>
      </c>
      <c r="EK47" s="86">
        <f t="shared" si="205"/>
        <v>0</v>
      </c>
    </row>
    <row r="48" spans="1:141" s="17" customFormat="1" ht="14.5" thickBot="1">
      <c r="C48" s="391"/>
      <c r="D48" s="392"/>
      <c r="E48" s="392"/>
      <c r="F48" s="392"/>
      <c r="G48" s="392"/>
      <c r="H48" s="392"/>
      <c r="I48" s="392"/>
      <c r="J48" s="392"/>
      <c r="K48" s="392"/>
      <c r="L48" s="392"/>
      <c r="M48" s="392"/>
      <c r="N48" s="392"/>
      <c r="O48" s="393"/>
      <c r="AE48" s="394"/>
      <c r="AF48" s="395"/>
      <c r="AG48" s="395"/>
      <c r="AH48" s="395"/>
      <c r="AI48" s="395"/>
      <c r="AJ48" s="395"/>
      <c r="AK48" s="395"/>
      <c r="AL48" s="395"/>
      <c r="AM48" s="395"/>
      <c r="AN48" s="395"/>
      <c r="AO48" s="395"/>
      <c r="AP48" s="395"/>
      <c r="AQ48" s="396"/>
      <c r="BS48" s="258"/>
      <c r="CG48" s="258"/>
      <c r="CU48" s="258"/>
      <c r="DI48" s="258"/>
      <c r="DW48" s="18"/>
    </row>
    <row r="49" spans="2:71" ht="14.5" thickTop="1"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spans="2:71" s="96" customFormat="1">
      <c r="B50" s="17"/>
      <c r="C50" s="29"/>
      <c r="D50" s="29"/>
      <c r="E50" s="29"/>
      <c r="F50" s="29"/>
      <c r="G50" s="29"/>
      <c r="H50" s="29"/>
      <c r="I50" s="29"/>
      <c r="J50" s="29"/>
      <c r="K50" s="29"/>
      <c r="L50" s="29"/>
      <c r="AQ50" s="458"/>
      <c r="BS50" s="458"/>
    </row>
    <row r="51" spans="2:71" s="96" customFormat="1">
      <c r="B51" s="17"/>
      <c r="C51" s="29"/>
      <c r="D51" s="29"/>
      <c r="E51" s="29"/>
      <c r="F51" s="29"/>
      <c r="G51" s="29"/>
      <c r="H51" s="29"/>
      <c r="I51" s="29"/>
      <c r="J51" s="29"/>
      <c r="K51" s="29"/>
      <c r="L51" s="29"/>
    </row>
    <row r="52" spans="2:71" s="96" customFormat="1">
      <c r="B52" s="17"/>
      <c r="C52" s="29"/>
      <c r="D52" s="29"/>
      <c r="E52" s="29"/>
      <c r="F52" s="29"/>
      <c r="G52" s="29"/>
      <c r="H52" s="29"/>
      <c r="I52" s="29"/>
      <c r="J52" s="29"/>
      <c r="K52" s="29"/>
      <c r="L52" s="29"/>
    </row>
    <row r="53" spans="2:71" s="17" customFormat="1"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2:71">
      <c r="C54" s="29"/>
      <c r="D54" s="29"/>
      <c r="E54" s="29"/>
      <c r="F54" s="29"/>
      <c r="G54" s="29"/>
      <c r="H54" s="29"/>
      <c r="I54" s="29"/>
      <c r="J54" s="29"/>
      <c r="K54" s="29"/>
      <c r="L54" s="29"/>
    </row>
  </sheetData>
  <mergeCells count="12">
    <mergeCell ref="DY3:EK3"/>
    <mergeCell ref="A3:A4"/>
    <mergeCell ref="B3:B4"/>
    <mergeCell ref="C3:O3"/>
    <mergeCell ref="Q3:AC3"/>
    <mergeCell ref="AE3:AQ3"/>
    <mergeCell ref="AS3:BE3"/>
    <mergeCell ref="BG3:BS3"/>
    <mergeCell ref="BU3:CG3"/>
    <mergeCell ref="CI3:CU3"/>
    <mergeCell ref="CW3:DI3"/>
    <mergeCell ref="DK3:DW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DD70-EFCF-4600-9C22-646D8E62506C}">
  <sheetPr>
    <tabColor theme="1"/>
  </sheetPr>
  <dimension ref="A1"/>
  <sheetViews>
    <sheetView workbookViewId="0">
      <selection activeCell="Q34" sqref="Q34"/>
    </sheetView>
  </sheetViews>
  <sheetFormatPr defaultRowHeight="14.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091A-3316-4E12-8B9F-F9E8E58040A2}">
  <sheetPr>
    <tabColor theme="4" tint="0.39997558519241921"/>
  </sheetPr>
  <dimension ref="A1:DB132"/>
  <sheetViews>
    <sheetView showGridLines="0" zoomScale="85" zoomScaleNormal="85" workbookViewId="0">
      <pane xSplit="3" ySplit="3" topLeftCell="V120" activePane="bottomRight" state="frozen"/>
      <selection pane="topRight" activeCell="D1" sqref="D1"/>
      <selection pane="bottomLeft" activeCell="A4" sqref="A4"/>
      <selection pane="bottomRight" activeCell="B134" sqref="B134"/>
    </sheetView>
  </sheetViews>
  <sheetFormatPr defaultRowHeight="14.5" outlineLevelRow="2" outlineLevelCol="1"/>
  <cols>
    <col min="2" max="2" width="61.25" customWidth="1"/>
    <col min="3" max="3" width="2.4140625" customWidth="1"/>
    <col min="4" max="4" width="19.9140625" bestFit="1" customWidth="1"/>
    <col min="5" max="14" width="19.9140625" bestFit="1" customWidth="1" outlineLevel="1"/>
    <col min="15" max="15" width="19.9140625" bestFit="1" customWidth="1"/>
    <col min="16" max="16" width="1.58203125" customWidth="1"/>
    <col min="17" max="17" width="16.4140625" bestFit="1" customWidth="1"/>
    <col min="18" max="18" width="14.75" bestFit="1" customWidth="1" outlineLevel="1"/>
    <col min="19" max="20" width="16.4140625" bestFit="1" customWidth="1" outlineLevel="1"/>
    <col min="21" max="21" width="14.75" bestFit="1" customWidth="1" outlineLevel="1"/>
    <col min="22" max="22" width="16.4140625" bestFit="1" customWidth="1" outlineLevel="1"/>
    <col min="23" max="23" width="14.75" bestFit="1" customWidth="1" outlineLevel="1"/>
    <col min="24" max="24" width="12.6640625" bestFit="1" customWidth="1" outlineLevel="1"/>
    <col min="25" max="25" width="14" bestFit="1" customWidth="1" outlineLevel="1"/>
    <col min="26" max="27" width="14.75" bestFit="1" customWidth="1" outlineLevel="1"/>
    <col min="28" max="28" width="14.75" bestFit="1" customWidth="1"/>
    <col min="29" max="29" width="1.58203125" customWidth="1"/>
    <col min="30" max="30" width="19.9140625" bestFit="1" customWidth="1"/>
    <col min="31" max="40" width="19.9140625" bestFit="1" customWidth="1" outlineLevel="1"/>
    <col min="41" max="41" width="19.9140625" bestFit="1" customWidth="1"/>
    <col min="42" max="42" width="1.58203125" customWidth="1"/>
    <col min="43" max="43" width="19.6640625" bestFit="1" customWidth="1"/>
    <col min="44" max="53" width="19.6640625" bestFit="1" customWidth="1" outlineLevel="1"/>
    <col min="54" max="54" width="19.6640625" bestFit="1" customWidth="1"/>
    <col min="55" max="55" width="1.58203125" customWidth="1"/>
    <col min="56" max="56" width="17.6640625" bestFit="1" customWidth="1"/>
    <col min="57" max="66" width="17.6640625" bestFit="1" customWidth="1" outlineLevel="1"/>
    <col min="67" max="67" width="17.6640625" bestFit="1" customWidth="1"/>
    <col min="68" max="68" width="1.58203125" customWidth="1"/>
    <col min="69" max="69" width="16.9140625" bestFit="1" customWidth="1"/>
    <col min="70" max="79" width="16.9140625" bestFit="1" customWidth="1" outlineLevel="1"/>
    <col min="80" max="80" width="16.9140625" bestFit="1" customWidth="1"/>
    <col min="81" max="81" width="1.58203125" customWidth="1"/>
    <col min="82" max="82" width="17.6640625" bestFit="1" customWidth="1"/>
    <col min="83" max="92" width="17.6640625" bestFit="1" customWidth="1" outlineLevel="1"/>
    <col min="93" max="93" width="17.6640625" bestFit="1" customWidth="1"/>
    <col min="94" max="94" width="1.58203125" customWidth="1"/>
    <col min="95" max="95" width="16.9140625" bestFit="1" customWidth="1"/>
    <col min="96" max="105" width="16.6640625" bestFit="1" customWidth="1" outlineLevel="1"/>
    <col min="106" max="106" width="16.6640625" bestFit="1" customWidth="1"/>
  </cols>
  <sheetData>
    <row r="1" spans="1:106" ht="15" thickBot="1"/>
    <row r="2" spans="1:106" ht="17" thickTop="1">
      <c r="A2" s="849" t="s">
        <v>403</v>
      </c>
      <c r="B2" s="847" t="s">
        <v>254</v>
      </c>
      <c r="D2" s="833" t="s">
        <v>190</v>
      </c>
      <c r="E2" s="834"/>
      <c r="F2" s="834"/>
      <c r="G2" s="834"/>
      <c r="H2" s="834"/>
      <c r="I2" s="834"/>
      <c r="J2" s="834"/>
      <c r="K2" s="834"/>
      <c r="L2" s="834"/>
      <c r="M2" s="834"/>
      <c r="N2" s="834"/>
      <c r="O2" s="834"/>
      <c r="P2" s="7"/>
      <c r="Q2" s="841" t="s">
        <v>191</v>
      </c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7"/>
      <c r="AD2" s="842" t="s">
        <v>17</v>
      </c>
      <c r="AE2" s="843"/>
      <c r="AF2" s="843"/>
      <c r="AG2" s="843"/>
      <c r="AH2" s="843"/>
      <c r="AI2" s="843"/>
      <c r="AJ2" s="843"/>
      <c r="AK2" s="843"/>
      <c r="AL2" s="843"/>
      <c r="AM2" s="843"/>
      <c r="AN2" s="843"/>
      <c r="AO2" s="844"/>
      <c r="AP2" s="7"/>
      <c r="AQ2" s="839" t="s">
        <v>0</v>
      </c>
      <c r="AR2" s="839"/>
      <c r="AS2" s="839"/>
      <c r="AT2" s="839"/>
      <c r="AU2" s="839"/>
      <c r="AV2" s="839"/>
      <c r="AW2" s="839"/>
      <c r="AX2" s="839"/>
      <c r="AY2" s="839"/>
      <c r="AZ2" s="839"/>
      <c r="BA2" s="839"/>
      <c r="BB2" s="839"/>
      <c r="BC2" s="7"/>
      <c r="BD2" s="839" t="s">
        <v>13</v>
      </c>
      <c r="BE2" s="839"/>
      <c r="BF2" s="839"/>
      <c r="BG2" s="839"/>
      <c r="BH2" s="839"/>
      <c r="BI2" s="839"/>
      <c r="BJ2" s="839"/>
      <c r="BK2" s="839"/>
      <c r="BL2" s="839"/>
      <c r="BM2" s="839"/>
      <c r="BN2" s="839"/>
      <c r="BO2" s="839"/>
      <c r="BP2" s="7"/>
      <c r="BQ2" s="839" t="s">
        <v>14</v>
      </c>
      <c r="BR2" s="839"/>
      <c r="BS2" s="839"/>
      <c r="BT2" s="839"/>
      <c r="BU2" s="839"/>
      <c r="BV2" s="839"/>
      <c r="BW2" s="839"/>
      <c r="BX2" s="839"/>
      <c r="BY2" s="839"/>
      <c r="BZ2" s="839"/>
      <c r="CA2" s="839"/>
      <c r="CB2" s="839"/>
      <c r="CC2" s="7"/>
      <c r="CD2" s="839" t="s">
        <v>16</v>
      </c>
      <c r="CE2" s="839"/>
      <c r="CF2" s="839"/>
      <c r="CG2" s="839"/>
      <c r="CH2" s="839"/>
      <c r="CI2" s="839"/>
      <c r="CJ2" s="839"/>
      <c r="CK2" s="839"/>
      <c r="CL2" s="839"/>
      <c r="CM2" s="839"/>
      <c r="CN2" s="839"/>
      <c r="CO2" s="839"/>
      <c r="CP2" s="7"/>
      <c r="CQ2" s="839" t="s">
        <v>192</v>
      </c>
      <c r="CR2" s="839"/>
      <c r="CS2" s="839"/>
      <c r="CT2" s="839"/>
      <c r="CU2" s="839"/>
      <c r="CV2" s="839"/>
      <c r="CW2" s="839"/>
      <c r="CX2" s="839"/>
      <c r="CY2" s="839"/>
      <c r="CZ2" s="839"/>
      <c r="DA2" s="839"/>
      <c r="DB2" s="839"/>
    </row>
    <row r="3" spans="1:106" s="704" customFormat="1" ht="16.5">
      <c r="A3" s="850"/>
      <c r="B3" s="848"/>
      <c r="D3" s="705">
        <v>1</v>
      </c>
      <c r="E3" s="706">
        <v>2</v>
      </c>
      <c r="F3" s="706">
        <v>3</v>
      </c>
      <c r="G3" s="706">
        <v>4</v>
      </c>
      <c r="H3" s="706">
        <v>5</v>
      </c>
      <c r="I3" s="706">
        <v>6</v>
      </c>
      <c r="J3" s="706">
        <v>7</v>
      </c>
      <c r="K3" s="706">
        <v>8</v>
      </c>
      <c r="L3" s="706">
        <v>9</v>
      </c>
      <c r="M3" s="706">
        <v>10</v>
      </c>
      <c r="N3" s="706">
        <v>11</v>
      </c>
      <c r="O3" s="706">
        <v>12</v>
      </c>
      <c r="P3" s="707"/>
      <c r="Q3" s="708">
        <v>1</v>
      </c>
      <c r="R3" s="708">
        <v>2</v>
      </c>
      <c r="S3" s="708">
        <v>3</v>
      </c>
      <c r="T3" s="708">
        <v>4</v>
      </c>
      <c r="U3" s="708">
        <v>5</v>
      </c>
      <c r="V3" s="708">
        <v>6</v>
      </c>
      <c r="W3" s="708">
        <v>7</v>
      </c>
      <c r="X3" s="708">
        <v>8</v>
      </c>
      <c r="Y3" s="708">
        <v>9</v>
      </c>
      <c r="Z3" s="708">
        <v>10</v>
      </c>
      <c r="AA3" s="708">
        <v>11</v>
      </c>
      <c r="AB3" s="708">
        <v>12</v>
      </c>
      <c r="AC3" s="707"/>
      <c r="AD3" s="709">
        <v>1</v>
      </c>
      <c r="AE3" s="710">
        <v>2</v>
      </c>
      <c r="AF3" s="710">
        <v>3</v>
      </c>
      <c r="AG3" s="710">
        <v>4</v>
      </c>
      <c r="AH3" s="710">
        <v>5</v>
      </c>
      <c r="AI3" s="710">
        <v>6</v>
      </c>
      <c r="AJ3" s="710">
        <v>7</v>
      </c>
      <c r="AK3" s="710">
        <v>8</v>
      </c>
      <c r="AL3" s="710">
        <v>9</v>
      </c>
      <c r="AM3" s="710">
        <v>10</v>
      </c>
      <c r="AN3" s="710">
        <v>11</v>
      </c>
      <c r="AO3" s="711">
        <v>12</v>
      </c>
      <c r="AP3" s="707"/>
      <c r="AQ3" s="455">
        <v>1</v>
      </c>
      <c r="AR3" s="455">
        <v>2</v>
      </c>
      <c r="AS3" s="455">
        <v>3</v>
      </c>
      <c r="AT3" s="455">
        <v>4</v>
      </c>
      <c r="AU3" s="455">
        <v>5</v>
      </c>
      <c r="AV3" s="455">
        <v>6</v>
      </c>
      <c r="AW3" s="455">
        <v>7</v>
      </c>
      <c r="AX3" s="455">
        <v>8</v>
      </c>
      <c r="AY3" s="455">
        <v>9</v>
      </c>
      <c r="AZ3" s="455">
        <v>10</v>
      </c>
      <c r="BA3" s="455">
        <v>11</v>
      </c>
      <c r="BB3" s="455">
        <v>12</v>
      </c>
      <c r="BC3" s="707"/>
      <c r="BD3" s="455">
        <v>1</v>
      </c>
      <c r="BE3" s="455">
        <v>2</v>
      </c>
      <c r="BF3" s="455">
        <v>3</v>
      </c>
      <c r="BG3" s="455">
        <v>4</v>
      </c>
      <c r="BH3" s="455">
        <v>5</v>
      </c>
      <c r="BI3" s="455">
        <v>6</v>
      </c>
      <c r="BJ3" s="455">
        <v>7</v>
      </c>
      <c r="BK3" s="455">
        <v>8</v>
      </c>
      <c r="BL3" s="455">
        <v>9</v>
      </c>
      <c r="BM3" s="455">
        <v>10</v>
      </c>
      <c r="BN3" s="455">
        <v>11</v>
      </c>
      <c r="BO3" s="455">
        <v>12</v>
      </c>
      <c r="BP3" s="707"/>
      <c r="BQ3" s="455">
        <v>1</v>
      </c>
      <c r="BR3" s="455">
        <v>2</v>
      </c>
      <c r="BS3" s="455">
        <v>3</v>
      </c>
      <c r="BT3" s="455">
        <v>4</v>
      </c>
      <c r="BU3" s="455">
        <v>5</v>
      </c>
      <c r="BV3" s="455">
        <v>6</v>
      </c>
      <c r="BW3" s="455">
        <v>7</v>
      </c>
      <c r="BX3" s="455">
        <v>8</v>
      </c>
      <c r="BY3" s="455">
        <v>9</v>
      </c>
      <c r="BZ3" s="455">
        <v>10</v>
      </c>
      <c r="CA3" s="455">
        <v>11</v>
      </c>
      <c r="CB3" s="455">
        <v>12</v>
      </c>
      <c r="CC3" s="707"/>
      <c r="CD3" s="455">
        <v>1</v>
      </c>
      <c r="CE3" s="455">
        <v>2</v>
      </c>
      <c r="CF3" s="455">
        <v>3</v>
      </c>
      <c r="CG3" s="455">
        <v>4</v>
      </c>
      <c r="CH3" s="455">
        <v>5</v>
      </c>
      <c r="CI3" s="455">
        <v>6</v>
      </c>
      <c r="CJ3" s="455">
        <v>7</v>
      </c>
      <c r="CK3" s="455">
        <v>8</v>
      </c>
      <c r="CL3" s="455">
        <v>9</v>
      </c>
      <c r="CM3" s="455">
        <v>10</v>
      </c>
      <c r="CN3" s="455">
        <v>11</v>
      </c>
      <c r="CO3" s="455">
        <v>12</v>
      </c>
      <c r="CP3" s="707"/>
      <c r="CQ3" s="455">
        <v>1</v>
      </c>
      <c r="CR3" s="455">
        <v>2</v>
      </c>
      <c r="CS3" s="455">
        <v>3</v>
      </c>
      <c r="CT3" s="455">
        <v>4</v>
      </c>
      <c r="CU3" s="455">
        <v>5</v>
      </c>
      <c r="CV3" s="455">
        <v>6</v>
      </c>
      <c r="CW3" s="455">
        <v>7</v>
      </c>
      <c r="CX3" s="455">
        <v>8</v>
      </c>
      <c r="CY3" s="455">
        <v>9</v>
      </c>
      <c r="CZ3" s="455">
        <v>10</v>
      </c>
      <c r="DA3" s="455">
        <v>11</v>
      </c>
      <c r="DB3" s="455">
        <v>12</v>
      </c>
    </row>
    <row r="4" spans="1:106">
      <c r="A4" s="631">
        <v>1</v>
      </c>
      <c r="B4" s="610" t="s">
        <v>255</v>
      </c>
      <c r="D4" s="639">
        <f t="shared" ref="D4:O4" ca="1" si="0">D5+D8+D15+D23+D26+D30</f>
        <v>996172248508.25684</v>
      </c>
      <c r="E4" s="639">
        <f t="shared" ca="1" si="0"/>
        <v>1019571212716.8721</v>
      </c>
      <c r="F4" s="639">
        <f t="shared" ca="1" si="0"/>
        <v>1069124544814.0198</v>
      </c>
      <c r="G4" s="639">
        <f t="shared" ca="1" si="0"/>
        <v>1121579047860.1919</v>
      </c>
      <c r="H4" s="639">
        <f t="shared" ca="1" si="0"/>
        <v>1110981074424.699</v>
      </c>
      <c r="I4" s="639">
        <f t="shared" ca="1" si="0"/>
        <v>1142891155591.8755</v>
      </c>
      <c r="J4" s="639">
        <f t="shared" ca="1" si="0"/>
        <v>1134911405693.5044</v>
      </c>
      <c r="K4" s="639">
        <f t="shared" ca="1" si="0"/>
        <v>1140824375948.8418</v>
      </c>
      <c r="L4" s="639">
        <f t="shared" ca="1" si="0"/>
        <v>1141341109306.3467</v>
      </c>
      <c r="M4" s="639">
        <f t="shared" ca="1" si="0"/>
        <v>1150850152886.0474</v>
      </c>
      <c r="N4" s="639">
        <f t="shared" ca="1" si="0"/>
        <v>1142627780330.2336</v>
      </c>
      <c r="O4" s="639">
        <f t="shared" ca="1" si="0"/>
        <v>1027744524674.658</v>
      </c>
      <c r="Q4" s="639">
        <f t="shared" ref="Q4:AB4" ca="1" si="1">Q5+Q8+Q15+Q23+Q26+Q30</f>
        <v>-1081653552.8917923</v>
      </c>
      <c r="R4" s="639">
        <f t="shared" ca="1" si="1"/>
        <v>-206360630.64188004</v>
      </c>
      <c r="S4" s="639">
        <f t="shared" ca="1" si="1"/>
        <v>-1311188694.2388897</v>
      </c>
      <c r="T4" s="639">
        <f t="shared" ca="1" si="1"/>
        <v>-1689504436.190918</v>
      </c>
      <c r="U4" s="639">
        <f t="shared" ca="1" si="1"/>
        <v>-600462545.67515945</v>
      </c>
      <c r="V4" s="639">
        <f t="shared" ca="1" si="1"/>
        <v>-1386793199.9009171</v>
      </c>
      <c r="W4" s="639">
        <f t="shared" ca="1" si="1"/>
        <v>-318276916.1496563</v>
      </c>
      <c r="X4" s="639">
        <f t="shared" ca="1" si="1"/>
        <v>31216146.459789276</v>
      </c>
      <c r="Y4" s="639">
        <f t="shared" ca="1" si="1"/>
        <v>133418850.23434067</v>
      </c>
      <c r="Z4" s="639">
        <f t="shared" ca="1" si="1"/>
        <v>-337062225.32540703</v>
      </c>
      <c r="AA4" s="639">
        <f t="shared" ca="1" si="1"/>
        <v>-153560604.06283951</v>
      </c>
      <c r="AB4" s="639">
        <f t="shared" ca="1" si="1"/>
        <v>-227377208.07666779</v>
      </c>
      <c r="AD4" s="642">
        <f t="shared" ref="AD4" si="2">AD5+AD8+AD15+AD23+AD26+AD30</f>
        <v>997253902061.14868</v>
      </c>
      <c r="AE4" s="639">
        <f t="shared" ref="AE4:AO4" si="3">AE5+AE8+AE15+AE23+AE26+AE30</f>
        <v>1019777573347.5139</v>
      </c>
      <c r="AF4" s="639">
        <f t="shared" si="3"/>
        <v>1070435733508.2588</v>
      </c>
      <c r="AG4" s="639">
        <f t="shared" si="3"/>
        <v>1123268552296.3828</v>
      </c>
      <c r="AH4" s="639">
        <f t="shared" si="3"/>
        <v>1111581536970.374</v>
      </c>
      <c r="AI4" s="639">
        <f t="shared" si="3"/>
        <v>1144277948791.7764</v>
      </c>
      <c r="AJ4" s="639">
        <f t="shared" si="3"/>
        <v>1135229682609.6541</v>
      </c>
      <c r="AK4" s="639">
        <f t="shared" si="3"/>
        <v>1140793159802.3818</v>
      </c>
      <c r="AL4" s="639">
        <f t="shared" si="3"/>
        <v>1141207690456.1123</v>
      </c>
      <c r="AM4" s="639">
        <f t="shared" si="3"/>
        <v>1151187215111.3728</v>
      </c>
      <c r="AN4" s="639">
        <f t="shared" si="3"/>
        <v>1142781340934.2966</v>
      </c>
      <c r="AO4" s="643">
        <f t="shared" si="3"/>
        <v>1027971901882.7346</v>
      </c>
      <c r="AQ4" s="639">
        <f t="shared" ref="AQ4:BB4" si="4">AQ5+AQ8+AQ15+AQ23+AQ26+AQ30</f>
        <v>932305412115.7395</v>
      </c>
      <c r="AR4" s="639">
        <f t="shared" si="4"/>
        <v>958251008663.46411</v>
      </c>
      <c r="AS4" s="639">
        <f t="shared" si="4"/>
        <v>1006004180725.0303</v>
      </c>
      <c r="AT4" s="639">
        <f t="shared" si="4"/>
        <v>1057280539324.5066</v>
      </c>
      <c r="AU4" s="639">
        <f t="shared" si="4"/>
        <v>1044554065752.1689</v>
      </c>
      <c r="AV4" s="639">
        <f t="shared" si="4"/>
        <v>1076529549617.881</v>
      </c>
      <c r="AW4" s="639">
        <f t="shared" si="4"/>
        <v>1066541663019.1243</v>
      </c>
      <c r="AX4" s="639">
        <f t="shared" si="4"/>
        <v>1071381032084.1072</v>
      </c>
      <c r="AY4" s="639">
        <f t="shared" si="4"/>
        <v>1071057091598.7563</v>
      </c>
      <c r="AZ4" s="639">
        <f t="shared" si="4"/>
        <v>1079035235015.9814</v>
      </c>
      <c r="BA4" s="639">
        <f t="shared" si="4"/>
        <v>1069475948971.4071</v>
      </c>
      <c r="BB4" s="639">
        <f t="shared" si="4"/>
        <v>953374901900.78247</v>
      </c>
      <c r="BD4" s="639">
        <f t="shared" ref="BD4:BO4" si="5">BD5+BD8+BD15+BD23+BD26+BD30</f>
        <v>12383314051.818779</v>
      </c>
      <c r="BE4" s="639">
        <f t="shared" si="5"/>
        <v>11269063173.433693</v>
      </c>
      <c r="BF4" s="639">
        <f t="shared" si="5"/>
        <v>11909400190.60527</v>
      </c>
      <c r="BG4" s="639">
        <f t="shared" si="5"/>
        <v>11222529899.829538</v>
      </c>
      <c r="BH4" s="639">
        <f t="shared" si="5"/>
        <v>11642089814.420532</v>
      </c>
      <c r="BI4" s="639">
        <f t="shared" si="5"/>
        <v>11968491714.875692</v>
      </c>
      <c r="BJ4" s="639">
        <f t="shared" si="5"/>
        <v>12387667976.620743</v>
      </c>
      <c r="BK4" s="639">
        <f t="shared" si="5"/>
        <v>12656688456.1017</v>
      </c>
      <c r="BL4" s="639">
        <f t="shared" si="5"/>
        <v>12909116349.22678</v>
      </c>
      <c r="BM4" s="639">
        <f t="shared" si="5"/>
        <v>13369484640.065632</v>
      </c>
      <c r="BN4" s="639">
        <f t="shared" si="5"/>
        <v>13636109102.08433</v>
      </c>
      <c r="BO4" s="639">
        <f t="shared" si="5"/>
        <v>14057489701.892128</v>
      </c>
      <c r="BQ4" s="639">
        <f t="shared" ref="BQ4:CB4" si="6">BQ5+BQ8+BQ15+BQ23+BQ26+BQ30</f>
        <v>15213541456.628839</v>
      </c>
      <c r="BR4" s="639">
        <f t="shared" si="6"/>
        <v>14867251516.820187</v>
      </c>
      <c r="BS4" s="639">
        <f t="shared" si="6"/>
        <v>15268074266.898041</v>
      </c>
      <c r="BT4" s="639">
        <f t="shared" si="6"/>
        <v>15637621799.067764</v>
      </c>
      <c r="BU4" s="639">
        <f t="shared" si="6"/>
        <v>16005109747.400343</v>
      </c>
      <c r="BV4" s="639">
        <f t="shared" si="6"/>
        <v>16338289905.270695</v>
      </c>
      <c r="BW4" s="639">
        <f t="shared" si="6"/>
        <v>16656477361.514385</v>
      </c>
      <c r="BX4" s="639">
        <f t="shared" si="6"/>
        <v>16959075678.555859</v>
      </c>
      <c r="BY4" s="639">
        <f t="shared" si="6"/>
        <v>17270971809.116211</v>
      </c>
      <c r="BZ4" s="639">
        <f t="shared" si="6"/>
        <v>17641263555.95768</v>
      </c>
      <c r="CA4" s="639">
        <f t="shared" si="6"/>
        <v>17997630096.163593</v>
      </c>
      <c r="CB4" s="639">
        <f t="shared" si="6"/>
        <v>18347212051.869499</v>
      </c>
      <c r="CD4" s="639">
        <f t="shared" ref="CD4:CO4" si="7">CD5+CD8+CD15+CD23+CD26+CD30</f>
        <v>15622395427.850504</v>
      </c>
      <c r="CE4" s="639">
        <f t="shared" si="7"/>
        <v>13665590173.573685</v>
      </c>
      <c r="CF4" s="639">
        <f t="shared" si="7"/>
        <v>15533997694.391735</v>
      </c>
      <c r="CG4" s="639">
        <f t="shared" si="7"/>
        <v>17412759830.534477</v>
      </c>
      <c r="CH4" s="639">
        <f t="shared" si="7"/>
        <v>17669749402.828819</v>
      </c>
      <c r="CI4" s="639">
        <f t="shared" si="7"/>
        <v>17735674489.08239</v>
      </c>
      <c r="CJ4" s="639">
        <f t="shared" si="7"/>
        <v>17942510376.61681</v>
      </c>
      <c r="CK4" s="639">
        <f t="shared" si="7"/>
        <v>18099978896.728157</v>
      </c>
      <c r="CL4" s="639">
        <f t="shared" si="7"/>
        <v>18278705201.013</v>
      </c>
      <c r="CM4" s="639">
        <f t="shared" si="7"/>
        <v>19454005590.25676</v>
      </c>
      <c r="CN4" s="639">
        <f t="shared" si="7"/>
        <v>19989405644.419403</v>
      </c>
      <c r="CO4" s="639">
        <f t="shared" si="7"/>
        <v>20514630296.857269</v>
      </c>
      <c r="CQ4" s="639">
        <f t="shared" ref="CQ4:DB4" si="8">CQ5+CQ8+CQ15+CQ23+CQ26+CQ30</f>
        <v>21729239009.111111</v>
      </c>
      <c r="CR4" s="639">
        <f t="shared" si="8"/>
        <v>21724659820.222221</v>
      </c>
      <c r="CS4" s="639">
        <f t="shared" si="8"/>
        <v>21720080631.333332</v>
      </c>
      <c r="CT4" s="639">
        <f t="shared" si="8"/>
        <v>21715101442.444443</v>
      </c>
      <c r="CU4" s="639">
        <f t="shared" si="8"/>
        <v>21710522253.555557</v>
      </c>
      <c r="CV4" s="639">
        <f t="shared" si="8"/>
        <v>21705943064.666668</v>
      </c>
      <c r="CW4" s="639">
        <f t="shared" si="8"/>
        <v>21701363875.777779</v>
      </c>
      <c r="CX4" s="639">
        <f t="shared" si="8"/>
        <v>21696384686.888889</v>
      </c>
      <c r="CY4" s="639">
        <f t="shared" si="8"/>
        <v>21691805498</v>
      </c>
      <c r="CZ4" s="639">
        <f t="shared" si="8"/>
        <v>21687226309.111111</v>
      </c>
      <c r="DA4" s="639">
        <f t="shared" si="8"/>
        <v>21682247120.222221</v>
      </c>
      <c r="DB4" s="639">
        <f t="shared" si="8"/>
        <v>21677667931.333332</v>
      </c>
    </row>
    <row r="5" spans="1:106">
      <c r="A5" s="632">
        <v>2</v>
      </c>
      <c r="B5" s="611" t="s">
        <v>256</v>
      </c>
      <c r="D5" s="14">
        <f t="shared" ref="D5:O5" si="9">SUM(D6:D7)</f>
        <v>45998493780.202499</v>
      </c>
      <c r="E5" s="14">
        <f t="shared" si="9"/>
        <v>45847823862.40136</v>
      </c>
      <c r="F5" s="14">
        <f t="shared" si="9"/>
        <v>47598465662.600174</v>
      </c>
      <c r="G5" s="14">
        <f t="shared" si="9"/>
        <v>39102023217.88047</v>
      </c>
      <c r="H5" s="14">
        <f t="shared" si="9"/>
        <v>50263717370.396721</v>
      </c>
      <c r="I5" s="14">
        <f t="shared" si="9"/>
        <v>48674731098.350868</v>
      </c>
      <c r="J5" s="14">
        <f t="shared" si="9"/>
        <v>48995443060.962402</v>
      </c>
      <c r="K5" s="14">
        <f t="shared" si="9"/>
        <v>56902871342.505852</v>
      </c>
      <c r="L5" s="14">
        <f t="shared" si="9"/>
        <v>42640704235.068626</v>
      </c>
      <c r="M5" s="14">
        <f t="shared" si="9"/>
        <v>47661362743.165398</v>
      </c>
      <c r="N5" s="14">
        <f t="shared" si="9"/>
        <v>42449188560.984062</v>
      </c>
      <c r="O5" s="14">
        <f t="shared" si="9"/>
        <v>56555171801.128014</v>
      </c>
      <c r="Q5" s="14">
        <f t="shared" ref="Q5:AB5" si="10">SUM(Q6:Q7)</f>
        <v>0</v>
      </c>
      <c r="R5" s="14">
        <f t="shared" si="10"/>
        <v>0</v>
      </c>
      <c r="S5" s="14">
        <f t="shared" si="10"/>
        <v>0</v>
      </c>
      <c r="T5" s="14">
        <f t="shared" si="10"/>
        <v>0</v>
      </c>
      <c r="U5" s="14">
        <f t="shared" si="10"/>
        <v>0</v>
      </c>
      <c r="V5" s="14">
        <f t="shared" si="10"/>
        <v>0</v>
      </c>
      <c r="W5" s="14">
        <f t="shared" si="10"/>
        <v>0</v>
      </c>
      <c r="X5" s="14">
        <f t="shared" si="10"/>
        <v>0</v>
      </c>
      <c r="Y5" s="14">
        <f t="shared" si="10"/>
        <v>0</v>
      </c>
      <c r="Z5" s="14">
        <f t="shared" si="10"/>
        <v>0</v>
      </c>
      <c r="AA5" s="14">
        <f t="shared" si="10"/>
        <v>0</v>
      </c>
      <c r="AB5" s="14">
        <f t="shared" si="10"/>
        <v>0</v>
      </c>
      <c r="AD5" s="644">
        <f t="shared" ref="AD5" si="11">SUM(AD6:AD7)</f>
        <v>45998493780.202499</v>
      </c>
      <c r="AE5" s="14">
        <f t="shared" ref="AE5:AO5" si="12">SUM(AE6:AE7)</f>
        <v>45847823862.40136</v>
      </c>
      <c r="AF5" s="14">
        <f t="shared" si="12"/>
        <v>47598465662.600174</v>
      </c>
      <c r="AG5" s="14">
        <f t="shared" si="12"/>
        <v>39102023217.88047</v>
      </c>
      <c r="AH5" s="14">
        <f t="shared" si="12"/>
        <v>50263717370.396721</v>
      </c>
      <c r="AI5" s="14">
        <f t="shared" si="12"/>
        <v>48674731098.350868</v>
      </c>
      <c r="AJ5" s="14">
        <f t="shared" si="12"/>
        <v>48995443060.962402</v>
      </c>
      <c r="AK5" s="14">
        <f t="shared" si="12"/>
        <v>56902871342.505852</v>
      </c>
      <c r="AL5" s="14">
        <f t="shared" si="12"/>
        <v>42640704235.068626</v>
      </c>
      <c r="AM5" s="14">
        <f t="shared" si="12"/>
        <v>47661362743.165398</v>
      </c>
      <c r="AN5" s="14">
        <f t="shared" si="12"/>
        <v>42449188560.984062</v>
      </c>
      <c r="AO5" s="645">
        <f t="shared" si="12"/>
        <v>56555171801.128014</v>
      </c>
      <c r="AQ5" s="14">
        <f t="shared" ref="AQ5:BB5" si="13">SUM(AQ6:AQ7)</f>
        <v>24375999999.999897</v>
      </c>
      <c r="AR5" s="14">
        <f t="shared" si="13"/>
        <v>23309000000.000088</v>
      </c>
      <c r="AS5" s="14">
        <f t="shared" si="13"/>
        <v>29161000000.000023</v>
      </c>
      <c r="AT5" s="14">
        <f t="shared" si="13"/>
        <v>22692000000.00008</v>
      </c>
      <c r="AU5" s="14">
        <f t="shared" si="13"/>
        <v>33139000000.000202</v>
      </c>
      <c r="AV5" s="14">
        <f t="shared" si="13"/>
        <v>30870999999.999905</v>
      </c>
      <c r="AW5" s="14">
        <f t="shared" si="13"/>
        <v>30598000000.000217</v>
      </c>
      <c r="AX5" s="14">
        <f t="shared" si="13"/>
        <v>37804999999.999969</v>
      </c>
      <c r="AY5" s="14">
        <f t="shared" si="13"/>
        <v>22484000000.000015</v>
      </c>
      <c r="AZ5" s="14">
        <f t="shared" si="13"/>
        <v>26509999999.999916</v>
      </c>
      <c r="BA5" s="14">
        <f t="shared" si="13"/>
        <v>19857000000.000038</v>
      </c>
      <c r="BB5" s="14">
        <f t="shared" si="13"/>
        <v>32993999999.999943</v>
      </c>
      <c r="BD5" s="14">
        <f t="shared" ref="BD5:BO5" si="14">SUM(BD6:BD7)</f>
        <v>7534032888.8877182</v>
      </c>
      <c r="BE5" s="14">
        <f t="shared" si="14"/>
        <v>8297468629.7823906</v>
      </c>
      <c r="BF5" s="14">
        <f t="shared" si="14"/>
        <v>5441536793.9826174</v>
      </c>
      <c r="BG5" s="14">
        <f t="shared" si="14"/>
        <v>3305137022.0039415</v>
      </c>
      <c r="BH5" s="14">
        <f t="shared" si="14"/>
        <v>3400081361.5579653</v>
      </c>
      <c r="BI5" s="14">
        <f t="shared" si="14"/>
        <v>3721937597.9697647</v>
      </c>
      <c r="BJ5" s="14">
        <f t="shared" si="14"/>
        <v>3816323118.5564318</v>
      </c>
      <c r="BK5" s="14">
        <f t="shared" si="14"/>
        <v>4075153553.3305044</v>
      </c>
      <c r="BL5" s="14">
        <f t="shared" si="14"/>
        <v>4643315487.2938604</v>
      </c>
      <c r="BM5" s="14">
        <f t="shared" si="14"/>
        <v>4781712779.958643</v>
      </c>
      <c r="BN5" s="14">
        <f t="shared" si="14"/>
        <v>5363956804.1783915</v>
      </c>
      <c r="BO5" s="14">
        <f t="shared" si="14"/>
        <v>5462919366.4326839</v>
      </c>
      <c r="BQ5" s="14">
        <f t="shared" ref="BQ5:CB5" si="15">SUM(BQ6:BQ7)</f>
        <v>9319869289.4661198</v>
      </c>
      <c r="BR5" s="14">
        <f t="shared" si="15"/>
        <v>9916490121.7292595</v>
      </c>
      <c r="BS5" s="14">
        <f t="shared" si="15"/>
        <v>9062040090.0534744</v>
      </c>
      <c r="BT5" s="14">
        <f t="shared" si="15"/>
        <v>9096391504.4457779</v>
      </c>
      <c r="BU5" s="14">
        <f t="shared" si="15"/>
        <v>9473493746.4947166</v>
      </c>
      <c r="BV5" s="14">
        <f t="shared" si="15"/>
        <v>9787651631.6966171</v>
      </c>
      <c r="BW5" s="14">
        <f t="shared" si="15"/>
        <v>10097237342.945433</v>
      </c>
      <c r="BX5" s="14">
        <f t="shared" si="15"/>
        <v>10389729668.914825</v>
      </c>
      <c r="BY5" s="14">
        <f t="shared" si="15"/>
        <v>10701238479.632481</v>
      </c>
      <c r="BZ5" s="14">
        <f t="shared" si="15"/>
        <v>11086889264.196712</v>
      </c>
      <c r="CA5" s="14">
        <f t="shared" si="15"/>
        <v>11433328876.219193</v>
      </c>
      <c r="CB5" s="14">
        <f t="shared" si="15"/>
        <v>11779178710.859396</v>
      </c>
      <c r="CD5" s="14">
        <f t="shared" ref="CD5:CO5" si="16">SUM(CD6:CD7)</f>
        <v>3951544465.737649</v>
      </c>
      <c r="CE5" s="14">
        <f t="shared" si="16"/>
        <v>3512397163.6674051</v>
      </c>
      <c r="CF5" s="14">
        <f t="shared" si="16"/>
        <v>3126000020.2307205</v>
      </c>
      <c r="CG5" s="14">
        <f t="shared" si="16"/>
        <v>3205585121.9862313</v>
      </c>
      <c r="CH5" s="14">
        <f t="shared" si="16"/>
        <v>3452811881.7882738</v>
      </c>
      <c r="CI5" s="14">
        <f t="shared" si="16"/>
        <v>3500390677.0179229</v>
      </c>
      <c r="CJ5" s="14">
        <f t="shared" si="16"/>
        <v>3694710596.6825442</v>
      </c>
      <c r="CK5" s="14">
        <f t="shared" si="16"/>
        <v>3848795306.3716679</v>
      </c>
      <c r="CL5" s="14">
        <f t="shared" si="16"/>
        <v>4032536643.1422648</v>
      </c>
      <c r="CM5" s="14">
        <f t="shared" si="16"/>
        <v>4507726262.8990116</v>
      </c>
      <c r="CN5" s="14">
        <f t="shared" si="16"/>
        <v>5024847633.3642178</v>
      </c>
      <c r="CO5" s="14">
        <f t="shared" si="16"/>
        <v>5553597665.5026588</v>
      </c>
      <c r="CQ5" s="14">
        <f t="shared" ref="CQ5:DB5" si="17">SUM(CQ6:CQ7)</f>
        <v>817047136.11111116</v>
      </c>
      <c r="CR5" s="14">
        <f t="shared" si="17"/>
        <v>812467947.22222221</v>
      </c>
      <c r="CS5" s="14">
        <f t="shared" si="17"/>
        <v>807888758.33333325</v>
      </c>
      <c r="CT5" s="14">
        <f t="shared" si="17"/>
        <v>802909569.44444442</v>
      </c>
      <c r="CU5" s="14">
        <f t="shared" si="17"/>
        <v>798330380.55555558</v>
      </c>
      <c r="CV5" s="14">
        <f t="shared" si="17"/>
        <v>793751191.66666663</v>
      </c>
      <c r="CW5" s="14">
        <f t="shared" si="17"/>
        <v>789172002.77777767</v>
      </c>
      <c r="CX5" s="14">
        <f t="shared" si="17"/>
        <v>784192813.88888884</v>
      </c>
      <c r="CY5" s="14">
        <f t="shared" si="17"/>
        <v>779613625</v>
      </c>
      <c r="CZ5" s="14">
        <f t="shared" si="17"/>
        <v>775034436.11111104</v>
      </c>
      <c r="DA5" s="14">
        <f t="shared" si="17"/>
        <v>770055247.22222209</v>
      </c>
      <c r="DB5" s="14">
        <f t="shared" si="17"/>
        <v>765476058.33333325</v>
      </c>
    </row>
    <row r="6" spans="1:106" outlineLevel="1">
      <c r="A6" s="633">
        <v>3</v>
      </c>
      <c r="B6" s="612" t="s">
        <v>257</v>
      </c>
      <c r="C6" t="s">
        <v>518</v>
      </c>
      <c r="D6" s="15">
        <f>AD6+Q6</f>
        <v>45298493780.202499</v>
      </c>
      <c r="E6" s="15">
        <f t="shared" ref="E6:E7" si="18">AE6+R6</f>
        <v>45147823862.40136</v>
      </c>
      <c r="F6" s="15">
        <f t="shared" ref="F6:F7" si="19">AF6+S6</f>
        <v>46898465662.600174</v>
      </c>
      <c r="G6" s="15">
        <f t="shared" ref="G6:G7" si="20">AG6+T6</f>
        <v>38402023217.88047</v>
      </c>
      <c r="H6" s="15">
        <f t="shared" ref="H6:H7" si="21">AH6+U6</f>
        <v>49563717370.396721</v>
      </c>
      <c r="I6" s="15">
        <f t="shared" ref="I6:I7" si="22">AI6+V6</f>
        <v>47974731098.350868</v>
      </c>
      <c r="J6" s="15">
        <f t="shared" ref="J6:J7" si="23">AJ6+W6</f>
        <v>48295443060.962402</v>
      </c>
      <c r="K6" s="15">
        <f t="shared" ref="K6:K7" si="24">AK6+X6</f>
        <v>56202871342.505852</v>
      </c>
      <c r="L6" s="15">
        <f t="shared" ref="L6:L7" si="25">AL6+Y6</f>
        <v>41940704235.068626</v>
      </c>
      <c r="M6" s="15">
        <f t="shared" ref="M6:M7" si="26">AM6+Z6</f>
        <v>46961362743.165398</v>
      </c>
      <c r="N6" s="15">
        <f t="shared" ref="N6:N7" si="27">AN6+AA6</f>
        <v>41749188560.984062</v>
      </c>
      <c r="O6" s="15">
        <f t="shared" ref="O6:O7" si="28">AO6+AB6</f>
        <v>55855171801.128014</v>
      </c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D6" s="646">
        <f>AQ6+BD6+BQ6+CD6+CQ6</f>
        <v>45298493780.202499</v>
      </c>
      <c r="AE6" s="15">
        <f t="shared" ref="AE6:AO7" si="29">AR6+BE6+BR6+CE6+CR6</f>
        <v>45147823862.40136</v>
      </c>
      <c r="AF6" s="15">
        <f t="shared" si="29"/>
        <v>46898465662.600174</v>
      </c>
      <c r="AG6" s="15">
        <f t="shared" si="29"/>
        <v>38402023217.88047</v>
      </c>
      <c r="AH6" s="15">
        <f t="shared" si="29"/>
        <v>49563717370.396721</v>
      </c>
      <c r="AI6" s="15">
        <f t="shared" si="29"/>
        <v>47974731098.350868</v>
      </c>
      <c r="AJ6" s="15">
        <f t="shared" si="29"/>
        <v>48295443060.962402</v>
      </c>
      <c r="AK6" s="15">
        <f t="shared" si="29"/>
        <v>56202871342.505852</v>
      </c>
      <c r="AL6" s="15">
        <f t="shared" si="29"/>
        <v>41940704235.068626</v>
      </c>
      <c r="AM6" s="15">
        <f t="shared" si="29"/>
        <v>46961362743.165398</v>
      </c>
      <c r="AN6" s="15">
        <f t="shared" si="29"/>
        <v>41749188560.984062</v>
      </c>
      <c r="AO6" s="647">
        <f t="shared" si="29"/>
        <v>55855171801.128014</v>
      </c>
      <c r="AQ6" s="15">
        <f>SUMIFS('BS-KH26-DTR'!D$2:D$116,'BS-KH26-DTR'!$B$2:$B$116,$A6)</f>
        <v>24375999999.999897</v>
      </c>
      <c r="AR6" s="15">
        <f>SUMIFS('BS-KH26-DTR'!E$2:E$116,'BS-KH26-DTR'!$B$2:$B$116,$A6)</f>
        <v>23309000000.000088</v>
      </c>
      <c r="AS6" s="15">
        <f>SUMIFS('BS-KH26-DTR'!F$2:F$116,'BS-KH26-DTR'!$B$2:$B$116,$A6)</f>
        <v>29161000000.000023</v>
      </c>
      <c r="AT6" s="15">
        <f>SUMIFS('BS-KH26-DTR'!G$2:G$116,'BS-KH26-DTR'!$B$2:$B$116,$A6)</f>
        <v>22692000000.00008</v>
      </c>
      <c r="AU6" s="15">
        <f>SUMIFS('BS-KH26-DTR'!H$2:H$116,'BS-KH26-DTR'!$B$2:$B$116,$A6)</f>
        <v>33139000000.000202</v>
      </c>
      <c r="AV6" s="15">
        <f>SUMIFS('BS-KH26-DTR'!I$2:I$116,'BS-KH26-DTR'!$B$2:$B$116,$A6)</f>
        <v>30870999999.999905</v>
      </c>
      <c r="AW6" s="15">
        <f>SUMIFS('BS-KH26-DTR'!J$2:J$116,'BS-KH26-DTR'!$B$2:$B$116,$A6)</f>
        <v>30598000000.000217</v>
      </c>
      <c r="AX6" s="15">
        <f>SUMIFS('BS-KH26-DTR'!K$2:K$116,'BS-KH26-DTR'!$B$2:$B$116,$A6)</f>
        <v>37804999999.999969</v>
      </c>
      <c r="AY6" s="15">
        <f>SUMIFS('BS-KH26-DTR'!L$2:L$116,'BS-KH26-DTR'!$B$2:$B$116,$A6)</f>
        <v>22484000000.000015</v>
      </c>
      <c r="AZ6" s="15">
        <f>SUMIFS('BS-KH26-DTR'!M$2:M$116,'BS-KH26-DTR'!$B$2:$B$116,$A6)</f>
        <v>26509999999.999916</v>
      </c>
      <c r="BA6" s="15">
        <f>SUMIFS('BS-KH26-DTR'!N$2:N$116,'BS-KH26-DTR'!$B$2:$B$116,$A6)</f>
        <v>19857000000.000038</v>
      </c>
      <c r="BB6" s="15">
        <f>SUMIFS('BS-KH26-DTR'!O$2:O$116,'BS-KH26-DTR'!$B$2:$B$116,$A6)</f>
        <v>32993999999.999943</v>
      </c>
      <c r="BD6" s="702">
        <f>SUMIFS('BS-KH26-DongLam'!M$2:M$51,'BS-KH26-DongLam'!$A$2:$A$51,'Consol BS-DTRG'!$A6)-'BS-KH26-DongLam'!M53</f>
        <v>7534032888.8877182</v>
      </c>
      <c r="BE6" s="702">
        <f>SUMIFS('BS-KH26-DongLam'!N$2:N$51,'BS-KH26-DongLam'!$A$2:$A$51,'Consol BS-DTRG'!$A6)-'BS-KH26-DongLam'!N53</f>
        <v>8297468629.7823906</v>
      </c>
      <c r="BF6" s="702">
        <f>SUMIFS('BS-KH26-DongLam'!O$2:O$51,'BS-KH26-DongLam'!$A$2:$A$51,'Consol BS-DTRG'!$A6)-'BS-KH26-DongLam'!O53</f>
        <v>5441536793.9826174</v>
      </c>
      <c r="BG6" s="702">
        <f>SUMIFS('BS-KH26-DongLam'!P$2:P$51,'BS-KH26-DongLam'!$A$2:$A$51,'Consol BS-DTRG'!$A6)-'BS-KH26-DongLam'!P53</f>
        <v>3305137022.0039415</v>
      </c>
      <c r="BH6" s="702">
        <f>SUMIFS('BS-KH26-DongLam'!Q$2:Q$51,'BS-KH26-DongLam'!$A$2:$A$51,'Consol BS-DTRG'!$A6)-'BS-KH26-DongLam'!Q53</f>
        <v>3400081361.5579653</v>
      </c>
      <c r="BI6" s="702">
        <f>SUMIFS('BS-KH26-DongLam'!R$2:R$51,'BS-KH26-DongLam'!$A$2:$A$51,'Consol BS-DTRG'!$A6)-'BS-KH26-DongLam'!R53</f>
        <v>3721937597.9697647</v>
      </c>
      <c r="BJ6" s="702">
        <f>SUMIFS('BS-KH26-DongLam'!S$2:S$51,'BS-KH26-DongLam'!$A$2:$A$51,'Consol BS-DTRG'!$A6)-'BS-KH26-DongLam'!S53</f>
        <v>3816323118.5564318</v>
      </c>
      <c r="BK6" s="702">
        <f>SUMIFS('BS-KH26-DongLam'!T$2:T$51,'BS-KH26-DongLam'!$A$2:$A$51,'Consol BS-DTRG'!$A6)-'BS-KH26-DongLam'!T53</f>
        <v>4075153553.3305044</v>
      </c>
      <c r="BL6" s="702">
        <f>SUMIFS('BS-KH26-DongLam'!U$2:U$51,'BS-KH26-DongLam'!$A$2:$A$51,'Consol BS-DTRG'!$A6)-'BS-KH26-DongLam'!U53</f>
        <v>4643315487.2938604</v>
      </c>
      <c r="BM6" s="702">
        <f>SUMIFS('BS-KH26-DongLam'!V$2:V$51,'BS-KH26-DongLam'!$A$2:$A$51,'Consol BS-DTRG'!$A6)-'BS-KH26-DongLam'!V53</f>
        <v>4781712779.958643</v>
      </c>
      <c r="BN6" s="702">
        <f>SUMIFS('BS-KH26-DongLam'!W$2:W$51,'BS-KH26-DongLam'!$A$2:$A$51,'Consol BS-DTRG'!$A6)-'BS-KH26-DongLam'!W53</f>
        <v>5363956804.1783915</v>
      </c>
      <c r="BO6" s="702">
        <f>SUMIFS('BS-KH26-DongLam'!X$2:X$51,'BS-KH26-DongLam'!$A$2:$A$51,'Consol BS-DTRG'!$A6)-'BS-KH26-DongLam'!X53</f>
        <v>5462919366.4326839</v>
      </c>
      <c r="BQ6" s="15">
        <f>SUMIFS('BS-KH26-KhanhNga'!M$2:M$51,'BS-KH26-KhanhNga'!$A$2:$A$51,'Consol BS-DTRG'!$A6)</f>
        <v>9319869289.4661198</v>
      </c>
      <c r="BR6" s="15">
        <f>SUMIFS('BS-KH26-KhanhNga'!N$2:N$51,'BS-KH26-KhanhNga'!$A$2:$A$51,'Consol BS-DTRG'!$A6)</f>
        <v>9916490121.7292595</v>
      </c>
      <c r="BS6" s="15">
        <f>SUMIFS('BS-KH26-KhanhNga'!O$2:O$51,'BS-KH26-KhanhNga'!$A$2:$A$51,'Consol BS-DTRG'!$A6)</f>
        <v>9062040090.0534744</v>
      </c>
      <c r="BT6" s="702">
        <f>(SUMIFS('BS-KH26-KhanhNga'!P$2:P$51,'BS-KH26-KhanhNga'!$A$2:$A$51,'Consol BS-DTRG'!$A6))--1824883.58744431</f>
        <v>9096391504.4457779</v>
      </c>
      <c r="BU6" s="702">
        <f>(SUMIFS('BS-KH26-KhanhNga'!Q$2:Q$51,'BS-KH26-KhanhNga'!$A$2:$A$51,'Consol BS-DTRG'!$A6))--52920931.0413094</f>
        <v>9473493746.4947166</v>
      </c>
      <c r="BV6" s="702">
        <f>(SUMIFS('BS-KH26-KhanhNga'!R$2:R$51,'BS-KH26-KhanhNga'!$A$2:$A$51,'Consol BS-DTRG'!$A6))--96010882.0418396</f>
        <v>9787651631.6966171</v>
      </c>
      <c r="BW6" s="702">
        <f>(SUMIFS('BS-KH26-KhanhNga'!S$2:S$51,'BS-KH26-KhanhNga'!$A$2:$A$51,'Consol BS-DTRG'!$A6))--136519385.869041</f>
        <v>10097237342.945433</v>
      </c>
      <c r="BX6" s="702">
        <f>(SUMIFS('BS-KH26-KhanhNga'!T$2:T$51,'BS-KH26-KhanhNga'!$A$2:$A$51,'Consol BS-DTRG'!$A6))--173850257.579578</f>
        <v>10389729668.914825</v>
      </c>
      <c r="BY6" s="702">
        <f>(SUMIFS('BS-KH26-KhanhNga'!U$2:U$51,'BS-KH26-KhanhNga'!$A$2:$A$51,'Consol BS-DTRG'!$A6))--213429196.866776</f>
        <v>10701238479.632481</v>
      </c>
      <c r="BZ6" s="702">
        <f>(SUMIFS('BS-KH26-KhanhNga'!V$2:V$51,'BS-KH26-KhanhNga'!$A$2:$A$51,'Consol BS-DTRG'!$A6))--265315888.687309</f>
        <v>11086889264.196712</v>
      </c>
      <c r="CA6" s="702">
        <f>(SUMIFS('BS-KH26-KhanhNga'!W$2:W$51,'BS-KH26-KhanhNga'!$A$2:$A$51,'Consol BS-DTRG'!$A6))--313406456.647846</f>
        <v>11433328876.219193</v>
      </c>
      <c r="CB6" s="702">
        <f>(SUMIFS('BS-KH26-KhanhNga'!X$2:X$51,'BS-KH26-KhanhNga'!$A$2:$A$51,'Consol BS-DTRG'!$A6))--360387868.648376</f>
        <v>11779178710.859396</v>
      </c>
      <c r="CD6" s="702">
        <f>(SUMIFS('BS-KH26-DaiLoc'!M$2:M$51,'BS-KH26-DaiLoc'!$A$2:$A$51,'Consol BS-DTRG'!$A6))-'BS-KH26-DaiLoc'!M52-'BS-KH26-DaiLoc'!M53</f>
        <v>3951544465.737649</v>
      </c>
      <c r="CE6" s="702">
        <f>(SUMIFS('BS-KH26-DaiLoc'!N$2:N$51,'BS-KH26-DaiLoc'!$A$2:$A$51,'Consol BS-DTRG'!$A6))-'BS-KH26-DaiLoc'!N52-'BS-KH26-DaiLoc'!N53</f>
        <v>3512397163.6674051</v>
      </c>
      <c r="CF6" s="702">
        <f>(SUMIFS('BS-KH26-DaiLoc'!O$2:O$51,'BS-KH26-DaiLoc'!$A$2:$A$51,'Consol BS-DTRG'!$A6))-'BS-KH26-DaiLoc'!O52-'BS-KH26-DaiLoc'!O53</f>
        <v>3126000020.2307205</v>
      </c>
      <c r="CG6" s="702">
        <f>(SUMIFS('BS-KH26-DaiLoc'!P$2:P$51,'BS-KH26-DaiLoc'!$A$2:$A$51,'Consol BS-DTRG'!$A6))-'BS-KH26-DaiLoc'!P52-'BS-KH26-DaiLoc'!P53</f>
        <v>3205585121.9862313</v>
      </c>
      <c r="CH6" s="702">
        <f>(SUMIFS('BS-KH26-DaiLoc'!Q$2:Q$51,'BS-KH26-DaiLoc'!$A$2:$A$51,'Consol BS-DTRG'!$A6))-'BS-KH26-DaiLoc'!Q52-'BS-KH26-DaiLoc'!Q53</f>
        <v>3452811881.7882738</v>
      </c>
      <c r="CI6" s="702">
        <f>(SUMIFS('BS-KH26-DaiLoc'!R$2:R$51,'BS-KH26-DaiLoc'!$A$2:$A$51,'Consol BS-DTRG'!$A6))-'BS-KH26-DaiLoc'!R52-'BS-KH26-DaiLoc'!R53</f>
        <v>3500390677.0179229</v>
      </c>
      <c r="CJ6" s="702">
        <f>(SUMIFS('BS-KH26-DaiLoc'!S$2:S$51,'BS-KH26-DaiLoc'!$A$2:$A$51,'Consol BS-DTRG'!$A6))-'BS-KH26-DaiLoc'!S52-'BS-KH26-DaiLoc'!S53</f>
        <v>3694710596.6825442</v>
      </c>
      <c r="CK6" s="702">
        <f>(SUMIFS('BS-KH26-DaiLoc'!T$2:T$51,'BS-KH26-DaiLoc'!$A$2:$A$51,'Consol BS-DTRG'!$A6))-'BS-KH26-DaiLoc'!T52-'BS-KH26-DaiLoc'!T53</f>
        <v>3848795306.3716679</v>
      </c>
      <c r="CL6" s="702">
        <f>(SUMIFS('BS-KH26-DaiLoc'!U$2:U$51,'BS-KH26-DaiLoc'!$A$2:$A$51,'Consol BS-DTRG'!$A6))-'BS-KH26-DaiLoc'!U52-'BS-KH26-DaiLoc'!U53</f>
        <v>4032536643.1422648</v>
      </c>
      <c r="CM6" s="702">
        <f>(SUMIFS('BS-KH26-DaiLoc'!V$2:V$51,'BS-KH26-DaiLoc'!$A$2:$A$51,'Consol BS-DTRG'!$A6))-'BS-KH26-DaiLoc'!V52-'BS-KH26-DaiLoc'!V53</f>
        <v>4507726262.8990116</v>
      </c>
      <c r="CN6" s="702">
        <f>(SUMIFS('BS-KH26-DaiLoc'!W$2:W$51,'BS-KH26-DaiLoc'!$A$2:$A$51,'Consol BS-DTRG'!$A6))-'BS-KH26-DaiLoc'!W52-'BS-KH26-DaiLoc'!W53</f>
        <v>5024847633.3642178</v>
      </c>
      <c r="CO6" s="702">
        <f>(SUMIFS('BS-KH26-DaiLoc'!X$2:X$51,'BS-KH26-DaiLoc'!$A$2:$A$51,'Consol BS-DTRG'!$A6))-'BS-KH26-DaiLoc'!X52-'BS-KH26-DaiLoc'!X53</f>
        <v>5553597665.5026588</v>
      </c>
      <c r="CQ6" s="15">
        <f>122026325+CQ128</f>
        <v>117047136.1111111</v>
      </c>
      <c r="CR6" s="15">
        <f>CQ6+CR128</f>
        <v>112467947.22222221</v>
      </c>
      <c r="CS6" s="15">
        <f t="shared" ref="CS6:DB6" si="30">CR6+CS128</f>
        <v>107888758.33333331</v>
      </c>
      <c r="CT6" s="15">
        <f t="shared" si="30"/>
        <v>102909569.44444442</v>
      </c>
      <c r="CU6" s="15">
        <f t="shared" si="30"/>
        <v>98330380.555555522</v>
      </c>
      <c r="CV6" s="15">
        <f t="shared" si="30"/>
        <v>93751191.666666627</v>
      </c>
      <c r="CW6" s="15">
        <f t="shared" si="30"/>
        <v>89172002.777777731</v>
      </c>
      <c r="CX6" s="15">
        <f t="shared" si="30"/>
        <v>84192813.888888836</v>
      </c>
      <c r="CY6" s="15">
        <f t="shared" si="30"/>
        <v>79613624.99999994</v>
      </c>
      <c r="CZ6" s="15">
        <f t="shared" si="30"/>
        <v>75034436.111111045</v>
      </c>
      <c r="DA6" s="15">
        <f t="shared" si="30"/>
        <v>70055247.222222149</v>
      </c>
      <c r="DB6" s="15">
        <f t="shared" si="30"/>
        <v>65476058.333333261</v>
      </c>
    </row>
    <row r="7" spans="1:106" outlineLevel="1">
      <c r="A7" s="633">
        <v>4</v>
      </c>
      <c r="B7" s="612" t="s">
        <v>258</v>
      </c>
      <c r="C7" t="s">
        <v>518</v>
      </c>
      <c r="D7" s="15">
        <f t="shared" ref="D7" si="31">AD7+Q7</f>
        <v>700000000</v>
      </c>
      <c r="E7" s="15">
        <f t="shared" si="18"/>
        <v>700000000</v>
      </c>
      <c r="F7" s="15">
        <f t="shared" si="19"/>
        <v>700000000</v>
      </c>
      <c r="G7" s="15">
        <f t="shared" si="20"/>
        <v>700000000</v>
      </c>
      <c r="H7" s="15">
        <f t="shared" si="21"/>
        <v>700000000</v>
      </c>
      <c r="I7" s="15">
        <f t="shared" si="22"/>
        <v>700000000</v>
      </c>
      <c r="J7" s="15">
        <f t="shared" si="23"/>
        <v>700000000</v>
      </c>
      <c r="K7" s="15">
        <f t="shared" si="24"/>
        <v>700000000</v>
      </c>
      <c r="L7" s="15">
        <f t="shared" si="25"/>
        <v>700000000</v>
      </c>
      <c r="M7" s="15">
        <f t="shared" si="26"/>
        <v>700000000</v>
      </c>
      <c r="N7" s="15">
        <f t="shared" si="27"/>
        <v>700000000</v>
      </c>
      <c r="O7" s="15">
        <f t="shared" si="28"/>
        <v>700000000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D7" s="646">
        <f t="shared" ref="AD7" si="32">AQ7+BD7+BQ7+CD7+CQ7</f>
        <v>700000000</v>
      </c>
      <c r="AE7" s="15">
        <f t="shared" si="29"/>
        <v>700000000</v>
      </c>
      <c r="AF7" s="15">
        <f t="shared" si="29"/>
        <v>700000000</v>
      </c>
      <c r="AG7" s="15">
        <f t="shared" si="29"/>
        <v>700000000</v>
      </c>
      <c r="AH7" s="15">
        <f t="shared" si="29"/>
        <v>700000000</v>
      </c>
      <c r="AI7" s="15">
        <f t="shared" si="29"/>
        <v>700000000</v>
      </c>
      <c r="AJ7" s="15">
        <f t="shared" si="29"/>
        <v>700000000</v>
      </c>
      <c r="AK7" s="15">
        <f t="shared" si="29"/>
        <v>700000000</v>
      </c>
      <c r="AL7" s="15">
        <f t="shared" si="29"/>
        <v>700000000</v>
      </c>
      <c r="AM7" s="15">
        <f t="shared" si="29"/>
        <v>700000000</v>
      </c>
      <c r="AN7" s="15">
        <f t="shared" si="29"/>
        <v>700000000</v>
      </c>
      <c r="AO7" s="647">
        <f t="shared" si="29"/>
        <v>700000000</v>
      </c>
      <c r="AQ7" s="15">
        <f>SUMIFS('BS-KH26-DTR'!D$2:D$116,'BS-KH26-DTR'!$B$2:$B$116,$A7)</f>
        <v>0</v>
      </c>
      <c r="AR7" s="15">
        <f>SUMIFS('BS-KH26-DTR'!E$2:E$116,'BS-KH26-DTR'!$B$2:$B$116,$A7)</f>
        <v>0</v>
      </c>
      <c r="AS7" s="15">
        <f>SUMIFS('BS-KH26-DTR'!F$2:F$116,'BS-KH26-DTR'!$B$2:$B$116,$A7)</f>
        <v>0</v>
      </c>
      <c r="AT7" s="15">
        <f>SUMIFS('BS-KH26-DTR'!G$2:G$116,'BS-KH26-DTR'!$B$2:$B$116,$A7)</f>
        <v>0</v>
      </c>
      <c r="AU7" s="15">
        <f>SUMIFS('BS-KH26-DTR'!H$2:H$116,'BS-KH26-DTR'!$B$2:$B$116,$A7)</f>
        <v>0</v>
      </c>
      <c r="AV7" s="15">
        <f>SUMIFS('BS-KH26-DTR'!I$2:I$116,'BS-KH26-DTR'!$B$2:$B$116,$A7)</f>
        <v>0</v>
      </c>
      <c r="AW7" s="15">
        <f>SUMIFS('BS-KH26-DTR'!J$2:J$116,'BS-KH26-DTR'!$B$2:$B$116,$A7)</f>
        <v>0</v>
      </c>
      <c r="AX7" s="15">
        <f>SUMIFS('BS-KH26-DTR'!K$2:K$116,'BS-KH26-DTR'!$B$2:$B$116,$A7)</f>
        <v>0</v>
      </c>
      <c r="AY7" s="15">
        <f>SUMIFS('BS-KH26-DTR'!L$2:L$116,'BS-KH26-DTR'!$B$2:$B$116,$A7)</f>
        <v>0</v>
      </c>
      <c r="AZ7" s="15">
        <f>SUMIFS('BS-KH26-DTR'!M$2:M$116,'BS-KH26-DTR'!$B$2:$B$116,$A7)</f>
        <v>0</v>
      </c>
      <c r="BA7" s="15">
        <f>SUMIFS('BS-KH26-DTR'!N$2:N$116,'BS-KH26-DTR'!$B$2:$B$116,$A7)</f>
        <v>0</v>
      </c>
      <c r="BB7" s="15">
        <f>SUMIFS('BS-KH26-DTR'!O$2:O$116,'BS-KH26-DTR'!$B$2:$B$116,$A7)</f>
        <v>0</v>
      </c>
      <c r="BD7" s="15">
        <f>SUMIFS('BS-KH26-DongLam'!M$2:M$51,'BS-KH26-DongLam'!$A$2:$A$51,'Consol BS-DTRG'!$A7)</f>
        <v>0</v>
      </c>
      <c r="BE7" s="15">
        <f>SUMIFS('BS-KH26-DongLam'!N$2:N$51,'BS-KH26-DongLam'!$A$2:$A$51,'Consol BS-DTRG'!$A7)</f>
        <v>0</v>
      </c>
      <c r="BF7" s="15">
        <f>SUMIFS('BS-KH26-DongLam'!O$2:O$51,'BS-KH26-DongLam'!$A$2:$A$51,'Consol BS-DTRG'!$A7)</f>
        <v>0</v>
      </c>
      <c r="BG7" s="15">
        <f>SUMIFS('BS-KH26-DongLam'!P$2:P$51,'BS-KH26-DongLam'!$A$2:$A$51,'Consol BS-DTRG'!$A7)</f>
        <v>0</v>
      </c>
      <c r="BH7" s="15">
        <f>SUMIFS('BS-KH26-DongLam'!Q$2:Q$51,'BS-KH26-DongLam'!$A$2:$A$51,'Consol BS-DTRG'!$A7)</f>
        <v>0</v>
      </c>
      <c r="BI7" s="15">
        <f>SUMIFS('BS-KH26-DongLam'!R$2:R$51,'BS-KH26-DongLam'!$A$2:$A$51,'Consol BS-DTRG'!$A7)</f>
        <v>0</v>
      </c>
      <c r="BJ7" s="15">
        <f>SUMIFS('BS-KH26-DongLam'!S$2:S$51,'BS-KH26-DongLam'!$A$2:$A$51,'Consol BS-DTRG'!$A7)</f>
        <v>0</v>
      </c>
      <c r="BK7" s="15">
        <f>SUMIFS('BS-KH26-DongLam'!T$2:T$51,'BS-KH26-DongLam'!$A$2:$A$51,'Consol BS-DTRG'!$A7)</f>
        <v>0</v>
      </c>
      <c r="BL7" s="15">
        <f>SUMIFS('BS-KH26-DongLam'!U$2:U$51,'BS-KH26-DongLam'!$A$2:$A$51,'Consol BS-DTRG'!$A7)</f>
        <v>0</v>
      </c>
      <c r="BM7" s="15">
        <f>SUMIFS('BS-KH26-DongLam'!V$2:V$51,'BS-KH26-DongLam'!$A$2:$A$51,'Consol BS-DTRG'!$A7)</f>
        <v>0</v>
      </c>
      <c r="BN7" s="15">
        <f>SUMIFS('BS-KH26-DongLam'!W$2:W$51,'BS-KH26-DongLam'!$A$2:$A$51,'Consol BS-DTRG'!$A7)</f>
        <v>0</v>
      </c>
      <c r="BO7" s="15">
        <f>SUMIFS('BS-KH26-DongLam'!X$2:X$51,'BS-KH26-DongLam'!$A$2:$A$51,'Consol BS-DTRG'!$A7)</f>
        <v>0</v>
      </c>
      <c r="BQ7" s="15">
        <f>SUMIFS('BS-KH26-KhanhNga'!M$2:M$51,'BS-KH26-KhanhNga'!$A$2:$A$51,'Consol BS-DTRG'!$A7)</f>
        <v>0</v>
      </c>
      <c r="BR7" s="15">
        <f>SUMIFS('BS-KH26-KhanhNga'!N$2:N$51,'BS-KH26-KhanhNga'!$A$2:$A$51,'Consol BS-DTRG'!$A7)</f>
        <v>0</v>
      </c>
      <c r="BS7" s="15">
        <f>SUMIFS('BS-KH26-KhanhNga'!O$2:O$51,'BS-KH26-KhanhNga'!$A$2:$A$51,'Consol BS-DTRG'!$A7)</f>
        <v>0</v>
      </c>
      <c r="BT7" s="15">
        <f>SUMIFS('BS-KH26-KhanhNga'!P$2:P$51,'BS-KH26-KhanhNga'!$A$2:$A$51,'Consol BS-DTRG'!$A7)</f>
        <v>0</v>
      </c>
      <c r="BU7" s="15">
        <f>SUMIFS('BS-KH26-KhanhNga'!Q$2:Q$51,'BS-KH26-KhanhNga'!$A$2:$A$51,'Consol BS-DTRG'!$A7)</f>
        <v>0</v>
      </c>
      <c r="BV7" s="15">
        <f>SUMIFS('BS-KH26-KhanhNga'!R$2:R$51,'BS-KH26-KhanhNga'!$A$2:$A$51,'Consol BS-DTRG'!$A7)</f>
        <v>0</v>
      </c>
      <c r="BW7" s="15">
        <f>SUMIFS('BS-KH26-KhanhNga'!S$2:S$51,'BS-KH26-KhanhNga'!$A$2:$A$51,'Consol BS-DTRG'!$A7)</f>
        <v>0</v>
      </c>
      <c r="BX7" s="15">
        <f>SUMIFS('BS-KH26-KhanhNga'!T$2:T$51,'BS-KH26-KhanhNga'!$A$2:$A$51,'Consol BS-DTRG'!$A7)</f>
        <v>0</v>
      </c>
      <c r="BY7" s="15">
        <f>SUMIFS('BS-KH26-KhanhNga'!U$2:U$51,'BS-KH26-KhanhNga'!$A$2:$A$51,'Consol BS-DTRG'!$A7)</f>
        <v>0</v>
      </c>
      <c r="BZ7" s="15">
        <f>SUMIFS('BS-KH26-KhanhNga'!V$2:V$51,'BS-KH26-KhanhNga'!$A$2:$A$51,'Consol BS-DTRG'!$A7)</f>
        <v>0</v>
      </c>
      <c r="CA7" s="15">
        <f>SUMIFS('BS-KH26-KhanhNga'!W$2:W$51,'BS-KH26-KhanhNga'!$A$2:$A$51,'Consol BS-DTRG'!$A7)</f>
        <v>0</v>
      </c>
      <c r="CB7" s="15">
        <f>SUMIFS('BS-KH26-KhanhNga'!X$2:X$51,'BS-KH26-KhanhNga'!$A$2:$A$51,'Consol BS-DTRG'!$A7)</f>
        <v>0</v>
      </c>
      <c r="CD7" s="15">
        <f>SUMIFS('BS-KH26-DaiLoc'!M$2:M$51,'BS-KH26-DaiLoc'!$A$2:$A$51,'Consol BS-DTRG'!$A7)</f>
        <v>0</v>
      </c>
      <c r="CE7" s="15">
        <f>SUMIFS('BS-KH26-DaiLoc'!N$2:N$51,'BS-KH26-DaiLoc'!$A$2:$A$51,'Consol BS-DTRG'!$A7)</f>
        <v>0</v>
      </c>
      <c r="CF7" s="15">
        <f>SUMIFS('BS-KH26-DaiLoc'!O$2:O$51,'BS-KH26-DaiLoc'!$A$2:$A$51,'Consol BS-DTRG'!$A7)</f>
        <v>0</v>
      </c>
      <c r="CG7" s="15">
        <f>SUMIFS('BS-KH26-DaiLoc'!P$2:P$51,'BS-KH26-DaiLoc'!$A$2:$A$51,'Consol BS-DTRG'!$A7)</f>
        <v>0</v>
      </c>
      <c r="CH7" s="15">
        <f>SUMIFS('BS-KH26-DaiLoc'!Q$2:Q$51,'BS-KH26-DaiLoc'!$A$2:$A$51,'Consol BS-DTRG'!$A7)</f>
        <v>0</v>
      </c>
      <c r="CI7" s="15">
        <f>SUMIFS('BS-KH26-DaiLoc'!R$2:R$51,'BS-KH26-DaiLoc'!$A$2:$A$51,'Consol BS-DTRG'!$A7)</f>
        <v>0</v>
      </c>
      <c r="CJ7" s="15">
        <f>SUMIFS('BS-KH26-DaiLoc'!S$2:S$51,'BS-KH26-DaiLoc'!$A$2:$A$51,'Consol BS-DTRG'!$A7)</f>
        <v>0</v>
      </c>
      <c r="CK7" s="15">
        <f>SUMIFS('BS-KH26-DaiLoc'!T$2:T$51,'BS-KH26-DaiLoc'!$A$2:$A$51,'Consol BS-DTRG'!$A7)</f>
        <v>0</v>
      </c>
      <c r="CL7" s="15">
        <f>SUMIFS('BS-KH26-DaiLoc'!U$2:U$51,'BS-KH26-DaiLoc'!$A$2:$A$51,'Consol BS-DTRG'!$A7)</f>
        <v>0</v>
      </c>
      <c r="CM7" s="15">
        <f>SUMIFS('BS-KH26-DaiLoc'!V$2:V$51,'BS-KH26-DaiLoc'!$A$2:$A$51,'Consol BS-DTRG'!$A7)</f>
        <v>0</v>
      </c>
      <c r="CN7" s="15">
        <f>SUMIFS('BS-KH26-DaiLoc'!W$2:W$51,'BS-KH26-DaiLoc'!$A$2:$A$51,'Consol BS-DTRG'!$A7)</f>
        <v>0</v>
      </c>
      <c r="CO7" s="15">
        <f>SUMIFS('BS-KH26-DaiLoc'!X$2:X$51,'BS-KH26-DaiLoc'!$A$2:$A$51,'Consol BS-DTRG'!$A7)</f>
        <v>0</v>
      </c>
      <c r="CQ7" s="15">
        <v>700000000</v>
      </c>
      <c r="CR7" s="15">
        <f t="shared" ref="CR7" si="33">CQ7</f>
        <v>700000000</v>
      </c>
      <c r="CS7" s="15">
        <f>CR7</f>
        <v>700000000</v>
      </c>
      <c r="CT7" s="15">
        <f t="shared" ref="CT7:DB7" si="34">CS7</f>
        <v>700000000</v>
      </c>
      <c r="CU7" s="15">
        <f t="shared" si="34"/>
        <v>700000000</v>
      </c>
      <c r="CV7" s="15">
        <f t="shared" si="34"/>
        <v>700000000</v>
      </c>
      <c r="CW7" s="15">
        <f t="shared" si="34"/>
        <v>700000000</v>
      </c>
      <c r="CX7" s="15">
        <f t="shared" si="34"/>
        <v>700000000</v>
      </c>
      <c r="CY7" s="15">
        <f t="shared" si="34"/>
        <v>700000000</v>
      </c>
      <c r="CZ7" s="15">
        <f t="shared" si="34"/>
        <v>700000000</v>
      </c>
      <c r="DA7" s="15">
        <f t="shared" si="34"/>
        <v>700000000</v>
      </c>
      <c r="DB7" s="15">
        <f t="shared" si="34"/>
        <v>700000000</v>
      </c>
    </row>
    <row r="8" spans="1:106">
      <c r="A8" s="1">
        <v>5</v>
      </c>
      <c r="B8" s="611" t="s">
        <v>259</v>
      </c>
      <c r="D8" s="16">
        <f t="shared" ref="D8:O8" si="35">SUM(D9:D14)</f>
        <v>33042000000</v>
      </c>
      <c r="E8" s="16">
        <f t="shared" si="35"/>
        <v>33042000000</v>
      </c>
      <c r="F8" s="16">
        <f t="shared" si="35"/>
        <v>33042000000</v>
      </c>
      <c r="G8" s="16">
        <f t="shared" si="35"/>
        <v>33042000000</v>
      </c>
      <c r="H8" s="16">
        <f t="shared" si="35"/>
        <v>33042000000</v>
      </c>
      <c r="I8" s="16">
        <f t="shared" si="35"/>
        <v>33042000000</v>
      </c>
      <c r="J8" s="16">
        <f t="shared" si="35"/>
        <v>33042000000</v>
      </c>
      <c r="K8" s="16">
        <f t="shared" si="35"/>
        <v>33042000000</v>
      </c>
      <c r="L8" s="16">
        <f t="shared" si="35"/>
        <v>33042000000</v>
      </c>
      <c r="M8" s="16">
        <f t="shared" si="35"/>
        <v>33042000000</v>
      </c>
      <c r="N8" s="16">
        <f t="shared" si="35"/>
        <v>33042000000</v>
      </c>
      <c r="O8" s="16">
        <f t="shared" si="35"/>
        <v>33042000000</v>
      </c>
      <c r="Q8" s="16">
        <f t="shared" ref="Q8:AB8" si="36">SUM(Q9:Q14)</f>
        <v>0</v>
      </c>
      <c r="R8" s="16">
        <f t="shared" si="36"/>
        <v>0</v>
      </c>
      <c r="S8" s="16">
        <f t="shared" si="36"/>
        <v>0</v>
      </c>
      <c r="T8" s="16">
        <f t="shared" si="36"/>
        <v>0</v>
      </c>
      <c r="U8" s="16">
        <f t="shared" si="36"/>
        <v>0</v>
      </c>
      <c r="V8" s="16">
        <f t="shared" si="36"/>
        <v>0</v>
      </c>
      <c r="W8" s="16">
        <f t="shared" si="36"/>
        <v>0</v>
      </c>
      <c r="X8" s="16">
        <f t="shared" si="36"/>
        <v>0</v>
      </c>
      <c r="Y8" s="16">
        <f t="shared" si="36"/>
        <v>0</v>
      </c>
      <c r="Z8" s="16">
        <f t="shared" si="36"/>
        <v>0</v>
      </c>
      <c r="AA8" s="16">
        <f t="shared" si="36"/>
        <v>0</v>
      </c>
      <c r="AB8" s="16">
        <f t="shared" si="36"/>
        <v>0</v>
      </c>
      <c r="AD8" s="648">
        <f t="shared" ref="AD8" si="37">SUM(AD9:AD14)</f>
        <v>33042000000</v>
      </c>
      <c r="AE8" s="16">
        <f t="shared" ref="AE8:AO8" si="38">SUM(AE9:AE14)</f>
        <v>33042000000</v>
      </c>
      <c r="AF8" s="16">
        <f t="shared" si="38"/>
        <v>33042000000</v>
      </c>
      <c r="AG8" s="16">
        <f t="shared" si="38"/>
        <v>33042000000</v>
      </c>
      <c r="AH8" s="16">
        <f t="shared" si="38"/>
        <v>33042000000</v>
      </c>
      <c r="AI8" s="16">
        <f t="shared" si="38"/>
        <v>33042000000</v>
      </c>
      <c r="AJ8" s="16">
        <f t="shared" si="38"/>
        <v>33042000000</v>
      </c>
      <c r="AK8" s="16">
        <f t="shared" si="38"/>
        <v>33042000000</v>
      </c>
      <c r="AL8" s="16">
        <f t="shared" si="38"/>
        <v>33042000000</v>
      </c>
      <c r="AM8" s="16">
        <f t="shared" si="38"/>
        <v>33042000000</v>
      </c>
      <c r="AN8" s="16">
        <f t="shared" si="38"/>
        <v>33042000000</v>
      </c>
      <c r="AO8" s="649">
        <f t="shared" si="38"/>
        <v>33042000000</v>
      </c>
      <c r="AQ8" s="16">
        <f t="shared" ref="AQ8:BB8" si="39">SUM(AQ9:AQ14)</f>
        <v>32840000000</v>
      </c>
      <c r="AR8" s="16">
        <f t="shared" si="39"/>
        <v>32840000000</v>
      </c>
      <c r="AS8" s="16">
        <f t="shared" si="39"/>
        <v>32840000000</v>
      </c>
      <c r="AT8" s="16">
        <f t="shared" si="39"/>
        <v>32840000000</v>
      </c>
      <c r="AU8" s="16">
        <f t="shared" si="39"/>
        <v>32840000000</v>
      </c>
      <c r="AV8" s="16">
        <f t="shared" si="39"/>
        <v>32840000000</v>
      </c>
      <c r="AW8" s="16">
        <f t="shared" si="39"/>
        <v>32840000000</v>
      </c>
      <c r="AX8" s="16">
        <f t="shared" si="39"/>
        <v>32840000000</v>
      </c>
      <c r="AY8" s="16">
        <f t="shared" si="39"/>
        <v>32840000000</v>
      </c>
      <c r="AZ8" s="16">
        <f t="shared" si="39"/>
        <v>32840000000</v>
      </c>
      <c r="BA8" s="16">
        <f t="shared" si="39"/>
        <v>32840000000</v>
      </c>
      <c r="BB8" s="16">
        <f t="shared" si="39"/>
        <v>32840000000</v>
      </c>
      <c r="BD8" s="16">
        <f t="shared" ref="BD8:BO8" si="40">SUM(BD9:BD14)</f>
        <v>0</v>
      </c>
      <c r="BE8" s="16">
        <f t="shared" si="40"/>
        <v>0</v>
      </c>
      <c r="BF8" s="16">
        <f t="shared" si="40"/>
        <v>0</v>
      </c>
      <c r="BG8" s="16">
        <f t="shared" si="40"/>
        <v>0</v>
      </c>
      <c r="BH8" s="16">
        <f t="shared" si="40"/>
        <v>0</v>
      </c>
      <c r="BI8" s="16">
        <f t="shared" si="40"/>
        <v>0</v>
      </c>
      <c r="BJ8" s="16">
        <f t="shared" si="40"/>
        <v>0</v>
      </c>
      <c r="BK8" s="16">
        <f t="shared" si="40"/>
        <v>0</v>
      </c>
      <c r="BL8" s="16">
        <f t="shared" si="40"/>
        <v>0</v>
      </c>
      <c r="BM8" s="16">
        <f t="shared" si="40"/>
        <v>0</v>
      </c>
      <c r="BN8" s="16">
        <f t="shared" si="40"/>
        <v>0</v>
      </c>
      <c r="BO8" s="16">
        <f t="shared" si="40"/>
        <v>0</v>
      </c>
      <c r="BQ8" s="16">
        <f t="shared" ref="BQ8:CB8" si="41">SUM(BQ9:BQ14)</f>
        <v>0</v>
      </c>
      <c r="BR8" s="16">
        <f t="shared" si="41"/>
        <v>0</v>
      </c>
      <c r="BS8" s="16">
        <f t="shared" si="41"/>
        <v>0</v>
      </c>
      <c r="BT8" s="16">
        <f t="shared" si="41"/>
        <v>0</v>
      </c>
      <c r="BU8" s="16">
        <f t="shared" si="41"/>
        <v>0</v>
      </c>
      <c r="BV8" s="16">
        <f t="shared" si="41"/>
        <v>0</v>
      </c>
      <c r="BW8" s="16">
        <f t="shared" si="41"/>
        <v>0</v>
      </c>
      <c r="BX8" s="16">
        <f t="shared" si="41"/>
        <v>0</v>
      </c>
      <c r="BY8" s="16">
        <f t="shared" si="41"/>
        <v>0</v>
      </c>
      <c r="BZ8" s="16">
        <f t="shared" si="41"/>
        <v>0</v>
      </c>
      <c r="CA8" s="16">
        <f t="shared" si="41"/>
        <v>0</v>
      </c>
      <c r="CB8" s="16">
        <f t="shared" si="41"/>
        <v>0</v>
      </c>
      <c r="CD8" s="16">
        <f t="shared" ref="CD8:CO8" si="42">SUM(CD9:CD14)</f>
        <v>202000000</v>
      </c>
      <c r="CE8" s="16">
        <f t="shared" si="42"/>
        <v>202000000</v>
      </c>
      <c r="CF8" s="16">
        <f t="shared" si="42"/>
        <v>202000000</v>
      </c>
      <c r="CG8" s="16">
        <f t="shared" si="42"/>
        <v>202000000</v>
      </c>
      <c r="CH8" s="16">
        <f t="shared" si="42"/>
        <v>202000000</v>
      </c>
      <c r="CI8" s="16">
        <f t="shared" si="42"/>
        <v>202000000</v>
      </c>
      <c r="CJ8" s="16">
        <f t="shared" si="42"/>
        <v>202000000</v>
      </c>
      <c r="CK8" s="16">
        <f t="shared" si="42"/>
        <v>202000000</v>
      </c>
      <c r="CL8" s="16">
        <f t="shared" si="42"/>
        <v>202000000</v>
      </c>
      <c r="CM8" s="16">
        <f t="shared" si="42"/>
        <v>202000000</v>
      </c>
      <c r="CN8" s="16">
        <f t="shared" si="42"/>
        <v>202000000</v>
      </c>
      <c r="CO8" s="16">
        <f t="shared" si="42"/>
        <v>202000000</v>
      </c>
      <c r="CQ8" s="16">
        <f t="shared" ref="CQ8:DB8" si="43">SUM(CQ9:CQ14)</f>
        <v>0</v>
      </c>
      <c r="CR8" s="16">
        <f t="shared" si="43"/>
        <v>0</v>
      </c>
      <c r="CS8" s="16">
        <f t="shared" si="43"/>
        <v>0</v>
      </c>
      <c r="CT8" s="16">
        <f t="shared" si="43"/>
        <v>0</v>
      </c>
      <c r="CU8" s="16">
        <f t="shared" si="43"/>
        <v>0</v>
      </c>
      <c r="CV8" s="16">
        <f t="shared" si="43"/>
        <v>0</v>
      </c>
      <c r="CW8" s="16">
        <f t="shared" si="43"/>
        <v>0</v>
      </c>
      <c r="CX8" s="16">
        <f t="shared" si="43"/>
        <v>0</v>
      </c>
      <c r="CY8" s="16">
        <f t="shared" si="43"/>
        <v>0</v>
      </c>
      <c r="CZ8" s="16">
        <f t="shared" si="43"/>
        <v>0</v>
      </c>
      <c r="DA8" s="16">
        <f t="shared" si="43"/>
        <v>0</v>
      </c>
      <c r="DB8" s="16">
        <f t="shared" si="43"/>
        <v>0</v>
      </c>
    </row>
    <row r="9" spans="1:106" hidden="1" outlineLevel="1">
      <c r="A9" s="633">
        <v>6</v>
      </c>
      <c r="B9" s="612" t="s">
        <v>260</v>
      </c>
      <c r="C9" t="s">
        <v>518</v>
      </c>
      <c r="D9" s="15">
        <f t="shared" ref="D9:D14" si="44">AD9+Q9</f>
        <v>0</v>
      </c>
      <c r="E9" s="15">
        <f t="shared" ref="E9:E14" si="45">AE9+R9</f>
        <v>0</v>
      </c>
      <c r="F9" s="15">
        <f t="shared" ref="F9:F14" si="46">AF9+S9</f>
        <v>0</v>
      </c>
      <c r="G9" s="15">
        <f t="shared" ref="G9:G14" si="47">AG9+T9</f>
        <v>0</v>
      </c>
      <c r="H9" s="15">
        <f t="shared" ref="H9:H14" si="48">AH9+U9</f>
        <v>0</v>
      </c>
      <c r="I9" s="15">
        <f t="shared" ref="I9:I14" si="49">AI9+V9</f>
        <v>0</v>
      </c>
      <c r="J9" s="15">
        <f t="shared" ref="J9:J14" si="50">AJ9+W9</f>
        <v>0</v>
      </c>
      <c r="K9" s="15">
        <f t="shared" ref="K9:K14" si="51">AK9+X9</f>
        <v>0</v>
      </c>
      <c r="L9" s="15">
        <f t="shared" ref="L9:L14" si="52">AL9+Y9</f>
        <v>0</v>
      </c>
      <c r="M9" s="15">
        <f t="shared" ref="M9:M14" si="53">AM9+Z9</f>
        <v>0</v>
      </c>
      <c r="N9" s="15">
        <f t="shared" ref="N9:N14" si="54">AN9+AA9</f>
        <v>0</v>
      </c>
      <c r="O9" s="15">
        <f t="shared" ref="O9:O14" si="55">AO9+AB9</f>
        <v>0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D9" s="646">
        <f t="shared" ref="AD9:AD14" si="56">AQ9+BD9+BQ9+CD9+CQ9</f>
        <v>0</v>
      </c>
      <c r="AE9" s="15">
        <f t="shared" ref="AE9:AE14" si="57">AR9+BE9+BR9+CE9+CR9</f>
        <v>0</v>
      </c>
      <c r="AF9" s="15">
        <f t="shared" ref="AF9:AF14" si="58">AS9+BF9+BS9+CF9+CS9</f>
        <v>0</v>
      </c>
      <c r="AG9" s="15">
        <f t="shared" ref="AG9:AG14" si="59">AT9+BG9+BT9+CG9+CT9</f>
        <v>0</v>
      </c>
      <c r="AH9" s="15">
        <f t="shared" ref="AH9:AH14" si="60">AU9+BH9+BU9+CH9+CU9</f>
        <v>0</v>
      </c>
      <c r="AI9" s="15">
        <f t="shared" ref="AI9:AI14" si="61">AV9+BI9+BV9+CI9+CV9</f>
        <v>0</v>
      </c>
      <c r="AJ9" s="15">
        <f t="shared" ref="AJ9:AJ14" si="62">AW9+BJ9+BW9+CJ9+CW9</f>
        <v>0</v>
      </c>
      <c r="AK9" s="15">
        <f t="shared" ref="AK9:AK14" si="63">AX9+BK9+BX9+CK9+CX9</f>
        <v>0</v>
      </c>
      <c r="AL9" s="15">
        <f t="shared" ref="AL9:AL14" si="64">AY9+BL9+BY9+CL9+CY9</f>
        <v>0</v>
      </c>
      <c r="AM9" s="15">
        <f t="shared" ref="AM9:AM14" si="65">AZ9+BM9+BZ9+CM9+CZ9</f>
        <v>0</v>
      </c>
      <c r="AN9" s="15">
        <f t="shared" ref="AN9:AN14" si="66">BA9+BN9+CA9+CN9+DA9</f>
        <v>0</v>
      </c>
      <c r="AO9" s="647">
        <f t="shared" ref="AO9:AO14" si="67">BB9+BO9+CB9+CO9+DB9</f>
        <v>0</v>
      </c>
      <c r="AQ9" s="15">
        <f>SUMIFS('BS-KH26-DTR'!D$2:D$116,'BS-KH26-DTR'!$B$2:$B$116,$A9)</f>
        <v>0</v>
      </c>
      <c r="AR9" s="15">
        <f>SUMIFS('BS-KH26-DTR'!E$2:E$116,'BS-KH26-DTR'!$B$2:$B$116,$A9)</f>
        <v>0</v>
      </c>
      <c r="AS9" s="15">
        <f>SUMIFS('BS-KH26-DTR'!F$2:F$116,'BS-KH26-DTR'!$B$2:$B$116,$A9)</f>
        <v>0</v>
      </c>
      <c r="AT9" s="15">
        <f>SUMIFS('BS-KH26-DTR'!G$2:G$116,'BS-KH26-DTR'!$B$2:$B$116,$A9)</f>
        <v>0</v>
      </c>
      <c r="AU9" s="15">
        <f>SUMIFS('BS-KH26-DTR'!H$2:H$116,'BS-KH26-DTR'!$B$2:$B$116,$A9)</f>
        <v>0</v>
      </c>
      <c r="AV9" s="15">
        <f>SUMIFS('BS-KH26-DTR'!I$2:I$116,'BS-KH26-DTR'!$B$2:$B$116,$A9)</f>
        <v>0</v>
      </c>
      <c r="AW9" s="15">
        <f>SUMIFS('BS-KH26-DTR'!J$2:J$116,'BS-KH26-DTR'!$B$2:$B$116,$A9)</f>
        <v>0</v>
      </c>
      <c r="AX9" s="15">
        <f>SUMIFS('BS-KH26-DTR'!K$2:K$116,'BS-KH26-DTR'!$B$2:$B$116,$A9)</f>
        <v>0</v>
      </c>
      <c r="AY9" s="15">
        <f>SUMIFS('BS-KH26-DTR'!L$2:L$116,'BS-KH26-DTR'!$B$2:$B$116,$A9)</f>
        <v>0</v>
      </c>
      <c r="AZ9" s="15">
        <f>SUMIFS('BS-KH26-DTR'!M$2:M$116,'BS-KH26-DTR'!$B$2:$B$116,$A9)</f>
        <v>0</v>
      </c>
      <c r="BA9" s="15">
        <f>SUMIFS('BS-KH26-DTR'!N$2:N$116,'BS-KH26-DTR'!$B$2:$B$116,$A9)</f>
        <v>0</v>
      </c>
      <c r="BB9" s="15">
        <f>SUMIFS('BS-KH26-DTR'!O$2:O$116,'BS-KH26-DTR'!$B$2:$B$116,$A9)</f>
        <v>0</v>
      </c>
      <c r="BD9" s="15">
        <f>SUMIFS('BS-KH26-DongLam'!M$2:M$51,'BS-KH26-DongLam'!$A$2:$A$51,'Consol BS-DTRG'!$A9)</f>
        <v>0</v>
      </c>
      <c r="BE9" s="15">
        <f>SUMIFS('BS-KH26-DongLam'!N$2:N$51,'BS-KH26-DongLam'!$A$2:$A$51,'Consol BS-DTRG'!$A9)</f>
        <v>0</v>
      </c>
      <c r="BF9" s="15">
        <f>SUMIFS('BS-KH26-DongLam'!O$2:O$51,'BS-KH26-DongLam'!$A$2:$A$51,'Consol BS-DTRG'!$A9)</f>
        <v>0</v>
      </c>
      <c r="BG9" s="15">
        <f>SUMIFS('BS-KH26-DongLam'!P$2:P$51,'BS-KH26-DongLam'!$A$2:$A$51,'Consol BS-DTRG'!$A9)</f>
        <v>0</v>
      </c>
      <c r="BH9" s="15">
        <f>SUMIFS('BS-KH26-DongLam'!Q$2:Q$51,'BS-KH26-DongLam'!$A$2:$A$51,'Consol BS-DTRG'!$A9)</f>
        <v>0</v>
      </c>
      <c r="BI9" s="15">
        <f>SUMIFS('BS-KH26-DongLam'!R$2:R$51,'BS-KH26-DongLam'!$A$2:$A$51,'Consol BS-DTRG'!$A9)</f>
        <v>0</v>
      </c>
      <c r="BJ9" s="15">
        <f>SUMIFS('BS-KH26-DongLam'!S$2:S$51,'BS-KH26-DongLam'!$A$2:$A$51,'Consol BS-DTRG'!$A9)</f>
        <v>0</v>
      </c>
      <c r="BK9" s="15">
        <f>SUMIFS('BS-KH26-DongLam'!T$2:T$51,'BS-KH26-DongLam'!$A$2:$A$51,'Consol BS-DTRG'!$A9)</f>
        <v>0</v>
      </c>
      <c r="BL9" s="15">
        <f>SUMIFS('BS-KH26-DongLam'!U$2:U$51,'BS-KH26-DongLam'!$A$2:$A$51,'Consol BS-DTRG'!$A9)</f>
        <v>0</v>
      </c>
      <c r="BM9" s="15">
        <f>SUMIFS('BS-KH26-DongLam'!V$2:V$51,'BS-KH26-DongLam'!$A$2:$A$51,'Consol BS-DTRG'!$A9)</f>
        <v>0</v>
      </c>
      <c r="BN9" s="15">
        <f>SUMIFS('BS-KH26-DongLam'!W$2:W$51,'BS-KH26-DongLam'!$A$2:$A$51,'Consol BS-DTRG'!$A9)</f>
        <v>0</v>
      </c>
      <c r="BO9" s="15">
        <f>SUMIFS('BS-KH26-DongLam'!X$2:X$51,'BS-KH26-DongLam'!$A$2:$A$51,'Consol BS-DTRG'!$A9)</f>
        <v>0</v>
      </c>
      <c r="BQ9" s="15">
        <f>SUMIFS('BS-KH26-KhanhNga'!M$2:M$51,'BS-KH26-KhanhNga'!$A$2:$A$51,'Consol BS-DTRG'!$A9)</f>
        <v>0</v>
      </c>
      <c r="BR9" s="15">
        <f>SUMIFS('BS-KH26-KhanhNga'!N$2:N$51,'BS-KH26-KhanhNga'!$A$2:$A$51,'Consol BS-DTRG'!$A9)</f>
        <v>0</v>
      </c>
      <c r="BS9" s="15">
        <f>SUMIFS('BS-KH26-KhanhNga'!O$2:O$51,'BS-KH26-KhanhNga'!$A$2:$A$51,'Consol BS-DTRG'!$A9)</f>
        <v>0</v>
      </c>
      <c r="BT9" s="15">
        <f>SUMIFS('BS-KH26-KhanhNga'!P$2:P$51,'BS-KH26-KhanhNga'!$A$2:$A$51,'Consol BS-DTRG'!$A9)</f>
        <v>0</v>
      </c>
      <c r="BU9" s="15">
        <f>SUMIFS('BS-KH26-KhanhNga'!Q$2:Q$51,'BS-KH26-KhanhNga'!$A$2:$A$51,'Consol BS-DTRG'!$A9)</f>
        <v>0</v>
      </c>
      <c r="BV9" s="15">
        <f>SUMIFS('BS-KH26-KhanhNga'!R$2:R$51,'BS-KH26-KhanhNga'!$A$2:$A$51,'Consol BS-DTRG'!$A9)</f>
        <v>0</v>
      </c>
      <c r="BW9" s="15">
        <f>SUMIFS('BS-KH26-KhanhNga'!S$2:S$51,'BS-KH26-KhanhNga'!$A$2:$A$51,'Consol BS-DTRG'!$A9)</f>
        <v>0</v>
      </c>
      <c r="BX9" s="15">
        <f>SUMIFS('BS-KH26-KhanhNga'!T$2:T$51,'BS-KH26-KhanhNga'!$A$2:$A$51,'Consol BS-DTRG'!$A9)</f>
        <v>0</v>
      </c>
      <c r="BY9" s="15">
        <f>SUMIFS('BS-KH26-KhanhNga'!U$2:U$51,'BS-KH26-KhanhNga'!$A$2:$A$51,'Consol BS-DTRG'!$A9)</f>
        <v>0</v>
      </c>
      <c r="BZ9" s="15">
        <f>SUMIFS('BS-KH26-KhanhNga'!V$2:V$51,'BS-KH26-KhanhNga'!$A$2:$A$51,'Consol BS-DTRG'!$A9)</f>
        <v>0</v>
      </c>
      <c r="CA9" s="15">
        <f>SUMIFS('BS-KH26-KhanhNga'!W$2:W$51,'BS-KH26-KhanhNga'!$A$2:$A$51,'Consol BS-DTRG'!$A9)</f>
        <v>0</v>
      </c>
      <c r="CB9" s="15">
        <f>SUMIFS('BS-KH26-KhanhNga'!X$2:X$51,'BS-KH26-KhanhNga'!$A$2:$A$51,'Consol BS-DTRG'!$A9)</f>
        <v>0</v>
      </c>
      <c r="CD9" s="15">
        <f>SUMIFS('BS-KH26-DaiLoc'!M$2:M$51,'BS-KH26-DaiLoc'!$A$2:$A$51,'Consol BS-DTRG'!$A9)</f>
        <v>0</v>
      </c>
      <c r="CE9" s="15">
        <f>SUMIFS('BS-KH26-DaiLoc'!N$2:N$51,'BS-KH26-DaiLoc'!$A$2:$A$51,'Consol BS-DTRG'!$A9)</f>
        <v>0</v>
      </c>
      <c r="CF9" s="15">
        <f>SUMIFS('BS-KH26-DaiLoc'!O$2:O$51,'BS-KH26-DaiLoc'!$A$2:$A$51,'Consol BS-DTRG'!$A9)</f>
        <v>0</v>
      </c>
      <c r="CG9" s="15">
        <f>SUMIFS('BS-KH26-DaiLoc'!P$2:P$51,'BS-KH26-DaiLoc'!$A$2:$A$51,'Consol BS-DTRG'!$A9)</f>
        <v>0</v>
      </c>
      <c r="CH9" s="15">
        <f>SUMIFS('BS-KH26-DaiLoc'!Q$2:Q$51,'BS-KH26-DaiLoc'!$A$2:$A$51,'Consol BS-DTRG'!$A9)</f>
        <v>0</v>
      </c>
      <c r="CI9" s="15">
        <f>SUMIFS('BS-KH26-DaiLoc'!R$2:R$51,'BS-KH26-DaiLoc'!$A$2:$A$51,'Consol BS-DTRG'!$A9)</f>
        <v>0</v>
      </c>
      <c r="CJ9" s="15">
        <f>SUMIFS('BS-KH26-DaiLoc'!S$2:S$51,'BS-KH26-DaiLoc'!$A$2:$A$51,'Consol BS-DTRG'!$A9)</f>
        <v>0</v>
      </c>
      <c r="CK9" s="15">
        <f>SUMIFS('BS-KH26-DaiLoc'!T$2:T$51,'BS-KH26-DaiLoc'!$A$2:$A$51,'Consol BS-DTRG'!$A9)</f>
        <v>0</v>
      </c>
      <c r="CL9" s="15">
        <f>SUMIFS('BS-KH26-DaiLoc'!U$2:U$51,'BS-KH26-DaiLoc'!$A$2:$A$51,'Consol BS-DTRG'!$A9)</f>
        <v>0</v>
      </c>
      <c r="CM9" s="15">
        <f>SUMIFS('BS-KH26-DaiLoc'!V$2:V$51,'BS-KH26-DaiLoc'!$A$2:$A$51,'Consol BS-DTRG'!$A9)</f>
        <v>0</v>
      </c>
      <c r="CN9" s="15">
        <f>SUMIFS('BS-KH26-DaiLoc'!W$2:W$51,'BS-KH26-DaiLoc'!$A$2:$A$51,'Consol BS-DTRG'!$A9)</f>
        <v>0</v>
      </c>
      <c r="CO9" s="15">
        <f>SUMIFS('BS-KH26-DaiLoc'!X$2:X$51,'BS-KH26-DaiLoc'!$A$2:$A$51,'Consol BS-DTRG'!$A9)</f>
        <v>0</v>
      </c>
      <c r="CQ9" s="15">
        <v>0</v>
      </c>
      <c r="CR9" s="15">
        <f t="shared" ref="CR9:DB14" si="68">CQ9</f>
        <v>0</v>
      </c>
      <c r="CS9" s="15">
        <f t="shared" si="68"/>
        <v>0</v>
      </c>
      <c r="CT9" s="15">
        <f t="shared" si="68"/>
        <v>0</v>
      </c>
      <c r="CU9" s="15">
        <f t="shared" si="68"/>
        <v>0</v>
      </c>
      <c r="CV9" s="15">
        <f t="shared" si="68"/>
        <v>0</v>
      </c>
      <c r="CW9" s="15">
        <f t="shared" si="68"/>
        <v>0</v>
      </c>
      <c r="CX9" s="15">
        <f t="shared" si="68"/>
        <v>0</v>
      </c>
      <c r="CY9" s="15">
        <f t="shared" si="68"/>
        <v>0</v>
      </c>
      <c r="CZ9" s="15">
        <f t="shared" si="68"/>
        <v>0</v>
      </c>
      <c r="DA9" s="15">
        <f t="shared" si="68"/>
        <v>0</v>
      </c>
      <c r="DB9" s="15">
        <f t="shared" si="68"/>
        <v>0</v>
      </c>
    </row>
    <row r="10" spans="1:106" hidden="1" outlineLevel="1">
      <c r="A10" s="633">
        <v>7</v>
      </c>
      <c r="B10" s="612" t="s">
        <v>261</v>
      </c>
      <c r="C10" t="s">
        <v>518</v>
      </c>
      <c r="D10" s="15">
        <f t="shared" si="44"/>
        <v>0</v>
      </c>
      <c r="E10" s="15">
        <f t="shared" si="45"/>
        <v>0</v>
      </c>
      <c r="F10" s="15">
        <f t="shared" si="46"/>
        <v>0</v>
      </c>
      <c r="G10" s="15">
        <f t="shared" si="47"/>
        <v>0</v>
      </c>
      <c r="H10" s="15">
        <f t="shared" si="48"/>
        <v>0</v>
      </c>
      <c r="I10" s="15">
        <f t="shared" si="49"/>
        <v>0</v>
      </c>
      <c r="J10" s="15">
        <f t="shared" si="50"/>
        <v>0</v>
      </c>
      <c r="K10" s="15">
        <f t="shared" si="51"/>
        <v>0</v>
      </c>
      <c r="L10" s="15">
        <f t="shared" si="52"/>
        <v>0</v>
      </c>
      <c r="M10" s="15">
        <f t="shared" si="53"/>
        <v>0</v>
      </c>
      <c r="N10" s="15">
        <f t="shared" si="54"/>
        <v>0</v>
      </c>
      <c r="O10" s="15">
        <f t="shared" si="55"/>
        <v>0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D10" s="646">
        <f t="shared" si="56"/>
        <v>0</v>
      </c>
      <c r="AE10" s="15">
        <f t="shared" si="57"/>
        <v>0</v>
      </c>
      <c r="AF10" s="15">
        <f t="shared" si="58"/>
        <v>0</v>
      </c>
      <c r="AG10" s="15">
        <f t="shared" si="59"/>
        <v>0</v>
      </c>
      <c r="AH10" s="15">
        <f t="shared" si="60"/>
        <v>0</v>
      </c>
      <c r="AI10" s="15">
        <f t="shared" si="61"/>
        <v>0</v>
      </c>
      <c r="AJ10" s="15">
        <f t="shared" si="62"/>
        <v>0</v>
      </c>
      <c r="AK10" s="15">
        <f t="shared" si="63"/>
        <v>0</v>
      </c>
      <c r="AL10" s="15">
        <f t="shared" si="64"/>
        <v>0</v>
      </c>
      <c r="AM10" s="15">
        <f t="shared" si="65"/>
        <v>0</v>
      </c>
      <c r="AN10" s="15">
        <f t="shared" si="66"/>
        <v>0</v>
      </c>
      <c r="AO10" s="647">
        <f t="shared" si="67"/>
        <v>0</v>
      </c>
      <c r="AQ10" s="15">
        <f>SUMIFS('BS-KH26-DTR'!D$2:D$116,'BS-KH26-DTR'!$B$2:$B$116,$A10)</f>
        <v>0</v>
      </c>
      <c r="AR10" s="15">
        <f>SUMIFS('BS-KH26-DTR'!E$2:E$116,'BS-KH26-DTR'!$B$2:$B$116,$A10)</f>
        <v>0</v>
      </c>
      <c r="AS10" s="15">
        <f>SUMIFS('BS-KH26-DTR'!F$2:F$116,'BS-KH26-DTR'!$B$2:$B$116,$A10)</f>
        <v>0</v>
      </c>
      <c r="AT10" s="15">
        <f>SUMIFS('BS-KH26-DTR'!G$2:G$116,'BS-KH26-DTR'!$B$2:$B$116,$A10)</f>
        <v>0</v>
      </c>
      <c r="AU10" s="15">
        <f>SUMIFS('BS-KH26-DTR'!H$2:H$116,'BS-KH26-DTR'!$B$2:$B$116,$A10)</f>
        <v>0</v>
      </c>
      <c r="AV10" s="15">
        <f>SUMIFS('BS-KH26-DTR'!I$2:I$116,'BS-KH26-DTR'!$B$2:$B$116,$A10)</f>
        <v>0</v>
      </c>
      <c r="AW10" s="15">
        <f>SUMIFS('BS-KH26-DTR'!J$2:J$116,'BS-KH26-DTR'!$B$2:$B$116,$A10)</f>
        <v>0</v>
      </c>
      <c r="AX10" s="15">
        <f>SUMIFS('BS-KH26-DTR'!K$2:K$116,'BS-KH26-DTR'!$B$2:$B$116,$A10)</f>
        <v>0</v>
      </c>
      <c r="AY10" s="15">
        <f>SUMIFS('BS-KH26-DTR'!L$2:L$116,'BS-KH26-DTR'!$B$2:$B$116,$A10)</f>
        <v>0</v>
      </c>
      <c r="AZ10" s="15">
        <f>SUMIFS('BS-KH26-DTR'!M$2:M$116,'BS-KH26-DTR'!$B$2:$B$116,$A10)</f>
        <v>0</v>
      </c>
      <c r="BA10" s="15">
        <f>SUMIFS('BS-KH26-DTR'!N$2:N$116,'BS-KH26-DTR'!$B$2:$B$116,$A10)</f>
        <v>0</v>
      </c>
      <c r="BB10" s="15">
        <f>SUMIFS('BS-KH26-DTR'!O$2:O$116,'BS-KH26-DTR'!$B$2:$B$116,$A10)</f>
        <v>0</v>
      </c>
      <c r="BD10" s="15">
        <f>SUMIFS('BS-KH26-DongLam'!M$2:M$51,'BS-KH26-DongLam'!$A$2:$A$51,'Consol BS-DTRG'!$A10)</f>
        <v>0</v>
      </c>
      <c r="BE10" s="15">
        <f>SUMIFS('BS-KH26-DongLam'!N$2:N$51,'BS-KH26-DongLam'!$A$2:$A$51,'Consol BS-DTRG'!$A10)</f>
        <v>0</v>
      </c>
      <c r="BF10" s="15">
        <f>SUMIFS('BS-KH26-DongLam'!O$2:O$51,'BS-KH26-DongLam'!$A$2:$A$51,'Consol BS-DTRG'!$A10)</f>
        <v>0</v>
      </c>
      <c r="BG10" s="15">
        <f>SUMIFS('BS-KH26-DongLam'!P$2:P$51,'BS-KH26-DongLam'!$A$2:$A$51,'Consol BS-DTRG'!$A10)</f>
        <v>0</v>
      </c>
      <c r="BH10" s="15">
        <f>SUMIFS('BS-KH26-DongLam'!Q$2:Q$51,'BS-KH26-DongLam'!$A$2:$A$51,'Consol BS-DTRG'!$A10)</f>
        <v>0</v>
      </c>
      <c r="BI10" s="15">
        <f>SUMIFS('BS-KH26-DongLam'!R$2:R$51,'BS-KH26-DongLam'!$A$2:$A$51,'Consol BS-DTRG'!$A10)</f>
        <v>0</v>
      </c>
      <c r="BJ10" s="15">
        <f>SUMIFS('BS-KH26-DongLam'!S$2:S$51,'BS-KH26-DongLam'!$A$2:$A$51,'Consol BS-DTRG'!$A10)</f>
        <v>0</v>
      </c>
      <c r="BK10" s="15">
        <f>SUMIFS('BS-KH26-DongLam'!T$2:T$51,'BS-KH26-DongLam'!$A$2:$A$51,'Consol BS-DTRG'!$A10)</f>
        <v>0</v>
      </c>
      <c r="BL10" s="15">
        <f>SUMIFS('BS-KH26-DongLam'!U$2:U$51,'BS-KH26-DongLam'!$A$2:$A$51,'Consol BS-DTRG'!$A10)</f>
        <v>0</v>
      </c>
      <c r="BM10" s="15">
        <f>SUMIFS('BS-KH26-DongLam'!V$2:V$51,'BS-KH26-DongLam'!$A$2:$A$51,'Consol BS-DTRG'!$A10)</f>
        <v>0</v>
      </c>
      <c r="BN10" s="15">
        <f>SUMIFS('BS-KH26-DongLam'!W$2:W$51,'BS-KH26-DongLam'!$A$2:$A$51,'Consol BS-DTRG'!$A10)</f>
        <v>0</v>
      </c>
      <c r="BO10" s="15">
        <f>SUMIFS('BS-KH26-DongLam'!X$2:X$51,'BS-KH26-DongLam'!$A$2:$A$51,'Consol BS-DTRG'!$A10)</f>
        <v>0</v>
      </c>
      <c r="BQ10" s="15">
        <f>SUMIFS('BS-KH26-KhanhNga'!M$2:M$51,'BS-KH26-KhanhNga'!$A$2:$A$51,'Consol BS-DTRG'!$A10)</f>
        <v>0</v>
      </c>
      <c r="BR10" s="15">
        <f>SUMIFS('BS-KH26-KhanhNga'!N$2:N$51,'BS-KH26-KhanhNga'!$A$2:$A$51,'Consol BS-DTRG'!$A10)</f>
        <v>0</v>
      </c>
      <c r="BS10" s="15">
        <f>SUMIFS('BS-KH26-KhanhNga'!O$2:O$51,'BS-KH26-KhanhNga'!$A$2:$A$51,'Consol BS-DTRG'!$A10)</f>
        <v>0</v>
      </c>
      <c r="BT10" s="15">
        <f>SUMIFS('BS-KH26-KhanhNga'!P$2:P$51,'BS-KH26-KhanhNga'!$A$2:$A$51,'Consol BS-DTRG'!$A10)</f>
        <v>0</v>
      </c>
      <c r="BU10" s="15">
        <f>SUMIFS('BS-KH26-KhanhNga'!Q$2:Q$51,'BS-KH26-KhanhNga'!$A$2:$A$51,'Consol BS-DTRG'!$A10)</f>
        <v>0</v>
      </c>
      <c r="BV10" s="15">
        <f>SUMIFS('BS-KH26-KhanhNga'!R$2:R$51,'BS-KH26-KhanhNga'!$A$2:$A$51,'Consol BS-DTRG'!$A10)</f>
        <v>0</v>
      </c>
      <c r="BW10" s="15">
        <f>SUMIFS('BS-KH26-KhanhNga'!S$2:S$51,'BS-KH26-KhanhNga'!$A$2:$A$51,'Consol BS-DTRG'!$A10)</f>
        <v>0</v>
      </c>
      <c r="BX10" s="15">
        <f>SUMIFS('BS-KH26-KhanhNga'!T$2:T$51,'BS-KH26-KhanhNga'!$A$2:$A$51,'Consol BS-DTRG'!$A10)</f>
        <v>0</v>
      </c>
      <c r="BY10" s="15">
        <f>SUMIFS('BS-KH26-KhanhNga'!U$2:U$51,'BS-KH26-KhanhNga'!$A$2:$A$51,'Consol BS-DTRG'!$A10)</f>
        <v>0</v>
      </c>
      <c r="BZ10" s="15">
        <f>SUMIFS('BS-KH26-KhanhNga'!V$2:V$51,'BS-KH26-KhanhNga'!$A$2:$A$51,'Consol BS-DTRG'!$A10)</f>
        <v>0</v>
      </c>
      <c r="CA10" s="15">
        <f>SUMIFS('BS-KH26-KhanhNga'!W$2:W$51,'BS-KH26-KhanhNga'!$A$2:$A$51,'Consol BS-DTRG'!$A10)</f>
        <v>0</v>
      </c>
      <c r="CB10" s="15">
        <f>SUMIFS('BS-KH26-KhanhNga'!X$2:X$51,'BS-KH26-KhanhNga'!$A$2:$A$51,'Consol BS-DTRG'!$A10)</f>
        <v>0</v>
      </c>
      <c r="CD10" s="15">
        <f>SUMIFS('BS-KH26-DaiLoc'!M$2:M$51,'BS-KH26-DaiLoc'!$A$2:$A$51,'Consol BS-DTRG'!$A10)</f>
        <v>0</v>
      </c>
      <c r="CE10" s="15">
        <f>SUMIFS('BS-KH26-DaiLoc'!N$2:N$51,'BS-KH26-DaiLoc'!$A$2:$A$51,'Consol BS-DTRG'!$A10)</f>
        <v>0</v>
      </c>
      <c r="CF10" s="15">
        <f>SUMIFS('BS-KH26-DaiLoc'!O$2:O$51,'BS-KH26-DaiLoc'!$A$2:$A$51,'Consol BS-DTRG'!$A10)</f>
        <v>0</v>
      </c>
      <c r="CG10" s="15">
        <f>SUMIFS('BS-KH26-DaiLoc'!P$2:P$51,'BS-KH26-DaiLoc'!$A$2:$A$51,'Consol BS-DTRG'!$A10)</f>
        <v>0</v>
      </c>
      <c r="CH10" s="15">
        <f>SUMIFS('BS-KH26-DaiLoc'!Q$2:Q$51,'BS-KH26-DaiLoc'!$A$2:$A$51,'Consol BS-DTRG'!$A10)</f>
        <v>0</v>
      </c>
      <c r="CI10" s="15">
        <f>SUMIFS('BS-KH26-DaiLoc'!R$2:R$51,'BS-KH26-DaiLoc'!$A$2:$A$51,'Consol BS-DTRG'!$A10)</f>
        <v>0</v>
      </c>
      <c r="CJ10" s="15">
        <f>SUMIFS('BS-KH26-DaiLoc'!S$2:S$51,'BS-KH26-DaiLoc'!$A$2:$A$51,'Consol BS-DTRG'!$A10)</f>
        <v>0</v>
      </c>
      <c r="CK10" s="15">
        <f>SUMIFS('BS-KH26-DaiLoc'!T$2:T$51,'BS-KH26-DaiLoc'!$A$2:$A$51,'Consol BS-DTRG'!$A10)</f>
        <v>0</v>
      </c>
      <c r="CL10" s="15">
        <f>SUMIFS('BS-KH26-DaiLoc'!U$2:U$51,'BS-KH26-DaiLoc'!$A$2:$A$51,'Consol BS-DTRG'!$A10)</f>
        <v>0</v>
      </c>
      <c r="CM10" s="15">
        <f>SUMIFS('BS-KH26-DaiLoc'!V$2:V$51,'BS-KH26-DaiLoc'!$A$2:$A$51,'Consol BS-DTRG'!$A10)</f>
        <v>0</v>
      </c>
      <c r="CN10" s="15">
        <f>SUMIFS('BS-KH26-DaiLoc'!W$2:W$51,'BS-KH26-DaiLoc'!$A$2:$A$51,'Consol BS-DTRG'!$A10)</f>
        <v>0</v>
      </c>
      <c r="CO10" s="15">
        <f>SUMIFS('BS-KH26-DaiLoc'!X$2:X$51,'BS-KH26-DaiLoc'!$A$2:$A$51,'Consol BS-DTRG'!$A10)</f>
        <v>0</v>
      </c>
      <c r="CQ10" s="15">
        <v>0</v>
      </c>
      <c r="CR10" s="15">
        <f t="shared" si="68"/>
        <v>0</v>
      </c>
      <c r="CS10" s="15">
        <f t="shared" si="68"/>
        <v>0</v>
      </c>
      <c r="CT10" s="15">
        <f t="shared" si="68"/>
        <v>0</v>
      </c>
      <c r="CU10" s="15">
        <f t="shared" si="68"/>
        <v>0</v>
      </c>
      <c r="CV10" s="15">
        <f t="shared" si="68"/>
        <v>0</v>
      </c>
      <c r="CW10" s="15">
        <f t="shared" si="68"/>
        <v>0</v>
      </c>
      <c r="CX10" s="15">
        <f t="shared" si="68"/>
        <v>0</v>
      </c>
      <c r="CY10" s="15">
        <f t="shared" si="68"/>
        <v>0</v>
      </c>
      <c r="CZ10" s="15">
        <f t="shared" si="68"/>
        <v>0</v>
      </c>
      <c r="DA10" s="15">
        <f t="shared" si="68"/>
        <v>0</v>
      </c>
      <c r="DB10" s="15">
        <f t="shared" si="68"/>
        <v>0</v>
      </c>
    </row>
    <row r="11" spans="1:106" hidden="1" outlineLevel="1">
      <c r="A11" s="633">
        <v>8</v>
      </c>
      <c r="B11" s="613" t="s">
        <v>262</v>
      </c>
      <c r="C11" t="s">
        <v>518</v>
      </c>
      <c r="D11" s="15">
        <f t="shared" si="44"/>
        <v>33042000000</v>
      </c>
      <c r="E11" s="15">
        <f t="shared" si="45"/>
        <v>33042000000</v>
      </c>
      <c r="F11" s="15">
        <f t="shared" si="46"/>
        <v>33042000000</v>
      </c>
      <c r="G11" s="15">
        <f t="shared" si="47"/>
        <v>33042000000</v>
      </c>
      <c r="H11" s="15">
        <f t="shared" si="48"/>
        <v>33042000000</v>
      </c>
      <c r="I11" s="15">
        <f t="shared" si="49"/>
        <v>33042000000</v>
      </c>
      <c r="J11" s="15">
        <f t="shared" si="50"/>
        <v>33042000000</v>
      </c>
      <c r="K11" s="15">
        <f t="shared" si="51"/>
        <v>33042000000</v>
      </c>
      <c r="L11" s="15">
        <f t="shared" si="52"/>
        <v>33042000000</v>
      </c>
      <c r="M11" s="15">
        <f t="shared" si="53"/>
        <v>33042000000</v>
      </c>
      <c r="N11" s="15">
        <f t="shared" si="54"/>
        <v>33042000000</v>
      </c>
      <c r="O11" s="15">
        <f t="shared" si="55"/>
        <v>33042000000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D11" s="646">
        <f t="shared" si="56"/>
        <v>33042000000</v>
      </c>
      <c r="AE11" s="15">
        <f t="shared" si="57"/>
        <v>33042000000</v>
      </c>
      <c r="AF11" s="15">
        <f t="shared" si="58"/>
        <v>33042000000</v>
      </c>
      <c r="AG11" s="15">
        <f t="shared" si="59"/>
        <v>33042000000</v>
      </c>
      <c r="AH11" s="15">
        <f t="shared" si="60"/>
        <v>33042000000</v>
      </c>
      <c r="AI11" s="15">
        <f t="shared" si="61"/>
        <v>33042000000</v>
      </c>
      <c r="AJ11" s="15">
        <f t="shared" si="62"/>
        <v>33042000000</v>
      </c>
      <c r="AK11" s="15">
        <f t="shared" si="63"/>
        <v>33042000000</v>
      </c>
      <c r="AL11" s="15">
        <f t="shared" si="64"/>
        <v>33042000000</v>
      </c>
      <c r="AM11" s="15">
        <f t="shared" si="65"/>
        <v>33042000000</v>
      </c>
      <c r="AN11" s="15">
        <f t="shared" si="66"/>
        <v>33042000000</v>
      </c>
      <c r="AO11" s="647">
        <f t="shared" si="67"/>
        <v>33042000000</v>
      </c>
      <c r="AQ11" s="15">
        <f>SUMIFS('BS-KH26-DTR'!D$2:D$116,'BS-KH26-DTR'!$B$2:$B$116,$A11)</f>
        <v>32840000000</v>
      </c>
      <c r="AR11" s="15">
        <f>SUMIFS('BS-KH26-DTR'!E$2:E$116,'BS-KH26-DTR'!$B$2:$B$116,$A11)</f>
        <v>32840000000</v>
      </c>
      <c r="AS11" s="15">
        <f>SUMIFS('BS-KH26-DTR'!F$2:F$116,'BS-KH26-DTR'!$B$2:$B$116,$A11)</f>
        <v>32840000000</v>
      </c>
      <c r="AT11" s="15">
        <f>SUMIFS('BS-KH26-DTR'!G$2:G$116,'BS-KH26-DTR'!$B$2:$B$116,$A11)</f>
        <v>32840000000</v>
      </c>
      <c r="AU11" s="15">
        <f>SUMIFS('BS-KH26-DTR'!H$2:H$116,'BS-KH26-DTR'!$B$2:$B$116,$A11)</f>
        <v>32840000000</v>
      </c>
      <c r="AV11" s="15">
        <f>SUMIFS('BS-KH26-DTR'!I$2:I$116,'BS-KH26-DTR'!$B$2:$B$116,$A11)</f>
        <v>32840000000</v>
      </c>
      <c r="AW11" s="15">
        <f>SUMIFS('BS-KH26-DTR'!J$2:J$116,'BS-KH26-DTR'!$B$2:$B$116,$A11)</f>
        <v>32840000000</v>
      </c>
      <c r="AX11" s="15">
        <f>SUMIFS('BS-KH26-DTR'!K$2:K$116,'BS-KH26-DTR'!$B$2:$B$116,$A11)</f>
        <v>32840000000</v>
      </c>
      <c r="AY11" s="15">
        <f>SUMIFS('BS-KH26-DTR'!L$2:L$116,'BS-KH26-DTR'!$B$2:$B$116,$A11)</f>
        <v>32840000000</v>
      </c>
      <c r="AZ11" s="15">
        <f>SUMIFS('BS-KH26-DTR'!M$2:M$116,'BS-KH26-DTR'!$B$2:$B$116,$A11)</f>
        <v>32840000000</v>
      </c>
      <c r="BA11" s="15">
        <f>SUMIFS('BS-KH26-DTR'!N$2:N$116,'BS-KH26-DTR'!$B$2:$B$116,$A11)</f>
        <v>32840000000</v>
      </c>
      <c r="BB11" s="15">
        <f>SUMIFS('BS-KH26-DTR'!O$2:O$116,'BS-KH26-DTR'!$B$2:$B$116,$A11)</f>
        <v>32840000000</v>
      </c>
      <c r="BD11" s="15">
        <f>SUMIFS('BS-KH26-DongLam'!M$2:M$51,'BS-KH26-DongLam'!$A$2:$A$51,'Consol BS-DTRG'!$A11)</f>
        <v>0</v>
      </c>
      <c r="BE11" s="15">
        <f>SUMIFS('BS-KH26-DongLam'!N$2:N$51,'BS-KH26-DongLam'!$A$2:$A$51,'Consol BS-DTRG'!$A11)</f>
        <v>0</v>
      </c>
      <c r="BF11" s="15">
        <f>SUMIFS('BS-KH26-DongLam'!O$2:O$51,'BS-KH26-DongLam'!$A$2:$A$51,'Consol BS-DTRG'!$A11)</f>
        <v>0</v>
      </c>
      <c r="BG11" s="15">
        <f>SUMIFS('BS-KH26-DongLam'!P$2:P$51,'BS-KH26-DongLam'!$A$2:$A$51,'Consol BS-DTRG'!$A11)</f>
        <v>0</v>
      </c>
      <c r="BH11" s="15">
        <f>SUMIFS('BS-KH26-DongLam'!Q$2:Q$51,'BS-KH26-DongLam'!$A$2:$A$51,'Consol BS-DTRG'!$A11)</f>
        <v>0</v>
      </c>
      <c r="BI11" s="15">
        <f>SUMIFS('BS-KH26-DongLam'!R$2:R$51,'BS-KH26-DongLam'!$A$2:$A$51,'Consol BS-DTRG'!$A11)</f>
        <v>0</v>
      </c>
      <c r="BJ11" s="15">
        <f>SUMIFS('BS-KH26-DongLam'!S$2:S$51,'BS-KH26-DongLam'!$A$2:$A$51,'Consol BS-DTRG'!$A11)</f>
        <v>0</v>
      </c>
      <c r="BK11" s="15">
        <f>SUMIFS('BS-KH26-DongLam'!T$2:T$51,'BS-KH26-DongLam'!$A$2:$A$51,'Consol BS-DTRG'!$A11)</f>
        <v>0</v>
      </c>
      <c r="BL11" s="15">
        <f>SUMIFS('BS-KH26-DongLam'!U$2:U$51,'BS-KH26-DongLam'!$A$2:$A$51,'Consol BS-DTRG'!$A11)</f>
        <v>0</v>
      </c>
      <c r="BM11" s="15">
        <f>SUMIFS('BS-KH26-DongLam'!V$2:V$51,'BS-KH26-DongLam'!$A$2:$A$51,'Consol BS-DTRG'!$A11)</f>
        <v>0</v>
      </c>
      <c r="BN11" s="15">
        <f>SUMIFS('BS-KH26-DongLam'!W$2:W$51,'BS-KH26-DongLam'!$A$2:$A$51,'Consol BS-DTRG'!$A11)</f>
        <v>0</v>
      </c>
      <c r="BO11" s="15">
        <f>SUMIFS('BS-KH26-DongLam'!X$2:X$51,'BS-KH26-DongLam'!$A$2:$A$51,'Consol BS-DTRG'!$A11)</f>
        <v>0</v>
      </c>
      <c r="BQ11" s="15">
        <f>SUMIFS('BS-KH26-KhanhNga'!M$2:M$51,'BS-KH26-KhanhNga'!$A$2:$A$51,'Consol BS-DTRG'!$A11)</f>
        <v>0</v>
      </c>
      <c r="BR11" s="15">
        <f>SUMIFS('BS-KH26-KhanhNga'!N$2:N$51,'BS-KH26-KhanhNga'!$A$2:$A$51,'Consol BS-DTRG'!$A11)</f>
        <v>0</v>
      </c>
      <c r="BS11" s="15">
        <f>SUMIFS('BS-KH26-KhanhNga'!O$2:O$51,'BS-KH26-KhanhNga'!$A$2:$A$51,'Consol BS-DTRG'!$A11)</f>
        <v>0</v>
      </c>
      <c r="BT11" s="15">
        <f>SUMIFS('BS-KH26-KhanhNga'!P$2:P$51,'BS-KH26-KhanhNga'!$A$2:$A$51,'Consol BS-DTRG'!$A11)</f>
        <v>0</v>
      </c>
      <c r="BU11" s="15">
        <f>SUMIFS('BS-KH26-KhanhNga'!Q$2:Q$51,'BS-KH26-KhanhNga'!$A$2:$A$51,'Consol BS-DTRG'!$A11)</f>
        <v>0</v>
      </c>
      <c r="BV11" s="15">
        <f>SUMIFS('BS-KH26-KhanhNga'!R$2:R$51,'BS-KH26-KhanhNga'!$A$2:$A$51,'Consol BS-DTRG'!$A11)</f>
        <v>0</v>
      </c>
      <c r="BW11" s="15">
        <f>SUMIFS('BS-KH26-KhanhNga'!S$2:S$51,'BS-KH26-KhanhNga'!$A$2:$A$51,'Consol BS-DTRG'!$A11)</f>
        <v>0</v>
      </c>
      <c r="BX11" s="15">
        <f>SUMIFS('BS-KH26-KhanhNga'!T$2:T$51,'BS-KH26-KhanhNga'!$A$2:$A$51,'Consol BS-DTRG'!$A11)</f>
        <v>0</v>
      </c>
      <c r="BY11" s="15">
        <f>SUMIFS('BS-KH26-KhanhNga'!U$2:U$51,'BS-KH26-KhanhNga'!$A$2:$A$51,'Consol BS-DTRG'!$A11)</f>
        <v>0</v>
      </c>
      <c r="BZ11" s="15">
        <f>SUMIFS('BS-KH26-KhanhNga'!V$2:V$51,'BS-KH26-KhanhNga'!$A$2:$A$51,'Consol BS-DTRG'!$A11)</f>
        <v>0</v>
      </c>
      <c r="CA11" s="15">
        <f>SUMIFS('BS-KH26-KhanhNga'!W$2:W$51,'BS-KH26-KhanhNga'!$A$2:$A$51,'Consol BS-DTRG'!$A11)</f>
        <v>0</v>
      </c>
      <c r="CB11" s="15">
        <f>SUMIFS('BS-KH26-KhanhNga'!X$2:X$51,'BS-KH26-KhanhNga'!$A$2:$A$51,'Consol BS-DTRG'!$A11)</f>
        <v>0</v>
      </c>
      <c r="CD11" s="15">
        <f>SUMIFS('BS-KH26-DaiLoc'!M$2:M$51,'BS-KH26-DaiLoc'!$A$2:$A$51,'Consol BS-DTRG'!$A11)</f>
        <v>202000000</v>
      </c>
      <c r="CE11" s="15">
        <f>SUMIFS('BS-KH26-DaiLoc'!N$2:N$51,'BS-KH26-DaiLoc'!$A$2:$A$51,'Consol BS-DTRG'!$A11)</f>
        <v>202000000</v>
      </c>
      <c r="CF11" s="15">
        <f>SUMIFS('BS-KH26-DaiLoc'!O$2:O$51,'BS-KH26-DaiLoc'!$A$2:$A$51,'Consol BS-DTRG'!$A11)</f>
        <v>202000000</v>
      </c>
      <c r="CG11" s="15">
        <f>SUMIFS('BS-KH26-DaiLoc'!P$2:P$51,'BS-KH26-DaiLoc'!$A$2:$A$51,'Consol BS-DTRG'!$A11)</f>
        <v>202000000</v>
      </c>
      <c r="CH11" s="15">
        <f>SUMIFS('BS-KH26-DaiLoc'!Q$2:Q$51,'BS-KH26-DaiLoc'!$A$2:$A$51,'Consol BS-DTRG'!$A11)</f>
        <v>202000000</v>
      </c>
      <c r="CI11" s="15">
        <f>SUMIFS('BS-KH26-DaiLoc'!R$2:R$51,'BS-KH26-DaiLoc'!$A$2:$A$51,'Consol BS-DTRG'!$A11)</f>
        <v>202000000</v>
      </c>
      <c r="CJ11" s="15">
        <f>SUMIFS('BS-KH26-DaiLoc'!S$2:S$51,'BS-KH26-DaiLoc'!$A$2:$A$51,'Consol BS-DTRG'!$A11)</f>
        <v>202000000</v>
      </c>
      <c r="CK11" s="15">
        <f>SUMIFS('BS-KH26-DaiLoc'!T$2:T$51,'BS-KH26-DaiLoc'!$A$2:$A$51,'Consol BS-DTRG'!$A11)</f>
        <v>202000000</v>
      </c>
      <c r="CL11" s="15">
        <f>SUMIFS('BS-KH26-DaiLoc'!U$2:U$51,'BS-KH26-DaiLoc'!$A$2:$A$51,'Consol BS-DTRG'!$A11)</f>
        <v>202000000</v>
      </c>
      <c r="CM11" s="15">
        <f>SUMIFS('BS-KH26-DaiLoc'!V$2:V$51,'BS-KH26-DaiLoc'!$A$2:$A$51,'Consol BS-DTRG'!$A11)</f>
        <v>202000000</v>
      </c>
      <c r="CN11" s="15">
        <f>SUMIFS('BS-KH26-DaiLoc'!W$2:W$51,'BS-KH26-DaiLoc'!$A$2:$A$51,'Consol BS-DTRG'!$A11)</f>
        <v>202000000</v>
      </c>
      <c r="CO11" s="15">
        <f>SUMIFS('BS-KH26-DaiLoc'!X$2:X$51,'BS-KH26-DaiLoc'!$A$2:$A$51,'Consol BS-DTRG'!$A11)</f>
        <v>202000000</v>
      </c>
      <c r="CQ11" s="15">
        <v>0</v>
      </c>
      <c r="CR11" s="15">
        <f t="shared" si="68"/>
        <v>0</v>
      </c>
      <c r="CS11" s="15">
        <f t="shared" si="68"/>
        <v>0</v>
      </c>
      <c r="CT11" s="15">
        <f t="shared" si="68"/>
        <v>0</v>
      </c>
      <c r="CU11" s="15">
        <f t="shared" si="68"/>
        <v>0</v>
      </c>
      <c r="CV11" s="15">
        <f t="shared" si="68"/>
        <v>0</v>
      </c>
      <c r="CW11" s="15">
        <f t="shared" si="68"/>
        <v>0</v>
      </c>
      <c r="CX11" s="15">
        <f t="shared" si="68"/>
        <v>0</v>
      </c>
      <c r="CY11" s="15">
        <f t="shared" si="68"/>
        <v>0</v>
      </c>
      <c r="CZ11" s="15">
        <f t="shared" si="68"/>
        <v>0</v>
      </c>
      <c r="DA11" s="15">
        <f t="shared" si="68"/>
        <v>0</v>
      </c>
      <c r="DB11" s="15">
        <f t="shared" si="68"/>
        <v>0</v>
      </c>
    </row>
    <row r="12" spans="1:106" hidden="1" outlineLevel="1">
      <c r="A12" s="633">
        <v>9</v>
      </c>
      <c r="B12" s="613" t="s">
        <v>263</v>
      </c>
      <c r="C12" t="s">
        <v>518</v>
      </c>
      <c r="D12" s="15">
        <f t="shared" si="44"/>
        <v>0</v>
      </c>
      <c r="E12" s="15">
        <f t="shared" si="45"/>
        <v>0</v>
      </c>
      <c r="F12" s="15">
        <f t="shared" si="46"/>
        <v>0</v>
      </c>
      <c r="G12" s="15">
        <f t="shared" si="47"/>
        <v>0</v>
      </c>
      <c r="H12" s="15">
        <f t="shared" si="48"/>
        <v>0</v>
      </c>
      <c r="I12" s="15">
        <f t="shared" si="49"/>
        <v>0</v>
      </c>
      <c r="J12" s="15">
        <f t="shared" si="50"/>
        <v>0</v>
      </c>
      <c r="K12" s="15">
        <f t="shared" si="51"/>
        <v>0</v>
      </c>
      <c r="L12" s="15">
        <f t="shared" si="52"/>
        <v>0</v>
      </c>
      <c r="M12" s="15">
        <f t="shared" si="53"/>
        <v>0</v>
      </c>
      <c r="N12" s="15">
        <f t="shared" si="54"/>
        <v>0</v>
      </c>
      <c r="O12" s="15">
        <f t="shared" si="55"/>
        <v>0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D12" s="646">
        <f t="shared" si="56"/>
        <v>0</v>
      </c>
      <c r="AE12" s="15">
        <f t="shared" si="57"/>
        <v>0</v>
      </c>
      <c r="AF12" s="15">
        <f t="shared" si="58"/>
        <v>0</v>
      </c>
      <c r="AG12" s="15">
        <f t="shared" si="59"/>
        <v>0</v>
      </c>
      <c r="AH12" s="15">
        <f t="shared" si="60"/>
        <v>0</v>
      </c>
      <c r="AI12" s="15">
        <f t="shared" si="61"/>
        <v>0</v>
      </c>
      <c r="AJ12" s="15">
        <f t="shared" si="62"/>
        <v>0</v>
      </c>
      <c r="AK12" s="15">
        <f t="shared" si="63"/>
        <v>0</v>
      </c>
      <c r="AL12" s="15">
        <f t="shared" si="64"/>
        <v>0</v>
      </c>
      <c r="AM12" s="15">
        <f t="shared" si="65"/>
        <v>0</v>
      </c>
      <c r="AN12" s="15">
        <f t="shared" si="66"/>
        <v>0</v>
      </c>
      <c r="AO12" s="647">
        <f t="shared" si="67"/>
        <v>0</v>
      </c>
      <c r="AQ12" s="15">
        <f>SUMIFS('BS-KH26-DTR'!D$2:D$116,'BS-KH26-DTR'!$B$2:$B$116,$A12)</f>
        <v>0</v>
      </c>
      <c r="AR12" s="15">
        <f>SUMIFS('BS-KH26-DTR'!E$2:E$116,'BS-KH26-DTR'!$B$2:$B$116,$A12)</f>
        <v>0</v>
      </c>
      <c r="AS12" s="15">
        <f>SUMIFS('BS-KH26-DTR'!F$2:F$116,'BS-KH26-DTR'!$B$2:$B$116,$A12)</f>
        <v>0</v>
      </c>
      <c r="AT12" s="15">
        <f>SUMIFS('BS-KH26-DTR'!G$2:G$116,'BS-KH26-DTR'!$B$2:$B$116,$A12)</f>
        <v>0</v>
      </c>
      <c r="AU12" s="15">
        <f>SUMIFS('BS-KH26-DTR'!H$2:H$116,'BS-KH26-DTR'!$B$2:$B$116,$A12)</f>
        <v>0</v>
      </c>
      <c r="AV12" s="15">
        <f>SUMIFS('BS-KH26-DTR'!I$2:I$116,'BS-KH26-DTR'!$B$2:$B$116,$A12)</f>
        <v>0</v>
      </c>
      <c r="AW12" s="15">
        <f>SUMIFS('BS-KH26-DTR'!J$2:J$116,'BS-KH26-DTR'!$B$2:$B$116,$A12)</f>
        <v>0</v>
      </c>
      <c r="AX12" s="15">
        <f>SUMIFS('BS-KH26-DTR'!K$2:K$116,'BS-KH26-DTR'!$B$2:$B$116,$A12)</f>
        <v>0</v>
      </c>
      <c r="AY12" s="15">
        <f>SUMIFS('BS-KH26-DTR'!L$2:L$116,'BS-KH26-DTR'!$B$2:$B$116,$A12)</f>
        <v>0</v>
      </c>
      <c r="AZ12" s="15">
        <f>SUMIFS('BS-KH26-DTR'!M$2:M$116,'BS-KH26-DTR'!$B$2:$B$116,$A12)</f>
        <v>0</v>
      </c>
      <c r="BA12" s="15">
        <f>SUMIFS('BS-KH26-DTR'!N$2:N$116,'BS-KH26-DTR'!$B$2:$B$116,$A12)</f>
        <v>0</v>
      </c>
      <c r="BB12" s="15">
        <f>SUMIFS('BS-KH26-DTR'!O$2:O$116,'BS-KH26-DTR'!$B$2:$B$116,$A12)</f>
        <v>0</v>
      </c>
      <c r="BD12" s="15">
        <f>SUMIFS('BS-KH26-DongLam'!M$2:M$51,'BS-KH26-DongLam'!$A$2:$A$51,'Consol BS-DTRG'!$A12)</f>
        <v>0</v>
      </c>
      <c r="BE12" s="15">
        <f>SUMIFS('BS-KH26-DongLam'!N$2:N$51,'BS-KH26-DongLam'!$A$2:$A$51,'Consol BS-DTRG'!$A12)</f>
        <v>0</v>
      </c>
      <c r="BF12" s="15">
        <f>SUMIFS('BS-KH26-DongLam'!O$2:O$51,'BS-KH26-DongLam'!$A$2:$A$51,'Consol BS-DTRG'!$A12)</f>
        <v>0</v>
      </c>
      <c r="BG12" s="15">
        <f>SUMIFS('BS-KH26-DongLam'!P$2:P$51,'BS-KH26-DongLam'!$A$2:$A$51,'Consol BS-DTRG'!$A12)</f>
        <v>0</v>
      </c>
      <c r="BH12" s="15">
        <f>SUMIFS('BS-KH26-DongLam'!Q$2:Q$51,'BS-KH26-DongLam'!$A$2:$A$51,'Consol BS-DTRG'!$A12)</f>
        <v>0</v>
      </c>
      <c r="BI12" s="15">
        <f>SUMIFS('BS-KH26-DongLam'!R$2:R$51,'BS-KH26-DongLam'!$A$2:$A$51,'Consol BS-DTRG'!$A12)</f>
        <v>0</v>
      </c>
      <c r="BJ12" s="15">
        <f>SUMIFS('BS-KH26-DongLam'!S$2:S$51,'BS-KH26-DongLam'!$A$2:$A$51,'Consol BS-DTRG'!$A12)</f>
        <v>0</v>
      </c>
      <c r="BK12" s="15">
        <f>SUMIFS('BS-KH26-DongLam'!T$2:T$51,'BS-KH26-DongLam'!$A$2:$A$51,'Consol BS-DTRG'!$A12)</f>
        <v>0</v>
      </c>
      <c r="BL12" s="15">
        <f>SUMIFS('BS-KH26-DongLam'!U$2:U$51,'BS-KH26-DongLam'!$A$2:$A$51,'Consol BS-DTRG'!$A12)</f>
        <v>0</v>
      </c>
      <c r="BM12" s="15">
        <f>SUMIFS('BS-KH26-DongLam'!V$2:V$51,'BS-KH26-DongLam'!$A$2:$A$51,'Consol BS-DTRG'!$A12)</f>
        <v>0</v>
      </c>
      <c r="BN12" s="15">
        <f>SUMIFS('BS-KH26-DongLam'!W$2:W$51,'BS-KH26-DongLam'!$A$2:$A$51,'Consol BS-DTRG'!$A12)</f>
        <v>0</v>
      </c>
      <c r="BO12" s="15">
        <f>SUMIFS('BS-KH26-DongLam'!X$2:X$51,'BS-KH26-DongLam'!$A$2:$A$51,'Consol BS-DTRG'!$A12)</f>
        <v>0</v>
      </c>
      <c r="BQ12" s="15">
        <f>SUMIFS('BS-KH26-KhanhNga'!M$2:M$51,'BS-KH26-KhanhNga'!$A$2:$A$51,'Consol BS-DTRG'!$A12)</f>
        <v>0</v>
      </c>
      <c r="BR12" s="15">
        <f>SUMIFS('BS-KH26-KhanhNga'!N$2:N$51,'BS-KH26-KhanhNga'!$A$2:$A$51,'Consol BS-DTRG'!$A12)</f>
        <v>0</v>
      </c>
      <c r="BS12" s="15">
        <f>SUMIFS('BS-KH26-KhanhNga'!O$2:O$51,'BS-KH26-KhanhNga'!$A$2:$A$51,'Consol BS-DTRG'!$A12)</f>
        <v>0</v>
      </c>
      <c r="BT12" s="15">
        <f>SUMIFS('BS-KH26-KhanhNga'!P$2:P$51,'BS-KH26-KhanhNga'!$A$2:$A$51,'Consol BS-DTRG'!$A12)</f>
        <v>0</v>
      </c>
      <c r="BU12" s="15">
        <f>SUMIFS('BS-KH26-KhanhNga'!Q$2:Q$51,'BS-KH26-KhanhNga'!$A$2:$A$51,'Consol BS-DTRG'!$A12)</f>
        <v>0</v>
      </c>
      <c r="BV12" s="15">
        <f>SUMIFS('BS-KH26-KhanhNga'!R$2:R$51,'BS-KH26-KhanhNga'!$A$2:$A$51,'Consol BS-DTRG'!$A12)</f>
        <v>0</v>
      </c>
      <c r="BW12" s="15">
        <f>SUMIFS('BS-KH26-KhanhNga'!S$2:S$51,'BS-KH26-KhanhNga'!$A$2:$A$51,'Consol BS-DTRG'!$A12)</f>
        <v>0</v>
      </c>
      <c r="BX12" s="15">
        <f>SUMIFS('BS-KH26-KhanhNga'!T$2:T$51,'BS-KH26-KhanhNga'!$A$2:$A$51,'Consol BS-DTRG'!$A12)</f>
        <v>0</v>
      </c>
      <c r="BY12" s="15">
        <f>SUMIFS('BS-KH26-KhanhNga'!U$2:U$51,'BS-KH26-KhanhNga'!$A$2:$A$51,'Consol BS-DTRG'!$A12)</f>
        <v>0</v>
      </c>
      <c r="BZ12" s="15">
        <f>SUMIFS('BS-KH26-KhanhNga'!V$2:V$51,'BS-KH26-KhanhNga'!$A$2:$A$51,'Consol BS-DTRG'!$A12)</f>
        <v>0</v>
      </c>
      <c r="CA12" s="15">
        <f>SUMIFS('BS-KH26-KhanhNga'!W$2:W$51,'BS-KH26-KhanhNga'!$A$2:$A$51,'Consol BS-DTRG'!$A12)</f>
        <v>0</v>
      </c>
      <c r="CB12" s="15">
        <f>SUMIFS('BS-KH26-KhanhNga'!X$2:X$51,'BS-KH26-KhanhNga'!$A$2:$A$51,'Consol BS-DTRG'!$A12)</f>
        <v>0</v>
      </c>
      <c r="CD12" s="15">
        <f>SUMIFS('BS-KH26-DaiLoc'!M$2:M$51,'BS-KH26-DaiLoc'!$A$2:$A$51,'Consol BS-DTRG'!$A12)</f>
        <v>0</v>
      </c>
      <c r="CE12" s="15">
        <f>SUMIFS('BS-KH26-DaiLoc'!N$2:N$51,'BS-KH26-DaiLoc'!$A$2:$A$51,'Consol BS-DTRG'!$A12)</f>
        <v>0</v>
      </c>
      <c r="CF12" s="15">
        <f>SUMIFS('BS-KH26-DaiLoc'!O$2:O$51,'BS-KH26-DaiLoc'!$A$2:$A$51,'Consol BS-DTRG'!$A12)</f>
        <v>0</v>
      </c>
      <c r="CG12" s="15">
        <f>SUMIFS('BS-KH26-DaiLoc'!P$2:P$51,'BS-KH26-DaiLoc'!$A$2:$A$51,'Consol BS-DTRG'!$A12)</f>
        <v>0</v>
      </c>
      <c r="CH12" s="15">
        <f>SUMIFS('BS-KH26-DaiLoc'!Q$2:Q$51,'BS-KH26-DaiLoc'!$A$2:$A$51,'Consol BS-DTRG'!$A12)</f>
        <v>0</v>
      </c>
      <c r="CI12" s="15">
        <f>SUMIFS('BS-KH26-DaiLoc'!R$2:R$51,'BS-KH26-DaiLoc'!$A$2:$A$51,'Consol BS-DTRG'!$A12)</f>
        <v>0</v>
      </c>
      <c r="CJ12" s="15">
        <f>SUMIFS('BS-KH26-DaiLoc'!S$2:S$51,'BS-KH26-DaiLoc'!$A$2:$A$51,'Consol BS-DTRG'!$A12)</f>
        <v>0</v>
      </c>
      <c r="CK12" s="15">
        <f>SUMIFS('BS-KH26-DaiLoc'!T$2:T$51,'BS-KH26-DaiLoc'!$A$2:$A$51,'Consol BS-DTRG'!$A12)</f>
        <v>0</v>
      </c>
      <c r="CL12" s="15">
        <f>SUMIFS('BS-KH26-DaiLoc'!U$2:U$51,'BS-KH26-DaiLoc'!$A$2:$A$51,'Consol BS-DTRG'!$A12)</f>
        <v>0</v>
      </c>
      <c r="CM12" s="15">
        <f>SUMIFS('BS-KH26-DaiLoc'!V$2:V$51,'BS-KH26-DaiLoc'!$A$2:$A$51,'Consol BS-DTRG'!$A12)</f>
        <v>0</v>
      </c>
      <c r="CN12" s="15">
        <f>SUMIFS('BS-KH26-DaiLoc'!W$2:W$51,'BS-KH26-DaiLoc'!$A$2:$A$51,'Consol BS-DTRG'!$A12)</f>
        <v>0</v>
      </c>
      <c r="CO12" s="15">
        <f>SUMIFS('BS-KH26-DaiLoc'!X$2:X$51,'BS-KH26-DaiLoc'!$A$2:$A$51,'Consol BS-DTRG'!$A12)</f>
        <v>0</v>
      </c>
      <c r="CQ12" s="15">
        <v>0</v>
      </c>
      <c r="CR12" s="15">
        <f t="shared" si="68"/>
        <v>0</v>
      </c>
      <c r="CS12" s="15">
        <f t="shared" si="68"/>
        <v>0</v>
      </c>
      <c r="CT12" s="15">
        <f t="shared" si="68"/>
        <v>0</v>
      </c>
      <c r="CU12" s="15">
        <f t="shared" si="68"/>
        <v>0</v>
      </c>
      <c r="CV12" s="15">
        <f t="shared" si="68"/>
        <v>0</v>
      </c>
      <c r="CW12" s="15">
        <f t="shared" si="68"/>
        <v>0</v>
      </c>
      <c r="CX12" s="15">
        <f t="shared" si="68"/>
        <v>0</v>
      </c>
      <c r="CY12" s="15">
        <f t="shared" si="68"/>
        <v>0</v>
      </c>
      <c r="CZ12" s="15">
        <f t="shared" si="68"/>
        <v>0</v>
      </c>
      <c r="DA12" s="15">
        <f t="shared" si="68"/>
        <v>0</v>
      </c>
      <c r="DB12" s="15">
        <f t="shared" si="68"/>
        <v>0</v>
      </c>
    </row>
    <row r="13" spans="1:106" hidden="1" outlineLevel="1">
      <c r="A13" s="633">
        <v>10</v>
      </c>
      <c r="B13" s="613" t="s">
        <v>264</v>
      </c>
      <c r="C13" t="s">
        <v>518</v>
      </c>
      <c r="D13" s="15">
        <f t="shared" si="44"/>
        <v>0</v>
      </c>
      <c r="E13" s="15">
        <f t="shared" si="45"/>
        <v>0</v>
      </c>
      <c r="F13" s="15">
        <f t="shared" si="46"/>
        <v>0</v>
      </c>
      <c r="G13" s="15">
        <f t="shared" si="47"/>
        <v>0</v>
      </c>
      <c r="H13" s="15">
        <f t="shared" si="48"/>
        <v>0</v>
      </c>
      <c r="I13" s="15">
        <f t="shared" si="49"/>
        <v>0</v>
      </c>
      <c r="J13" s="15">
        <f t="shared" si="50"/>
        <v>0</v>
      </c>
      <c r="K13" s="15">
        <f t="shared" si="51"/>
        <v>0</v>
      </c>
      <c r="L13" s="15">
        <f t="shared" si="52"/>
        <v>0</v>
      </c>
      <c r="M13" s="15">
        <f t="shared" si="53"/>
        <v>0</v>
      </c>
      <c r="N13" s="15">
        <f t="shared" si="54"/>
        <v>0</v>
      </c>
      <c r="O13" s="15">
        <f t="shared" si="55"/>
        <v>0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D13" s="646">
        <f t="shared" si="56"/>
        <v>0</v>
      </c>
      <c r="AE13" s="15">
        <f t="shared" si="57"/>
        <v>0</v>
      </c>
      <c r="AF13" s="15">
        <f t="shared" si="58"/>
        <v>0</v>
      </c>
      <c r="AG13" s="15">
        <f t="shared" si="59"/>
        <v>0</v>
      </c>
      <c r="AH13" s="15">
        <f t="shared" si="60"/>
        <v>0</v>
      </c>
      <c r="AI13" s="15">
        <f t="shared" si="61"/>
        <v>0</v>
      </c>
      <c r="AJ13" s="15">
        <f t="shared" si="62"/>
        <v>0</v>
      </c>
      <c r="AK13" s="15">
        <f t="shared" si="63"/>
        <v>0</v>
      </c>
      <c r="AL13" s="15">
        <f t="shared" si="64"/>
        <v>0</v>
      </c>
      <c r="AM13" s="15">
        <f t="shared" si="65"/>
        <v>0</v>
      </c>
      <c r="AN13" s="15">
        <f t="shared" si="66"/>
        <v>0</v>
      </c>
      <c r="AO13" s="647">
        <f t="shared" si="67"/>
        <v>0</v>
      </c>
      <c r="AQ13" s="15">
        <f>SUMIFS('BS-KH26-DTR'!D$2:D$116,'BS-KH26-DTR'!$B$2:$B$116,$A13)</f>
        <v>0</v>
      </c>
      <c r="AR13" s="15">
        <f>SUMIFS('BS-KH26-DTR'!E$2:E$116,'BS-KH26-DTR'!$B$2:$B$116,$A13)</f>
        <v>0</v>
      </c>
      <c r="AS13" s="15">
        <f>SUMIFS('BS-KH26-DTR'!F$2:F$116,'BS-KH26-DTR'!$B$2:$B$116,$A13)</f>
        <v>0</v>
      </c>
      <c r="AT13" s="15">
        <f>SUMIFS('BS-KH26-DTR'!G$2:G$116,'BS-KH26-DTR'!$B$2:$B$116,$A13)</f>
        <v>0</v>
      </c>
      <c r="AU13" s="15">
        <f>SUMIFS('BS-KH26-DTR'!H$2:H$116,'BS-KH26-DTR'!$B$2:$B$116,$A13)</f>
        <v>0</v>
      </c>
      <c r="AV13" s="15">
        <f>SUMIFS('BS-KH26-DTR'!I$2:I$116,'BS-KH26-DTR'!$B$2:$B$116,$A13)</f>
        <v>0</v>
      </c>
      <c r="AW13" s="15">
        <f>SUMIFS('BS-KH26-DTR'!J$2:J$116,'BS-KH26-DTR'!$B$2:$B$116,$A13)</f>
        <v>0</v>
      </c>
      <c r="AX13" s="15">
        <f>SUMIFS('BS-KH26-DTR'!K$2:K$116,'BS-KH26-DTR'!$B$2:$B$116,$A13)</f>
        <v>0</v>
      </c>
      <c r="AY13" s="15">
        <f>SUMIFS('BS-KH26-DTR'!L$2:L$116,'BS-KH26-DTR'!$B$2:$B$116,$A13)</f>
        <v>0</v>
      </c>
      <c r="AZ13" s="15">
        <f>SUMIFS('BS-KH26-DTR'!M$2:M$116,'BS-KH26-DTR'!$B$2:$B$116,$A13)</f>
        <v>0</v>
      </c>
      <c r="BA13" s="15">
        <f>SUMIFS('BS-KH26-DTR'!N$2:N$116,'BS-KH26-DTR'!$B$2:$B$116,$A13)</f>
        <v>0</v>
      </c>
      <c r="BB13" s="15">
        <f>SUMIFS('BS-KH26-DTR'!O$2:O$116,'BS-KH26-DTR'!$B$2:$B$116,$A13)</f>
        <v>0</v>
      </c>
      <c r="BD13" s="15">
        <f>SUMIFS('BS-KH26-DongLam'!M$2:M$51,'BS-KH26-DongLam'!$A$2:$A$51,'Consol BS-DTRG'!$A13)</f>
        <v>0</v>
      </c>
      <c r="BE13" s="15">
        <f>SUMIFS('BS-KH26-DongLam'!N$2:N$51,'BS-KH26-DongLam'!$A$2:$A$51,'Consol BS-DTRG'!$A13)</f>
        <v>0</v>
      </c>
      <c r="BF13" s="15">
        <f>SUMIFS('BS-KH26-DongLam'!O$2:O$51,'BS-KH26-DongLam'!$A$2:$A$51,'Consol BS-DTRG'!$A13)</f>
        <v>0</v>
      </c>
      <c r="BG13" s="15">
        <f>SUMIFS('BS-KH26-DongLam'!P$2:P$51,'BS-KH26-DongLam'!$A$2:$A$51,'Consol BS-DTRG'!$A13)</f>
        <v>0</v>
      </c>
      <c r="BH13" s="15">
        <f>SUMIFS('BS-KH26-DongLam'!Q$2:Q$51,'BS-KH26-DongLam'!$A$2:$A$51,'Consol BS-DTRG'!$A13)</f>
        <v>0</v>
      </c>
      <c r="BI13" s="15">
        <f>SUMIFS('BS-KH26-DongLam'!R$2:R$51,'BS-KH26-DongLam'!$A$2:$A$51,'Consol BS-DTRG'!$A13)</f>
        <v>0</v>
      </c>
      <c r="BJ13" s="15">
        <f>SUMIFS('BS-KH26-DongLam'!S$2:S$51,'BS-KH26-DongLam'!$A$2:$A$51,'Consol BS-DTRG'!$A13)</f>
        <v>0</v>
      </c>
      <c r="BK13" s="15">
        <f>SUMIFS('BS-KH26-DongLam'!T$2:T$51,'BS-KH26-DongLam'!$A$2:$A$51,'Consol BS-DTRG'!$A13)</f>
        <v>0</v>
      </c>
      <c r="BL13" s="15">
        <f>SUMIFS('BS-KH26-DongLam'!U$2:U$51,'BS-KH26-DongLam'!$A$2:$A$51,'Consol BS-DTRG'!$A13)</f>
        <v>0</v>
      </c>
      <c r="BM13" s="15">
        <f>SUMIFS('BS-KH26-DongLam'!V$2:V$51,'BS-KH26-DongLam'!$A$2:$A$51,'Consol BS-DTRG'!$A13)</f>
        <v>0</v>
      </c>
      <c r="BN13" s="15">
        <f>SUMIFS('BS-KH26-DongLam'!W$2:W$51,'BS-KH26-DongLam'!$A$2:$A$51,'Consol BS-DTRG'!$A13)</f>
        <v>0</v>
      </c>
      <c r="BO13" s="15">
        <f>SUMIFS('BS-KH26-DongLam'!X$2:X$51,'BS-KH26-DongLam'!$A$2:$A$51,'Consol BS-DTRG'!$A13)</f>
        <v>0</v>
      </c>
      <c r="BQ13" s="15">
        <f>SUMIFS('BS-KH26-KhanhNga'!M$2:M$51,'BS-KH26-KhanhNga'!$A$2:$A$51,'Consol BS-DTRG'!$A13)</f>
        <v>0</v>
      </c>
      <c r="BR13" s="15">
        <f>SUMIFS('BS-KH26-KhanhNga'!N$2:N$51,'BS-KH26-KhanhNga'!$A$2:$A$51,'Consol BS-DTRG'!$A13)</f>
        <v>0</v>
      </c>
      <c r="BS13" s="15">
        <f>SUMIFS('BS-KH26-KhanhNga'!O$2:O$51,'BS-KH26-KhanhNga'!$A$2:$A$51,'Consol BS-DTRG'!$A13)</f>
        <v>0</v>
      </c>
      <c r="BT13" s="15">
        <f>SUMIFS('BS-KH26-KhanhNga'!P$2:P$51,'BS-KH26-KhanhNga'!$A$2:$A$51,'Consol BS-DTRG'!$A13)</f>
        <v>0</v>
      </c>
      <c r="BU13" s="15">
        <f>SUMIFS('BS-KH26-KhanhNga'!Q$2:Q$51,'BS-KH26-KhanhNga'!$A$2:$A$51,'Consol BS-DTRG'!$A13)</f>
        <v>0</v>
      </c>
      <c r="BV13" s="15">
        <f>SUMIFS('BS-KH26-KhanhNga'!R$2:R$51,'BS-KH26-KhanhNga'!$A$2:$A$51,'Consol BS-DTRG'!$A13)</f>
        <v>0</v>
      </c>
      <c r="BW13" s="15">
        <f>SUMIFS('BS-KH26-KhanhNga'!S$2:S$51,'BS-KH26-KhanhNga'!$A$2:$A$51,'Consol BS-DTRG'!$A13)</f>
        <v>0</v>
      </c>
      <c r="BX13" s="15">
        <f>SUMIFS('BS-KH26-KhanhNga'!T$2:T$51,'BS-KH26-KhanhNga'!$A$2:$A$51,'Consol BS-DTRG'!$A13)</f>
        <v>0</v>
      </c>
      <c r="BY13" s="15">
        <f>SUMIFS('BS-KH26-KhanhNga'!U$2:U$51,'BS-KH26-KhanhNga'!$A$2:$A$51,'Consol BS-DTRG'!$A13)</f>
        <v>0</v>
      </c>
      <c r="BZ13" s="15">
        <f>SUMIFS('BS-KH26-KhanhNga'!V$2:V$51,'BS-KH26-KhanhNga'!$A$2:$A$51,'Consol BS-DTRG'!$A13)</f>
        <v>0</v>
      </c>
      <c r="CA13" s="15">
        <f>SUMIFS('BS-KH26-KhanhNga'!W$2:W$51,'BS-KH26-KhanhNga'!$A$2:$A$51,'Consol BS-DTRG'!$A13)</f>
        <v>0</v>
      </c>
      <c r="CB13" s="15">
        <f>SUMIFS('BS-KH26-KhanhNga'!X$2:X$51,'BS-KH26-KhanhNga'!$A$2:$A$51,'Consol BS-DTRG'!$A13)</f>
        <v>0</v>
      </c>
      <c r="CD13" s="15">
        <f>SUMIFS('BS-KH26-DaiLoc'!M$2:M$51,'BS-KH26-DaiLoc'!$A$2:$A$51,'Consol BS-DTRG'!$A13)</f>
        <v>0</v>
      </c>
      <c r="CE13" s="15">
        <f>SUMIFS('BS-KH26-DaiLoc'!N$2:N$51,'BS-KH26-DaiLoc'!$A$2:$A$51,'Consol BS-DTRG'!$A13)</f>
        <v>0</v>
      </c>
      <c r="CF13" s="15">
        <f>SUMIFS('BS-KH26-DaiLoc'!O$2:O$51,'BS-KH26-DaiLoc'!$A$2:$A$51,'Consol BS-DTRG'!$A13)</f>
        <v>0</v>
      </c>
      <c r="CG13" s="15">
        <f>SUMIFS('BS-KH26-DaiLoc'!P$2:P$51,'BS-KH26-DaiLoc'!$A$2:$A$51,'Consol BS-DTRG'!$A13)</f>
        <v>0</v>
      </c>
      <c r="CH13" s="15">
        <f>SUMIFS('BS-KH26-DaiLoc'!Q$2:Q$51,'BS-KH26-DaiLoc'!$A$2:$A$51,'Consol BS-DTRG'!$A13)</f>
        <v>0</v>
      </c>
      <c r="CI13" s="15">
        <f>SUMIFS('BS-KH26-DaiLoc'!R$2:R$51,'BS-KH26-DaiLoc'!$A$2:$A$51,'Consol BS-DTRG'!$A13)</f>
        <v>0</v>
      </c>
      <c r="CJ13" s="15">
        <f>SUMIFS('BS-KH26-DaiLoc'!S$2:S$51,'BS-KH26-DaiLoc'!$A$2:$A$51,'Consol BS-DTRG'!$A13)</f>
        <v>0</v>
      </c>
      <c r="CK13" s="15">
        <f>SUMIFS('BS-KH26-DaiLoc'!T$2:T$51,'BS-KH26-DaiLoc'!$A$2:$A$51,'Consol BS-DTRG'!$A13)</f>
        <v>0</v>
      </c>
      <c r="CL13" s="15">
        <f>SUMIFS('BS-KH26-DaiLoc'!U$2:U$51,'BS-KH26-DaiLoc'!$A$2:$A$51,'Consol BS-DTRG'!$A13)</f>
        <v>0</v>
      </c>
      <c r="CM13" s="15">
        <f>SUMIFS('BS-KH26-DaiLoc'!V$2:V$51,'BS-KH26-DaiLoc'!$A$2:$A$51,'Consol BS-DTRG'!$A13)</f>
        <v>0</v>
      </c>
      <c r="CN13" s="15">
        <f>SUMIFS('BS-KH26-DaiLoc'!W$2:W$51,'BS-KH26-DaiLoc'!$A$2:$A$51,'Consol BS-DTRG'!$A13)</f>
        <v>0</v>
      </c>
      <c r="CO13" s="15">
        <f>SUMIFS('BS-KH26-DaiLoc'!X$2:X$51,'BS-KH26-DaiLoc'!$A$2:$A$51,'Consol BS-DTRG'!$A13)</f>
        <v>0</v>
      </c>
      <c r="CQ13" s="15">
        <v>0</v>
      </c>
      <c r="CR13" s="15">
        <f t="shared" si="68"/>
        <v>0</v>
      </c>
      <c r="CS13" s="15">
        <f t="shared" si="68"/>
        <v>0</v>
      </c>
      <c r="CT13" s="15">
        <f t="shared" si="68"/>
        <v>0</v>
      </c>
      <c r="CU13" s="15">
        <f t="shared" si="68"/>
        <v>0</v>
      </c>
      <c r="CV13" s="15">
        <f t="shared" si="68"/>
        <v>0</v>
      </c>
      <c r="CW13" s="15">
        <f t="shared" si="68"/>
        <v>0</v>
      </c>
      <c r="CX13" s="15">
        <f t="shared" si="68"/>
        <v>0</v>
      </c>
      <c r="CY13" s="15">
        <f t="shared" si="68"/>
        <v>0</v>
      </c>
      <c r="CZ13" s="15">
        <f t="shared" si="68"/>
        <v>0</v>
      </c>
      <c r="DA13" s="15">
        <f t="shared" si="68"/>
        <v>0</v>
      </c>
      <c r="DB13" s="15">
        <f t="shared" si="68"/>
        <v>0</v>
      </c>
    </row>
    <row r="14" spans="1:106" hidden="1" outlineLevel="1">
      <c r="A14" s="633">
        <v>11</v>
      </c>
      <c r="B14" s="613" t="s">
        <v>265</v>
      </c>
      <c r="C14" t="s">
        <v>518</v>
      </c>
      <c r="D14" s="15">
        <f t="shared" si="44"/>
        <v>0</v>
      </c>
      <c r="E14" s="15">
        <f t="shared" si="45"/>
        <v>0</v>
      </c>
      <c r="F14" s="15">
        <f t="shared" si="46"/>
        <v>0</v>
      </c>
      <c r="G14" s="15">
        <f t="shared" si="47"/>
        <v>0</v>
      </c>
      <c r="H14" s="15">
        <f t="shared" si="48"/>
        <v>0</v>
      </c>
      <c r="I14" s="15">
        <f t="shared" si="49"/>
        <v>0</v>
      </c>
      <c r="J14" s="15">
        <f t="shared" si="50"/>
        <v>0</v>
      </c>
      <c r="K14" s="15">
        <f t="shared" si="51"/>
        <v>0</v>
      </c>
      <c r="L14" s="15">
        <f t="shared" si="52"/>
        <v>0</v>
      </c>
      <c r="M14" s="15">
        <f t="shared" si="53"/>
        <v>0</v>
      </c>
      <c r="N14" s="15">
        <f t="shared" si="54"/>
        <v>0</v>
      </c>
      <c r="O14" s="15">
        <f t="shared" si="55"/>
        <v>0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D14" s="646">
        <f t="shared" si="56"/>
        <v>0</v>
      </c>
      <c r="AE14" s="15">
        <f t="shared" si="57"/>
        <v>0</v>
      </c>
      <c r="AF14" s="15">
        <f t="shared" si="58"/>
        <v>0</v>
      </c>
      <c r="AG14" s="15">
        <f t="shared" si="59"/>
        <v>0</v>
      </c>
      <c r="AH14" s="15">
        <f t="shared" si="60"/>
        <v>0</v>
      </c>
      <c r="AI14" s="15">
        <f t="shared" si="61"/>
        <v>0</v>
      </c>
      <c r="AJ14" s="15">
        <f t="shared" si="62"/>
        <v>0</v>
      </c>
      <c r="AK14" s="15">
        <f t="shared" si="63"/>
        <v>0</v>
      </c>
      <c r="AL14" s="15">
        <f t="shared" si="64"/>
        <v>0</v>
      </c>
      <c r="AM14" s="15">
        <f t="shared" si="65"/>
        <v>0</v>
      </c>
      <c r="AN14" s="15">
        <f t="shared" si="66"/>
        <v>0</v>
      </c>
      <c r="AO14" s="647">
        <f t="shared" si="67"/>
        <v>0</v>
      </c>
      <c r="AQ14" s="15">
        <f>SUMIFS('BS-KH26-DTR'!D$2:D$116,'BS-KH26-DTR'!$B$2:$B$116,$A14)</f>
        <v>0</v>
      </c>
      <c r="AR14" s="15">
        <f>SUMIFS('BS-KH26-DTR'!E$2:E$116,'BS-KH26-DTR'!$B$2:$B$116,$A14)</f>
        <v>0</v>
      </c>
      <c r="AS14" s="15">
        <f>SUMIFS('BS-KH26-DTR'!F$2:F$116,'BS-KH26-DTR'!$B$2:$B$116,$A14)</f>
        <v>0</v>
      </c>
      <c r="AT14" s="15">
        <f>SUMIFS('BS-KH26-DTR'!G$2:G$116,'BS-KH26-DTR'!$B$2:$B$116,$A14)</f>
        <v>0</v>
      </c>
      <c r="AU14" s="15">
        <f>SUMIFS('BS-KH26-DTR'!H$2:H$116,'BS-KH26-DTR'!$B$2:$B$116,$A14)</f>
        <v>0</v>
      </c>
      <c r="AV14" s="15">
        <f>SUMIFS('BS-KH26-DTR'!I$2:I$116,'BS-KH26-DTR'!$B$2:$B$116,$A14)</f>
        <v>0</v>
      </c>
      <c r="AW14" s="15">
        <f>SUMIFS('BS-KH26-DTR'!J$2:J$116,'BS-KH26-DTR'!$B$2:$B$116,$A14)</f>
        <v>0</v>
      </c>
      <c r="AX14" s="15">
        <f>SUMIFS('BS-KH26-DTR'!K$2:K$116,'BS-KH26-DTR'!$B$2:$B$116,$A14)</f>
        <v>0</v>
      </c>
      <c r="AY14" s="15">
        <f>SUMIFS('BS-KH26-DTR'!L$2:L$116,'BS-KH26-DTR'!$B$2:$B$116,$A14)</f>
        <v>0</v>
      </c>
      <c r="AZ14" s="15">
        <f>SUMIFS('BS-KH26-DTR'!M$2:M$116,'BS-KH26-DTR'!$B$2:$B$116,$A14)</f>
        <v>0</v>
      </c>
      <c r="BA14" s="15">
        <f>SUMIFS('BS-KH26-DTR'!N$2:N$116,'BS-KH26-DTR'!$B$2:$B$116,$A14)</f>
        <v>0</v>
      </c>
      <c r="BB14" s="15">
        <f>SUMIFS('BS-KH26-DTR'!O$2:O$116,'BS-KH26-DTR'!$B$2:$B$116,$A14)</f>
        <v>0</v>
      </c>
      <c r="BD14" s="15">
        <f>SUMIFS('BS-KH26-DongLam'!M$2:M$51,'BS-KH26-DongLam'!$A$2:$A$51,'Consol BS-DTRG'!$A14)</f>
        <v>0</v>
      </c>
      <c r="BE14" s="15">
        <f>SUMIFS('BS-KH26-DongLam'!N$2:N$51,'BS-KH26-DongLam'!$A$2:$A$51,'Consol BS-DTRG'!$A14)</f>
        <v>0</v>
      </c>
      <c r="BF14" s="15">
        <f>SUMIFS('BS-KH26-DongLam'!O$2:O$51,'BS-KH26-DongLam'!$A$2:$A$51,'Consol BS-DTRG'!$A14)</f>
        <v>0</v>
      </c>
      <c r="BG14" s="15">
        <f>SUMIFS('BS-KH26-DongLam'!P$2:P$51,'BS-KH26-DongLam'!$A$2:$A$51,'Consol BS-DTRG'!$A14)</f>
        <v>0</v>
      </c>
      <c r="BH14" s="15">
        <f>SUMIFS('BS-KH26-DongLam'!Q$2:Q$51,'BS-KH26-DongLam'!$A$2:$A$51,'Consol BS-DTRG'!$A14)</f>
        <v>0</v>
      </c>
      <c r="BI14" s="15">
        <f>SUMIFS('BS-KH26-DongLam'!R$2:R$51,'BS-KH26-DongLam'!$A$2:$A$51,'Consol BS-DTRG'!$A14)</f>
        <v>0</v>
      </c>
      <c r="BJ14" s="15">
        <f>SUMIFS('BS-KH26-DongLam'!S$2:S$51,'BS-KH26-DongLam'!$A$2:$A$51,'Consol BS-DTRG'!$A14)</f>
        <v>0</v>
      </c>
      <c r="BK14" s="15">
        <f>SUMIFS('BS-KH26-DongLam'!T$2:T$51,'BS-KH26-DongLam'!$A$2:$A$51,'Consol BS-DTRG'!$A14)</f>
        <v>0</v>
      </c>
      <c r="BL14" s="15">
        <f>SUMIFS('BS-KH26-DongLam'!U$2:U$51,'BS-KH26-DongLam'!$A$2:$A$51,'Consol BS-DTRG'!$A14)</f>
        <v>0</v>
      </c>
      <c r="BM14" s="15">
        <f>SUMIFS('BS-KH26-DongLam'!V$2:V$51,'BS-KH26-DongLam'!$A$2:$A$51,'Consol BS-DTRG'!$A14)</f>
        <v>0</v>
      </c>
      <c r="BN14" s="15">
        <f>SUMIFS('BS-KH26-DongLam'!W$2:W$51,'BS-KH26-DongLam'!$A$2:$A$51,'Consol BS-DTRG'!$A14)</f>
        <v>0</v>
      </c>
      <c r="BO14" s="15">
        <f>SUMIFS('BS-KH26-DongLam'!X$2:X$51,'BS-KH26-DongLam'!$A$2:$A$51,'Consol BS-DTRG'!$A14)</f>
        <v>0</v>
      </c>
      <c r="BQ14" s="15">
        <f>SUMIFS('BS-KH26-KhanhNga'!M$2:M$51,'BS-KH26-KhanhNga'!$A$2:$A$51,'Consol BS-DTRG'!$A14)</f>
        <v>0</v>
      </c>
      <c r="BR14" s="15">
        <f>SUMIFS('BS-KH26-KhanhNga'!N$2:N$51,'BS-KH26-KhanhNga'!$A$2:$A$51,'Consol BS-DTRG'!$A14)</f>
        <v>0</v>
      </c>
      <c r="BS14" s="15">
        <f>SUMIFS('BS-KH26-KhanhNga'!O$2:O$51,'BS-KH26-KhanhNga'!$A$2:$A$51,'Consol BS-DTRG'!$A14)</f>
        <v>0</v>
      </c>
      <c r="BT14" s="15">
        <f>SUMIFS('BS-KH26-KhanhNga'!P$2:P$51,'BS-KH26-KhanhNga'!$A$2:$A$51,'Consol BS-DTRG'!$A14)</f>
        <v>0</v>
      </c>
      <c r="BU14" s="15">
        <f>SUMIFS('BS-KH26-KhanhNga'!Q$2:Q$51,'BS-KH26-KhanhNga'!$A$2:$A$51,'Consol BS-DTRG'!$A14)</f>
        <v>0</v>
      </c>
      <c r="BV14" s="15">
        <f>SUMIFS('BS-KH26-KhanhNga'!R$2:R$51,'BS-KH26-KhanhNga'!$A$2:$A$51,'Consol BS-DTRG'!$A14)</f>
        <v>0</v>
      </c>
      <c r="BW14" s="15">
        <f>SUMIFS('BS-KH26-KhanhNga'!S$2:S$51,'BS-KH26-KhanhNga'!$A$2:$A$51,'Consol BS-DTRG'!$A14)</f>
        <v>0</v>
      </c>
      <c r="BX14" s="15">
        <f>SUMIFS('BS-KH26-KhanhNga'!T$2:T$51,'BS-KH26-KhanhNga'!$A$2:$A$51,'Consol BS-DTRG'!$A14)</f>
        <v>0</v>
      </c>
      <c r="BY14" s="15">
        <f>SUMIFS('BS-KH26-KhanhNga'!U$2:U$51,'BS-KH26-KhanhNga'!$A$2:$A$51,'Consol BS-DTRG'!$A14)</f>
        <v>0</v>
      </c>
      <c r="BZ14" s="15">
        <f>SUMIFS('BS-KH26-KhanhNga'!V$2:V$51,'BS-KH26-KhanhNga'!$A$2:$A$51,'Consol BS-DTRG'!$A14)</f>
        <v>0</v>
      </c>
      <c r="CA14" s="15">
        <f>SUMIFS('BS-KH26-KhanhNga'!W$2:W$51,'BS-KH26-KhanhNga'!$A$2:$A$51,'Consol BS-DTRG'!$A14)</f>
        <v>0</v>
      </c>
      <c r="CB14" s="15">
        <f>SUMIFS('BS-KH26-KhanhNga'!X$2:X$51,'BS-KH26-KhanhNga'!$A$2:$A$51,'Consol BS-DTRG'!$A14)</f>
        <v>0</v>
      </c>
      <c r="CD14" s="15">
        <f>SUMIFS('BS-KH26-DaiLoc'!M$2:M$51,'BS-KH26-DaiLoc'!$A$2:$A$51,'Consol BS-DTRG'!$A14)</f>
        <v>0</v>
      </c>
      <c r="CE14" s="15">
        <f>SUMIFS('BS-KH26-DaiLoc'!N$2:N$51,'BS-KH26-DaiLoc'!$A$2:$A$51,'Consol BS-DTRG'!$A14)</f>
        <v>0</v>
      </c>
      <c r="CF14" s="15">
        <f>SUMIFS('BS-KH26-DaiLoc'!O$2:O$51,'BS-KH26-DaiLoc'!$A$2:$A$51,'Consol BS-DTRG'!$A14)</f>
        <v>0</v>
      </c>
      <c r="CG14" s="15">
        <f>SUMIFS('BS-KH26-DaiLoc'!P$2:P$51,'BS-KH26-DaiLoc'!$A$2:$A$51,'Consol BS-DTRG'!$A14)</f>
        <v>0</v>
      </c>
      <c r="CH14" s="15">
        <f>SUMIFS('BS-KH26-DaiLoc'!Q$2:Q$51,'BS-KH26-DaiLoc'!$A$2:$A$51,'Consol BS-DTRG'!$A14)</f>
        <v>0</v>
      </c>
      <c r="CI14" s="15">
        <f>SUMIFS('BS-KH26-DaiLoc'!R$2:R$51,'BS-KH26-DaiLoc'!$A$2:$A$51,'Consol BS-DTRG'!$A14)</f>
        <v>0</v>
      </c>
      <c r="CJ14" s="15">
        <f>SUMIFS('BS-KH26-DaiLoc'!S$2:S$51,'BS-KH26-DaiLoc'!$A$2:$A$51,'Consol BS-DTRG'!$A14)</f>
        <v>0</v>
      </c>
      <c r="CK14" s="15">
        <f>SUMIFS('BS-KH26-DaiLoc'!T$2:T$51,'BS-KH26-DaiLoc'!$A$2:$A$51,'Consol BS-DTRG'!$A14)</f>
        <v>0</v>
      </c>
      <c r="CL14" s="15">
        <f>SUMIFS('BS-KH26-DaiLoc'!U$2:U$51,'BS-KH26-DaiLoc'!$A$2:$A$51,'Consol BS-DTRG'!$A14)</f>
        <v>0</v>
      </c>
      <c r="CM14" s="15">
        <f>SUMIFS('BS-KH26-DaiLoc'!V$2:V$51,'BS-KH26-DaiLoc'!$A$2:$A$51,'Consol BS-DTRG'!$A14)</f>
        <v>0</v>
      </c>
      <c r="CN14" s="15">
        <f>SUMIFS('BS-KH26-DaiLoc'!W$2:W$51,'BS-KH26-DaiLoc'!$A$2:$A$51,'Consol BS-DTRG'!$A14)</f>
        <v>0</v>
      </c>
      <c r="CO14" s="15">
        <f>SUMIFS('BS-KH26-DaiLoc'!X$2:X$51,'BS-KH26-DaiLoc'!$A$2:$A$51,'Consol BS-DTRG'!$A14)</f>
        <v>0</v>
      </c>
      <c r="CQ14" s="15">
        <v>0</v>
      </c>
      <c r="CR14" s="15">
        <f t="shared" si="68"/>
        <v>0</v>
      </c>
      <c r="CS14" s="15">
        <f t="shared" si="68"/>
        <v>0</v>
      </c>
      <c r="CT14" s="15">
        <f t="shared" si="68"/>
        <v>0</v>
      </c>
      <c r="CU14" s="15">
        <f t="shared" si="68"/>
        <v>0</v>
      </c>
      <c r="CV14" s="15">
        <f t="shared" si="68"/>
        <v>0</v>
      </c>
      <c r="CW14" s="15">
        <f t="shared" si="68"/>
        <v>0</v>
      </c>
      <c r="CX14" s="15">
        <f t="shared" si="68"/>
        <v>0</v>
      </c>
      <c r="CY14" s="15">
        <f t="shared" si="68"/>
        <v>0</v>
      </c>
      <c r="CZ14" s="15">
        <f t="shared" si="68"/>
        <v>0</v>
      </c>
      <c r="DA14" s="15">
        <f t="shared" si="68"/>
        <v>0</v>
      </c>
      <c r="DB14" s="15">
        <f t="shared" si="68"/>
        <v>0</v>
      </c>
    </row>
    <row r="15" spans="1:106" collapsed="1">
      <c r="A15" s="1">
        <v>12</v>
      </c>
      <c r="B15" s="611" t="s">
        <v>266</v>
      </c>
      <c r="D15" s="14">
        <f t="shared" ref="D15:O15" si="69">SUM(D16:D22)</f>
        <v>347785188519.24219</v>
      </c>
      <c r="E15" s="14">
        <f t="shared" si="69"/>
        <v>329076495961.12952</v>
      </c>
      <c r="F15" s="14">
        <f t="shared" si="69"/>
        <v>286563528563.08813</v>
      </c>
      <c r="G15" s="14">
        <f t="shared" si="69"/>
        <v>385037092797.3974</v>
      </c>
      <c r="H15" s="14">
        <f t="shared" si="69"/>
        <v>330933256155.35437</v>
      </c>
      <c r="I15" s="14">
        <f t="shared" si="69"/>
        <v>335950107257.86877</v>
      </c>
      <c r="J15" s="14">
        <f t="shared" si="69"/>
        <v>354944915128.17139</v>
      </c>
      <c r="K15" s="14">
        <f t="shared" si="69"/>
        <v>341614159501.67957</v>
      </c>
      <c r="L15" s="14">
        <f t="shared" si="69"/>
        <v>320406805512.27338</v>
      </c>
      <c r="M15" s="14">
        <f t="shared" si="69"/>
        <v>368892758135.89014</v>
      </c>
      <c r="N15" s="14">
        <f t="shared" si="69"/>
        <v>334771816011.67499</v>
      </c>
      <c r="O15" s="14">
        <f t="shared" si="69"/>
        <v>187558371126.05792</v>
      </c>
      <c r="Q15" s="14">
        <f t="shared" ref="Q15:AB15" si="70">SUM(Q16:Q22)</f>
        <v>0</v>
      </c>
      <c r="R15" s="14">
        <f t="shared" si="70"/>
        <v>0</v>
      </c>
      <c r="S15" s="14">
        <f t="shared" si="70"/>
        <v>0</v>
      </c>
      <c r="T15" s="14">
        <f t="shared" si="70"/>
        <v>0</v>
      </c>
      <c r="U15" s="14">
        <f t="shared" si="70"/>
        <v>0</v>
      </c>
      <c r="V15" s="14">
        <f t="shared" si="70"/>
        <v>0</v>
      </c>
      <c r="W15" s="14">
        <f t="shared" si="70"/>
        <v>0</v>
      </c>
      <c r="X15" s="14">
        <f t="shared" si="70"/>
        <v>0</v>
      </c>
      <c r="Y15" s="14">
        <f t="shared" si="70"/>
        <v>0</v>
      </c>
      <c r="Z15" s="14">
        <f t="shared" si="70"/>
        <v>0</v>
      </c>
      <c r="AA15" s="14">
        <f t="shared" si="70"/>
        <v>0</v>
      </c>
      <c r="AB15" s="14">
        <f t="shared" si="70"/>
        <v>0</v>
      </c>
      <c r="AD15" s="644">
        <f t="shared" ref="AD15" si="71">SUM(AD16:AD22)</f>
        <v>347785188519.24219</v>
      </c>
      <c r="AE15" s="14">
        <f t="shared" ref="AE15:AO15" si="72">SUM(AE16:AE22)</f>
        <v>329076495961.12952</v>
      </c>
      <c r="AF15" s="14">
        <f t="shared" si="72"/>
        <v>286563528563.08813</v>
      </c>
      <c r="AG15" s="14">
        <f t="shared" si="72"/>
        <v>385037092797.3974</v>
      </c>
      <c r="AH15" s="14">
        <f t="shared" si="72"/>
        <v>330933256155.35437</v>
      </c>
      <c r="AI15" s="14">
        <f t="shared" si="72"/>
        <v>335950107257.86877</v>
      </c>
      <c r="AJ15" s="14">
        <f t="shared" si="72"/>
        <v>354944915128.17139</v>
      </c>
      <c r="AK15" s="14">
        <f t="shared" si="72"/>
        <v>341614159501.67957</v>
      </c>
      <c r="AL15" s="14">
        <f t="shared" si="72"/>
        <v>320406805512.27338</v>
      </c>
      <c r="AM15" s="14">
        <f t="shared" si="72"/>
        <v>368892758135.89014</v>
      </c>
      <c r="AN15" s="14">
        <f t="shared" si="72"/>
        <v>334771816011.67499</v>
      </c>
      <c r="AO15" s="645">
        <f t="shared" si="72"/>
        <v>187558371126.05792</v>
      </c>
      <c r="AQ15" s="14">
        <f t="shared" ref="AQ15:BB15" si="73">SUM(AQ16:AQ22)</f>
        <v>318653856106.23877</v>
      </c>
      <c r="AR15" s="14">
        <f t="shared" si="73"/>
        <v>301682157845.58716</v>
      </c>
      <c r="AS15" s="14">
        <f t="shared" si="73"/>
        <v>256356601599.76367</v>
      </c>
      <c r="AT15" s="14">
        <f t="shared" si="73"/>
        <v>353367879902.67828</v>
      </c>
      <c r="AU15" s="14">
        <f t="shared" si="73"/>
        <v>299101871623.71466</v>
      </c>
      <c r="AV15" s="14">
        <f t="shared" si="73"/>
        <v>304109931226.27271</v>
      </c>
      <c r="AW15" s="14">
        <f t="shared" si="73"/>
        <v>322942362385.04431</v>
      </c>
      <c r="AX15" s="14">
        <f t="shared" si="73"/>
        <v>309597154937.6347</v>
      </c>
      <c r="AY15" s="14">
        <f t="shared" si="73"/>
        <v>288534612595.59631</v>
      </c>
      <c r="AZ15" s="14">
        <f t="shared" si="73"/>
        <v>336634355369.8728</v>
      </c>
      <c r="BA15" s="14">
        <f t="shared" si="73"/>
        <v>302658132137.44196</v>
      </c>
      <c r="BB15" s="14">
        <f t="shared" si="73"/>
        <v>155284702660.80573</v>
      </c>
      <c r="BD15" s="14">
        <f t="shared" ref="BD15:BO15" si="74">SUM(BD16:BD22)</f>
        <v>2200524835.9310608</v>
      </c>
      <c r="BE15" s="14">
        <f t="shared" si="74"/>
        <v>1322838216.6513026</v>
      </c>
      <c r="BF15" s="14">
        <f t="shared" si="74"/>
        <v>2910773736.2893195</v>
      </c>
      <c r="BG15" s="14">
        <f t="shared" si="74"/>
        <v>3693636550.8255968</v>
      </c>
      <c r="BH15" s="14">
        <f t="shared" si="74"/>
        <v>3851585459.1959</v>
      </c>
      <c r="BI15" s="14">
        <f t="shared" si="74"/>
        <v>3856131123.2392621</v>
      </c>
      <c r="BJ15" s="14">
        <f t="shared" si="74"/>
        <v>4014255197.7309771</v>
      </c>
      <c r="BK15" s="14">
        <f t="shared" si="74"/>
        <v>4024445242.437861</v>
      </c>
      <c r="BL15" s="14">
        <f t="shared" si="74"/>
        <v>3875377868.2662535</v>
      </c>
      <c r="BM15" s="14">
        <f t="shared" si="74"/>
        <v>4030682199.7736573</v>
      </c>
      <c r="BN15" s="14">
        <f t="shared" si="74"/>
        <v>3881729304.2392731</v>
      </c>
      <c r="BO15" s="14">
        <f t="shared" si="74"/>
        <v>4037480675.1261106</v>
      </c>
      <c r="BQ15" s="14">
        <f t="shared" ref="BQ15:CB15" si="75">SUM(BQ16:BQ22)</f>
        <v>2049997595.0723708</v>
      </c>
      <c r="BR15" s="14">
        <f t="shared" si="75"/>
        <v>1617179500.2243805</v>
      </c>
      <c r="BS15" s="14">
        <f t="shared" si="75"/>
        <v>2202098453.3685055</v>
      </c>
      <c r="BT15" s="14">
        <f t="shared" si="75"/>
        <v>2351584070.226881</v>
      </c>
      <c r="BU15" s="14">
        <f t="shared" si="75"/>
        <v>2355806798.7771864</v>
      </c>
      <c r="BV15" s="14">
        <f t="shared" si="75"/>
        <v>2360052634.6900826</v>
      </c>
      <c r="BW15" s="14">
        <f t="shared" si="75"/>
        <v>2364305271.7294025</v>
      </c>
      <c r="BX15" s="14">
        <f t="shared" si="75"/>
        <v>2368567047.9403706</v>
      </c>
      <c r="BY15" s="14">
        <f t="shared" si="75"/>
        <v>2372822774.7441788</v>
      </c>
      <c r="BZ15" s="14">
        <f t="shared" si="75"/>
        <v>2377047875.9103041</v>
      </c>
      <c r="CA15" s="14">
        <f t="shared" si="75"/>
        <v>2381281879.6604056</v>
      </c>
      <c r="CB15" s="14">
        <f t="shared" si="75"/>
        <v>2385515099.7927771</v>
      </c>
      <c r="CD15" s="14">
        <f t="shared" ref="CD15:CO15" si="76">SUM(CD16:CD22)</f>
        <v>4880809982</v>
      </c>
      <c r="CE15" s="14">
        <f t="shared" si="76"/>
        <v>4454320398.666666</v>
      </c>
      <c r="CF15" s="14">
        <f t="shared" si="76"/>
        <v>5094054773.666666</v>
      </c>
      <c r="CG15" s="14">
        <f t="shared" si="76"/>
        <v>5623992273.666666</v>
      </c>
      <c r="CH15" s="14">
        <f t="shared" si="76"/>
        <v>5623992273.666666</v>
      </c>
      <c r="CI15" s="14">
        <f t="shared" si="76"/>
        <v>5623992273.666666</v>
      </c>
      <c r="CJ15" s="14">
        <f t="shared" si="76"/>
        <v>5623992273.666666</v>
      </c>
      <c r="CK15" s="14">
        <f t="shared" si="76"/>
        <v>5623992273.666666</v>
      </c>
      <c r="CL15" s="14">
        <f t="shared" si="76"/>
        <v>5623992273.666666</v>
      </c>
      <c r="CM15" s="14">
        <f t="shared" si="76"/>
        <v>5850672690.333333</v>
      </c>
      <c r="CN15" s="14">
        <f t="shared" si="76"/>
        <v>5850672690.333333</v>
      </c>
      <c r="CO15" s="14">
        <f t="shared" si="76"/>
        <v>5850672690.333333</v>
      </c>
      <c r="CQ15" s="14">
        <f t="shared" ref="CQ15:DB15" si="77">SUM(CQ16:CQ22)</f>
        <v>20000000000</v>
      </c>
      <c r="CR15" s="14">
        <f t="shared" si="77"/>
        <v>20000000000</v>
      </c>
      <c r="CS15" s="14">
        <f t="shared" si="77"/>
        <v>20000000000</v>
      </c>
      <c r="CT15" s="14">
        <f t="shared" si="77"/>
        <v>20000000000</v>
      </c>
      <c r="CU15" s="14">
        <f t="shared" si="77"/>
        <v>20000000000</v>
      </c>
      <c r="CV15" s="14">
        <f t="shared" si="77"/>
        <v>20000000000</v>
      </c>
      <c r="CW15" s="14">
        <f t="shared" si="77"/>
        <v>20000000000</v>
      </c>
      <c r="CX15" s="14">
        <f t="shared" si="77"/>
        <v>20000000000</v>
      </c>
      <c r="CY15" s="14">
        <f t="shared" si="77"/>
        <v>20000000000</v>
      </c>
      <c r="CZ15" s="14">
        <f t="shared" si="77"/>
        <v>20000000000</v>
      </c>
      <c r="DA15" s="14">
        <f t="shared" si="77"/>
        <v>20000000000</v>
      </c>
      <c r="DB15" s="14">
        <f t="shared" si="77"/>
        <v>20000000000</v>
      </c>
    </row>
    <row r="16" spans="1:106" hidden="1" outlineLevel="1">
      <c r="A16" s="633">
        <v>13</v>
      </c>
      <c r="B16" s="614" t="s">
        <v>267</v>
      </c>
      <c r="C16" t="s">
        <v>518</v>
      </c>
      <c r="D16" s="15">
        <f t="shared" ref="D16:D22" si="78">AD16+Q16</f>
        <v>164764182762.08218</v>
      </c>
      <c r="E16" s="15">
        <f t="shared" ref="E16:E22" si="79">AE16+R16</f>
        <v>175256267424.15839</v>
      </c>
      <c r="F16" s="15">
        <f t="shared" ref="F16:F22" si="80">AF16+S16</f>
        <v>134339408307.99889</v>
      </c>
      <c r="G16" s="15">
        <f t="shared" ref="G16:G22" si="81">AG16+T16</f>
        <v>140610186977.3497</v>
      </c>
      <c r="H16" s="15">
        <f t="shared" ref="H16:H22" si="82">AH16+U16</f>
        <v>141209139349.29562</v>
      </c>
      <c r="I16" s="15">
        <f t="shared" ref="I16:I22" si="83">AI16+V16</f>
        <v>143489031827.51044</v>
      </c>
      <c r="J16" s="15">
        <f t="shared" ref="J16:J22" si="84">AJ16+W16</f>
        <v>163904054434.84921</v>
      </c>
      <c r="K16" s="15">
        <f t="shared" ref="K16:K22" si="85">AK16+X16</f>
        <v>155108372445.00027</v>
      </c>
      <c r="L16" s="15">
        <f t="shared" ref="L16:L22" si="86">AL16+Y16</f>
        <v>125155890629.63353</v>
      </c>
      <c r="M16" s="15">
        <f t="shared" ref="M16:M22" si="87">AM16+Z16</f>
        <v>184975829942.71661</v>
      </c>
      <c r="N16" s="15">
        <f t="shared" ref="N16:N22" si="88">AN16+AA16</f>
        <v>142211053904.67191</v>
      </c>
      <c r="O16" s="15">
        <f t="shared" ref="O16:O22" si="89">AO16+AB16</f>
        <v>140272290338.03046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D16" s="646">
        <f t="shared" ref="AD16:AD22" si="90">AQ16+BD16+BQ16+CD16+CQ16</f>
        <v>164764182762.08218</v>
      </c>
      <c r="AE16" s="15">
        <f t="shared" ref="AE16:AE22" si="91">AR16+BE16+BR16+CE16+CR16</f>
        <v>175256267424.15839</v>
      </c>
      <c r="AF16" s="15">
        <f t="shared" ref="AF16:AF22" si="92">AS16+BF16+BS16+CF16+CS16</f>
        <v>134339408307.99889</v>
      </c>
      <c r="AG16" s="15">
        <f t="shared" ref="AG16:AG22" si="93">AT16+BG16+BT16+CG16+CT16</f>
        <v>140610186977.3497</v>
      </c>
      <c r="AH16" s="15">
        <f t="shared" ref="AH16:AH22" si="94">AU16+BH16+BU16+CH16+CU16</f>
        <v>141209139349.29562</v>
      </c>
      <c r="AI16" s="15">
        <f t="shared" ref="AI16:AI22" si="95">AV16+BI16+BV16+CI16+CV16</f>
        <v>143489031827.51044</v>
      </c>
      <c r="AJ16" s="15">
        <f t="shared" ref="AJ16:AJ22" si="96">AW16+BJ16+BW16+CJ16+CW16</f>
        <v>163904054434.84921</v>
      </c>
      <c r="AK16" s="15">
        <f t="shared" ref="AK16:AK22" si="97">AX16+BK16+BX16+CK16+CX16</f>
        <v>155108372445.00027</v>
      </c>
      <c r="AL16" s="15">
        <f t="shared" ref="AL16:AL22" si="98">AY16+BL16+BY16+CL16+CY16</f>
        <v>125155890629.63353</v>
      </c>
      <c r="AM16" s="15">
        <f t="shared" ref="AM16:AM22" si="99">AZ16+BM16+BZ16+CM16+CZ16</f>
        <v>184975829942.71661</v>
      </c>
      <c r="AN16" s="15">
        <f t="shared" ref="AN16:AN22" si="100">BA16+BN16+CA16+CN16+DA16</f>
        <v>142211053904.67191</v>
      </c>
      <c r="AO16" s="647">
        <f t="shared" ref="AO16:AO22" si="101">BB16+BO16+CB16+CO16+DB16</f>
        <v>140272290338.03046</v>
      </c>
      <c r="AQ16" s="15">
        <f>SUMIFS('BS-KH26-DTR'!D$2:D$116,'BS-KH26-DTR'!$B$2:$B$116,$A16)</f>
        <v>158904040887.08218</v>
      </c>
      <c r="AR16" s="15">
        <f>SUMIFS('BS-KH26-DTR'!E$2:E$116,'BS-KH26-DTR'!$B$2:$B$116,$A16)</f>
        <v>171137556382.49173</v>
      </c>
      <c r="AS16" s="15">
        <f>SUMIFS('BS-KH26-DTR'!F$2:F$116,'BS-KH26-DTR'!$B$2:$B$116,$A16)</f>
        <v>127415434141.33221</v>
      </c>
      <c r="AT16" s="15">
        <f>SUMIFS('BS-KH26-DTR'!G$2:G$116,'BS-KH26-DTR'!$B$2:$B$116,$A16)</f>
        <v>132232508060.68303</v>
      </c>
      <c r="AU16" s="15">
        <f>SUMIFS('BS-KH26-DTR'!H$2:H$116,'BS-KH26-DTR'!$B$2:$B$116,$A16)</f>
        <v>132678047265.9623</v>
      </c>
      <c r="AV16" s="15">
        <f>SUMIFS('BS-KH26-DTR'!I$2:I$116,'BS-KH26-DTR'!$B$2:$B$116,$A16)</f>
        <v>134957939744.17712</v>
      </c>
      <c r="AW16" s="15">
        <f>SUMIFS('BS-KH26-DTR'!J$2:J$116,'BS-KH26-DTR'!$B$2:$B$116,$A16)</f>
        <v>155219549184.84921</v>
      </c>
      <c r="AX16" s="15">
        <f>SUMIFS('BS-KH26-DTR'!K$2:K$116,'BS-KH26-DTR'!$B$2:$B$116,$A16)</f>
        <v>146418376861.66696</v>
      </c>
      <c r="AY16" s="15">
        <f>SUMIFS('BS-KH26-DTR'!L$2:L$116,'BS-KH26-DTR'!$B$2:$B$116,$A16)</f>
        <v>116619519379.63353</v>
      </c>
      <c r="AZ16" s="15">
        <f>SUMIFS('BS-KH26-DTR'!M$2:M$116,'BS-KH26-DTR'!$B$2:$B$116,$A16)</f>
        <v>176062179692.71661</v>
      </c>
      <c r="BA16" s="15">
        <f>SUMIFS('BS-KH26-DTR'!N$2:N$116,'BS-KH26-DTR'!$B$2:$B$116,$A16)</f>
        <v>133450911613.00522</v>
      </c>
      <c r="BB16" s="15">
        <f>SUMIFS('BS-KH26-DTR'!O$2:O$116,'BS-KH26-DTR'!$B$2:$B$116,$A16)</f>
        <v>131361104671.3638</v>
      </c>
      <c r="BD16" s="15">
        <f>SUMIFS('BS-KH26-DongLam'!M$2:M$51,'BS-KH26-DongLam'!$A$2:$A$51,'Consol BS-DTRG'!$A16)</f>
        <v>2198043750</v>
      </c>
      <c r="BE16" s="15">
        <f>SUMIFS('BS-KH26-DongLam'!N$2:N$51,'BS-KH26-DongLam'!$A$2:$A$51,'Consol BS-DTRG'!$A16)</f>
        <v>1318826250</v>
      </c>
      <c r="BF16" s="15">
        <f>SUMIFS('BS-KH26-DongLam'!O$2:O$51,'BS-KH26-DongLam'!$A$2:$A$51,'Consol BS-DTRG'!$A16)</f>
        <v>2903390000</v>
      </c>
      <c r="BG16" s="15">
        <f>SUMIFS('BS-KH26-DongLam'!P$2:P$51,'BS-KH26-DongLam'!$A$2:$A$51,'Consol BS-DTRG'!$A16)</f>
        <v>3681916000</v>
      </c>
      <c r="BH16" s="15">
        <f>SUMIFS('BS-KH26-DongLam'!Q$2:Q$51,'BS-KH26-DongLam'!$A$2:$A$51,'Consol BS-DTRG'!$A16)</f>
        <v>3835329166.6666665</v>
      </c>
      <c r="BI16" s="15">
        <f>SUMIFS('BS-KH26-DongLam'!R$2:R$51,'BS-KH26-DongLam'!$A$2:$A$51,'Consol BS-DTRG'!$A16)</f>
        <v>3835329166.6666665</v>
      </c>
      <c r="BJ16" s="15">
        <f>SUMIFS('BS-KH26-DongLam'!S$2:S$51,'BS-KH26-DongLam'!$A$2:$A$51,'Consol BS-DTRG'!$A16)</f>
        <v>3988742333.3333335</v>
      </c>
      <c r="BK16" s="15">
        <f>SUMIFS('BS-KH26-DongLam'!T$2:T$51,'BS-KH26-DongLam'!$A$2:$A$51,'Consol BS-DTRG'!$A16)</f>
        <v>3994232666.6666665</v>
      </c>
      <c r="BL16" s="15">
        <f>SUMIFS('BS-KH26-DongLam'!U$2:U$51,'BS-KH26-DongLam'!$A$2:$A$51,'Consol BS-DTRG'!$A16)</f>
        <v>3840608333.3333335</v>
      </c>
      <c r="BM16" s="15">
        <f>SUMIFS('BS-KH26-DongLam'!V$2:V$51,'BS-KH26-DongLam'!$A$2:$A$51,'Consol BS-DTRG'!$A16)</f>
        <v>3991206916.6666665</v>
      </c>
      <c r="BN16" s="15">
        <f>SUMIFS('BS-KH26-DongLam'!W$2:W$51,'BS-KH26-DongLam'!$A$2:$A$51,'Consol BS-DTRG'!$A16)</f>
        <v>3837698958.3333335</v>
      </c>
      <c r="BO16" s="15">
        <f>SUMIFS('BS-KH26-DongLam'!X$2:X$51,'BS-KH26-DongLam'!$A$2:$A$51,'Consol BS-DTRG'!$A16)</f>
        <v>3988742333.3333335</v>
      </c>
      <c r="BQ16" s="15">
        <f>SUMIFS('BS-KH26-KhanhNga'!M$2:M$51,'BS-KH26-KhanhNga'!$A$2:$A$51,'Consol BS-DTRG'!$A16)</f>
        <v>1742895000</v>
      </c>
      <c r="BR16" s="15">
        <f>SUMIFS('BS-KH26-KhanhNga'!N$2:N$51,'BS-KH26-KhanhNga'!$A$2:$A$51,'Consol BS-DTRG'!$A16)</f>
        <v>1307171250</v>
      </c>
      <c r="BS16" s="15">
        <f>SUMIFS('BS-KH26-KhanhNga'!O$2:O$51,'BS-KH26-KhanhNga'!$A$2:$A$51,'Consol BS-DTRG'!$A16)</f>
        <v>1888136250</v>
      </c>
      <c r="BT16" s="15">
        <f>SUMIFS('BS-KH26-KhanhNga'!P$2:P$51,'BS-KH26-KhanhNga'!$A$2:$A$51,'Consol BS-DTRG'!$A16)</f>
        <v>2033377500</v>
      </c>
      <c r="BU16" s="15">
        <f>SUMIFS('BS-KH26-KhanhNga'!Q$2:Q$51,'BS-KH26-KhanhNga'!$A$2:$A$51,'Consol BS-DTRG'!$A16)</f>
        <v>2033377500</v>
      </c>
      <c r="BV16" s="15">
        <f>SUMIFS('BS-KH26-KhanhNga'!R$2:R$51,'BS-KH26-KhanhNga'!$A$2:$A$51,'Consol BS-DTRG'!$A16)</f>
        <v>2033377500</v>
      </c>
      <c r="BW16" s="15">
        <f>SUMIFS('BS-KH26-KhanhNga'!S$2:S$51,'BS-KH26-KhanhNga'!$A$2:$A$51,'Consol BS-DTRG'!$A16)</f>
        <v>2033377500</v>
      </c>
      <c r="BX16" s="15">
        <f>SUMIFS('BS-KH26-KhanhNga'!T$2:T$51,'BS-KH26-KhanhNga'!$A$2:$A$51,'Consol BS-DTRG'!$A16)</f>
        <v>2033377500</v>
      </c>
      <c r="BY16" s="15">
        <f>SUMIFS('BS-KH26-KhanhNga'!U$2:U$51,'BS-KH26-KhanhNga'!$A$2:$A$51,'Consol BS-DTRG'!$A16)</f>
        <v>2033377500</v>
      </c>
      <c r="BZ16" s="15">
        <f>SUMIFS('BS-KH26-KhanhNga'!V$2:V$51,'BS-KH26-KhanhNga'!$A$2:$A$51,'Consol BS-DTRG'!$A16)</f>
        <v>2033377500</v>
      </c>
      <c r="CA16" s="15">
        <f>SUMIFS('BS-KH26-KhanhNga'!W$2:W$51,'BS-KH26-KhanhNga'!$A$2:$A$51,'Consol BS-DTRG'!$A16)</f>
        <v>2033377500</v>
      </c>
      <c r="CB16" s="15">
        <f>SUMIFS('BS-KH26-KhanhNga'!X$2:X$51,'BS-KH26-KhanhNga'!$A$2:$A$51,'Consol BS-DTRG'!$A16)</f>
        <v>2033377500</v>
      </c>
      <c r="CD16" s="15">
        <f>SUMIFS('BS-KH26-DaiLoc'!M$2:M$51,'BS-KH26-DaiLoc'!$A$2:$A$51,'Consol BS-DTRG'!$A16)</f>
        <v>1919203125</v>
      </c>
      <c r="CE16" s="15">
        <f>SUMIFS('BS-KH26-DaiLoc'!N$2:N$51,'BS-KH26-DaiLoc'!$A$2:$A$51,'Consol BS-DTRG'!$A16)</f>
        <v>1492713541.6666665</v>
      </c>
      <c r="CF16" s="15">
        <f>SUMIFS('BS-KH26-DaiLoc'!O$2:O$51,'BS-KH26-DaiLoc'!$A$2:$A$51,'Consol BS-DTRG'!$A16)</f>
        <v>2132447916.6666665</v>
      </c>
      <c r="CG16" s="15">
        <f>SUMIFS('BS-KH26-DaiLoc'!P$2:P$51,'BS-KH26-DaiLoc'!$A$2:$A$51,'Consol BS-DTRG'!$A16)</f>
        <v>2662385416.6666665</v>
      </c>
      <c r="CH16" s="15">
        <f>SUMIFS('BS-KH26-DaiLoc'!Q$2:Q$51,'BS-KH26-DaiLoc'!$A$2:$A$51,'Consol BS-DTRG'!$A16)</f>
        <v>2662385416.6666665</v>
      </c>
      <c r="CI16" s="15">
        <f>SUMIFS('BS-KH26-DaiLoc'!R$2:R$51,'BS-KH26-DaiLoc'!$A$2:$A$51,'Consol BS-DTRG'!$A16)</f>
        <v>2662385416.6666665</v>
      </c>
      <c r="CJ16" s="15">
        <f>SUMIFS('BS-KH26-DaiLoc'!S$2:S$51,'BS-KH26-DaiLoc'!$A$2:$A$51,'Consol BS-DTRG'!$A16)</f>
        <v>2662385416.6666665</v>
      </c>
      <c r="CK16" s="15">
        <f>SUMIFS('BS-KH26-DaiLoc'!T$2:T$51,'BS-KH26-DaiLoc'!$A$2:$A$51,'Consol BS-DTRG'!$A16)</f>
        <v>2662385416.6666665</v>
      </c>
      <c r="CL16" s="15">
        <f>SUMIFS('BS-KH26-DaiLoc'!U$2:U$51,'BS-KH26-DaiLoc'!$A$2:$A$51,'Consol BS-DTRG'!$A16)</f>
        <v>2662385416.6666665</v>
      </c>
      <c r="CM16" s="15">
        <f>SUMIFS('BS-KH26-DaiLoc'!V$2:V$51,'BS-KH26-DaiLoc'!$A$2:$A$51,'Consol BS-DTRG'!$A16)</f>
        <v>2889065833.333333</v>
      </c>
      <c r="CN16" s="15">
        <f>SUMIFS('BS-KH26-DaiLoc'!W$2:W$51,'BS-KH26-DaiLoc'!$A$2:$A$51,'Consol BS-DTRG'!$A16)</f>
        <v>2889065833.333333</v>
      </c>
      <c r="CO16" s="15">
        <f>SUMIFS('BS-KH26-DaiLoc'!X$2:X$51,'BS-KH26-DaiLoc'!$A$2:$A$51,'Consol BS-DTRG'!$A16)</f>
        <v>2889065833.333333</v>
      </c>
      <c r="CQ16" s="15">
        <v>0</v>
      </c>
      <c r="CR16" s="15">
        <f t="shared" ref="CR16:DB22" si="102">CQ16</f>
        <v>0</v>
      </c>
      <c r="CS16" s="15">
        <f t="shared" si="102"/>
        <v>0</v>
      </c>
      <c r="CT16" s="15">
        <f t="shared" si="102"/>
        <v>0</v>
      </c>
      <c r="CU16" s="15">
        <f t="shared" si="102"/>
        <v>0</v>
      </c>
      <c r="CV16" s="15">
        <f t="shared" si="102"/>
        <v>0</v>
      </c>
      <c r="CW16" s="15">
        <f t="shared" si="102"/>
        <v>0</v>
      </c>
      <c r="CX16" s="15">
        <f t="shared" si="102"/>
        <v>0</v>
      </c>
      <c r="CY16" s="15">
        <f t="shared" si="102"/>
        <v>0</v>
      </c>
      <c r="CZ16" s="15">
        <f t="shared" si="102"/>
        <v>0</v>
      </c>
      <c r="DA16" s="15">
        <f t="shared" si="102"/>
        <v>0</v>
      </c>
      <c r="DB16" s="15">
        <f t="shared" si="102"/>
        <v>0</v>
      </c>
    </row>
    <row r="17" spans="1:106" hidden="1" outlineLevel="1">
      <c r="A17" s="633">
        <v>14</v>
      </c>
      <c r="B17" s="614" t="s">
        <v>268</v>
      </c>
      <c r="C17" t="s">
        <v>518</v>
      </c>
      <c r="D17" s="15">
        <f t="shared" si="78"/>
        <v>96171404299.160004</v>
      </c>
      <c r="E17" s="15">
        <f t="shared" si="79"/>
        <v>113355627078.97113</v>
      </c>
      <c r="F17" s="15">
        <f t="shared" si="80"/>
        <v>111514518797.08928</v>
      </c>
      <c r="G17" s="15">
        <f t="shared" si="81"/>
        <v>202068904362.0477</v>
      </c>
      <c r="H17" s="15">
        <f t="shared" si="82"/>
        <v>147366115348.05878</v>
      </c>
      <c r="I17" s="15">
        <f t="shared" si="83"/>
        <v>150103073972.35831</v>
      </c>
      <c r="J17" s="15">
        <f t="shared" si="84"/>
        <v>147632859235.32217</v>
      </c>
      <c r="K17" s="15">
        <f t="shared" si="85"/>
        <v>143097785598.67932</v>
      </c>
      <c r="L17" s="15">
        <f t="shared" si="86"/>
        <v>151842913424.63986</v>
      </c>
      <c r="M17" s="15">
        <f t="shared" si="87"/>
        <v>140508926735.17352</v>
      </c>
      <c r="N17" s="15">
        <f t="shared" si="88"/>
        <v>149152760649.00308</v>
      </c>
      <c r="O17" s="15">
        <f t="shared" si="89"/>
        <v>3878079330.0274644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D17" s="646">
        <f t="shared" si="90"/>
        <v>96171404299.160004</v>
      </c>
      <c r="AE17" s="15">
        <f t="shared" si="91"/>
        <v>113355627078.97113</v>
      </c>
      <c r="AF17" s="15">
        <f t="shared" si="92"/>
        <v>111514518797.08928</v>
      </c>
      <c r="AG17" s="15">
        <f t="shared" si="93"/>
        <v>202068904362.0477</v>
      </c>
      <c r="AH17" s="15">
        <f t="shared" si="94"/>
        <v>147366115348.05878</v>
      </c>
      <c r="AI17" s="15">
        <f t="shared" si="95"/>
        <v>150103073972.35831</v>
      </c>
      <c r="AJ17" s="15">
        <f t="shared" si="96"/>
        <v>147632859235.32217</v>
      </c>
      <c r="AK17" s="15">
        <f t="shared" si="97"/>
        <v>143097785598.67932</v>
      </c>
      <c r="AL17" s="15">
        <f t="shared" si="98"/>
        <v>151842913424.63986</v>
      </c>
      <c r="AM17" s="15">
        <f t="shared" si="99"/>
        <v>140508926735.17352</v>
      </c>
      <c r="AN17" s="15">
        <f t="shared" si="100"/>
        <v>149152760649.00308</v>
      </c>
      <c r="AO17" s="647">
        <f t="shared" si="101"/>
        <v>3878079330.0274644</v>
      </c>
      <c r="AQ17" s="15">
        <f>SUMIFS('BS-KH26-DTR'!D$2:D$116,'BS-KH26-DTR'!$B$2:$B$116,$A17)</f>
        <v>96165219876.15657</v>
      </c>
      <c r="AR17" s="15">
        <f>SUMIFS('BS-KH26-DTR'!E$2:E$116,'BS-KH26-DTR'!$B$2:$B$116,$A17)</f>
        <v>113345006120.09544</v>
      </c>
      <c r="AS17" s="15">
        <f>SUMIFS('BS-KH26-DTR'!F$2:F$116,'BS-KH26-DTR'!$B$2:$B$116,$A17)</f>
        <v>111496572115.43146</v>
      </c>
      <c r="AT17" s="15">
        <f>SUMIFS('BS-KH26-DTR'!G$2:G$116,'BS-KH26-DTR'!$B$2:$B$116,$A17)</f>
        <v>202042376498.99524</v>
      </c>
      <c r="AU17" s="15">
        <f>SUMIFS('BS-KH26-DTR'!H$2:H$116,'BS-KH26-DTR'!$B$2:$B$116,$A17)</f>
        <v>147330829014.75235</v>
      </c>
      <c r="AV17" s="15">
        <f>SUMIFS('BS-KH26-DTR'!I$2:I$116,'BS-KH26-DTR'!$B$2:$B$116,$A17)</f>
        <v>150058996139.09561</v>
      </c>
      <c r="AW17" s="15">
        <f>SUMIFS('BS-KH26-DTR'!J$2:J$116,'BS-KH26-DTR'!$B$2:$B$116,$A17)</f>
        <v>147579817857.19513</v>
      </c>
      <c r="AX17" s="15">
        <f>SUMIFS('BS-KH26-DTR'!K$2:K$116,'BS-KH26-DTR'!$B$2:$B$116,$A17)</f>
        <v>143035782732.96774</v>
      </c>
      <c r="AY17" s="15">
        <f>SUMIFS('BS-KH26-DTR'!L$2:L$116,'BS-KH26-DTR'!$B$2:$B$116,$A17)</f>
        <v>151772097872.96277</v>
      </c>
      <c r="AZ17" s="15">
        <f>SUMIFS('BS-KH26-DTR'!M$2:M$116,'BS-KH26-DTR'!$B$2:$B$116,$A17)</f>
        <v>140429180334.15622</v>
      </c>
      <c r="BA17" s="15">
        <f>SUMIFS('BS-KH26-DTR'!N$2:N$116,'BS-KH26-DTR'!$B$2:$B$116,$A17)</f>
        <v>149064225181.43674</v>
      </c>
      <c r="BB17" s="15">
        <f>SUMIFS('BS-KH26-DTR'!O$2:O$116,'BS-KH26-DTR'!$B$2:$B$116,$A17)</f>
        <v>3780602646.4419103</v>
      </c>
      <c r="BD17" s="15">
        <f>SUMIFS('BS-KH26-DongLam'!M$2:M$51,'BS-KH26-DongLam'!$A$2:$A$51,'Consol BS-DTRG'!$A17)</f>
        <v>2481085.9310605978</v>
      </c>
      <c r="BE17" s="15">
        <f>SUMIFS('BS-KH26-DongLam'!N$2:N$51,'BS-KH26-DongLam'!$A$2:$A$51,'Consol BS-DTRG'!$A17)</f>
        <v>4011966.651302495</v>
      </c>
      <c r="BF17" s="15">
        <f>SUMIFS('BS-KH26-DongLam'!O$2:O$51,'BS-KH26-DongLam'!$A$2:$A$51,'Consol BS-DTRG'!$A17)</f>
        <v>7383736.2893192824</v>
      </c>
      <c r="BG17" s="15">
        <f>SUMIFS('BS-KH26-DongLam'!P$2:P$51,'BS-KH26-DongLam'!$A$2:$A$51,'Consol BS-DTRG'!$A17)</f>
        <v>11720550.82559661</v>
      </c>
      <c r="BH17" s="15">
        <f>SUMIFS('BS-KH26-DongLam'!Q$2:Q$51,'BS-KH26-DongLam'!$A$2:$A$51,'Consol BS-DTRG'!$A17)</f>
        <v>16256292.529233245</v>
      </c>
      <c r="BI17" s="15">
        <f>SUMIFS('BS-KH26-DongLam'!R$2:R$51,'BS-KH26-DongLam'!$A$2:$A$51,'Consol BS-DTRG'!$A17)</f>
        <v>20801956.57259547</v>
      </c>
      <c r="BJ17" s="15">
        <f>SUMIFS('BS-KH26-DongLam'!S$2:S$51,'BS-KH26-DongLam'!$A$2:$A$51,'Consol BS-DTRG'!$A17)</f>
        <v>25512864.397643711</v>
      </c>
      <c r="BK17" s="15">
        <f>SUMIFS('BS-KH26-DongLam'!T$2:T$51,'BS-KH26-DongLam'!$A$2:$A$51,'Consol BS-DTRG'!$A17)</f>
        <v>30212575.771194648</v>
      </c>
      <c r="BL17" s="15">
        <f>SUMIFS('BS-KH26-DongLam'!U$2:U$51,'BS-KH26-DongLam'!$A$2:$A$51,'Consol BS-DTRG'!$A17)</f>
        <v>34769534.932920165</v>
      </c>
      <c r="BM17" s="15">
        <f>SUMIFS('BS-KH26-DongLam'!V$2:V$51,'BS-KH26-DongLam'!$A$2:$A$51,'Consol BS-DTRG'!$A17)</f>
        <v>39475283.10699071</v>
      </c>
      <c r="BN17" s="15">
        <f>SUMIFS('BS-KH26-DongLam'!W$2:W$51,'BS-KH26-DongLam'!$A$2:$A$51,'Consol BS-DTRG'!$A17)</f>
        <v>44030345.90593949</v>
      </c>
      <c r="BO17" s="15">
        <f>SUMIFS('BS-KH26-DongLam'!X$2:X$51,'BS-KH26-DongLam'!$A$2:$A$51,'Consol BS-DTRG'!$A17)</f>
        <v>48738341.792777002</v>
      </c>
      <c r="BQ17" s="15">
        <f>SUMIFS('BS-KH26-KhanhNga'!M$2:M$51,'BS-KH26-KhanhNga'!$A$2:$A$51,'Consol BS-DTRG'!$A17)</f>
        <v>3703337.0723706605</v>
      </c>
      <c r="BR17" s="15">
        <f>SUMIFS('BS-KH26-KhanhNga'!N$2:N$51,'BS-KH26-KhanhNga'!$A$2:$A$51,'Consol BS-DTRG'!$A17)</f>
        <v>6608992.2243806124</v>
      </c>
      <c r="BS17" s="15">
        <f>SUMIFS('BS-KH26-KhanhNga'!O$2:O$51,'BS-KH26-KhanhNga'!$A$2:$A$51,'Consol BS-DTRG'!$A17)</f>
        <v>10562945.368505789</v>
      </c>
      <c r="BT17" s="15">
        <f>SUMIFS('BS-KH26-KhanhNga'!P$2:P$51,'BS-KH26-KhanhNga'!$A$2:$A$51,'Consol BS-DTRG'!$A17)</f>
        <v>14807312.226880889</v>
      </c>
      <c r="BU17" s="15">
        <f>SUMIFS('BS-KH26-KhanhNga'!Q$2:Q$51,'BS-KH26-KhanhNga'!$A$2:$A$51,'Consol BS-DTRG'!$A17)</f>
        <v>19030040.777186524</v>
      </c>
      <c r="BV17" s="15">
        <f>SUMIFS('BS-KH26-KhanhNga'!R$2:R$51,'BS-KH26-KhanhNga'!$A$2:$A$51,'Consol BS-DTRG'!$A17)</f>
        <v>23275876.690082442</v>
      </c>
      <c r="BW17" s="15">
        <f>SUMIFS('BS-KH26-KhanhNga'!S$2:S$51,'BS-KH26-KhanhNga'!$A$2:$A$51,'Consol BS-DTRG'!$A17)</f>
        <v>27528513.729402535</v>
      </c>
      <c r="BX17" s="15">
        <f>SUMIFS('BS-KH26-KhanhNga'!T$2:T$51,'BS-KH26-KhanhNga'!$A$2:$A$51,'Consol BS-DTRG'!$A17)</f>
        <v>31790289.940370385</v>
      </c>
      <c r="BY17" s="15">
        <f>SUMIFS('BS-KH26-KhanhNga'!U$2:U$51,'BS-KH26-KhanhNga'!$A$2:$A$51,'Consol BS-DTRG'!$A17)</f>
        <v>36046016.744178995</v>
      </c>
      <c r="BZ17" s="15">
        <f>SUMIFS('BS-KH26-KhanhNga'!V$2:V$51,'BS-KH26-KhanhNga'!$A$2:$A$51,'Consol BS-DTRG'!$A17)</f>
        <v>40271117.910304412</v>
      </c>
      <c r="CA17" s="15">
        <f>SUMIFS('BS-KH26-KhanhNga'!W$2:W$51,'BS-KH26-KhanhNga'!$A$2:$A$51,'Consol BS-DTRG'!$A17)</f>
        <v>44505121.660405688</v>
      </c>
      <c r="CB17" s="15">
        <f>SUMIFS('BS-KH26-KhanhNga'!X$2:X$51,'BS-KH26-KhanhNga'!$A$2:$A$51,'Consol BS-DTRG'!$A17)</f>
        <v>48738341.792777009</v>
      </c>
      <c r="CD17" s="15">
        <f>SUMIFS('BS-KH26-DaiLoc'!M$2:M$51,'BS-KH26-DaiLoc'!$A$2:$A$51,'Consol BS-DTRG'!$A17)</f>
        <v>0</v>
      </c>
      <c r="CE17" s="15">
        <f>SUMIFS('BS-KH26-DaiLoc'!N$2:N$51,'BS-KH26-DaiLoc'!$A$2:$A$51,'Consol BS-DTRG'!$A17)</f>
        <v>0</v>
      </c>
      <c r="CF17" s="15">
        <f>SUMIFS('BS-KH26-DaiLoc'!O$2:O$51,'BS-KH26-DaiLoc'!$A$2:$A$51,'Consol BS-DTRG'!$A17)</f>
        <v>0</v>
      </c>
      <c r="CG17" s="15">
        <f>SUMIFS('BS-KH26-DaiLoc'!P$2:P$51,'BS-KH26-DaiLoc'!$A$2:$A$51,'Consol BS-DTRG'!$A17)</f>
        <v>0</v>
      </c>
      <c r="CH17" s="15">
        <f>SUMIFS('BS-KH26-DaiLoc'!Q$2:Q$51,'BS-KH26-DaiLoc'!$A$2:$A$51,'Consol BS-DTRG'!$A17)</f>
        <v>0</v>
      </c>
      <c r="CI17" s="15">
        <f>SUMIFS('BS-KH26-DaiLoc'!R$2:R$51,'BS-KH26-DaiLoc'!$A$2:$A$51,'Consol BS-DTRG'!$A17)</f>
        <v>0</v>
      </c>
      <c r="CJ17" s="15">
        <f>SUMIFS('BS-KH26-DaiLoc'!S$2:S$51,'BS-KH26-DaiLoc'!$A$2:$A$51,'Consol BS-DTRG'!$A17)</f>
        <v>0</v>
      </c>
      <c r="CK17" s="15">
        <f>SUMIFS('BS-KH26-DaiLoc'!T$2:T$51,'BS-KH26-DaiLoc'!$A$2:$A$51,'Consol BS-DTRG'!$A17)</f>
        <v>0</v>
      </c>
      <c r="CL17" s="15">
        <f>SUMIFS('BS-KH26-DaiLoc'!U$2:U$51,'BS-KH26-DaiLoc'!$A$2:$A$51,'Consol BS-DTRG'!$A17)</f>
        <v>0</v>
      </c>
      <c r="CM17" s="15">
        <f>SUMIFS('BS-KH26-DaiLoc'!V$2:V$51,'BS-KH26-DaiLoc'!$A$2:$A$51,'Consol BS-DTRG'!$A17)</f>
        <v>0</v>
      </c>
      <c r="CN17" s="15">
        <f>SUMIFS('BS-KH26-DaiLoc'!W$2:W$51,'BS-KH26-DaiLoc'!$A$2:$A$51,'Consol BS-DTRG'!$A17)</f>
        <v>0</v>
      </c>
      <c r="CO17" s="15">
        <f>SUMIFS('BS-KH26-DaiLoc'!X$2:X$51,'BS-KH26-DaiLoc'!$A$2:$A$51,'Consol BS-DTRG'!$A17)</f>
        <v>0</v>
      </c>
      <c r="CQ17" s="15">
        <v>0</v>
      </c>
      <c r="CR17" s="15">
        <f t="shared" si="102"/>
        <v>0</v>
      </c>
      <c r="CS17" s="15">
        <f t="shared" si="102"/>
        <v>0</v>
      </c>
      <c r="CT17" s="15">
        <f t="shared" si="102"/>
        <v>0</v>
      </c>
      <c r="CU17" s="15">
        <f t="shared" si="102"/>
        <v>0</v>
      </c>
      <c r="CV17" s="15">
        <f t="shared" si="102"/>
        <v>0</v>
      </c>
      <c r="CW17" s="15">
        <f t="shared" si="102"/>
        <v>0</v>
      </c>
      <c r="CX17" s="15">
        <f t="shared" si="102"/>
        <v>0</v>
      </c>
      <c r="CY17" s="15">
        <f t="shared" si="102"/>
        <v>0</v>
      </c>
      <c r="CZ17" s="15">
        <f t="shared" si="102"/>
        <v>0</v>
      </c>
      <c r="DA17" s="15">
        <f t="shared" si="102"/>
        <v>0</v>
      </c>
      <c r="DB17" s="15">
        <f t="shared" si="102"/>
        <v>0</v>
      </c>
    </row>
    <row r="18" spans="1:106" hidden="1" outlineLevel="1">
      <c r="A18" s="633">
        <v>15</v>
      </c>
      <c r="B18" s="614" t="s">
        <v>269</v>
      </c>
      <c r="C18" t="s">
        <v>518</v>
      </c>
      <c r="D18" s="15">
        <f t="shared" si="78"/>
        <v>0</v>
      </c>
      <c r="E18" s="15">
        <f t="shared" si="79"/>
        <v>0</v>
      </c>
      <c r="F18" s="15">
        <f t="shared" si="80"/>
        <v>0</v>
      </c>
      <c r="G18" s="15">
        <f t="shared" si="81"/>
        <v>0</v>
      </c>
      <c r="H18" s="15">
        <f t="shared" si="82"/>
        <v>0</v>
      </c>
      <c r="I18" s="15">
        <f t="shared" si="83"/>
        <v>0</v>
      </c>
      <c r="J18" s="15">
        <f t="shared" si="84"/>
        <v>0</v>
      </c>
      <c r="K18" s="15">
        <f t="shared" si="85"/>
        <v>0</v>
      </c>
      <c r="L18" s="15">
        <f t="shared" si="86"/>
        <v>0</v>
      </c>
      <c r="M18" s="15">
        <f t="shared" si="87"/>
        <v>0</v>
      </c>
      <c r="N18" s="15">
        <f t="shared" si="88"/>
        <v>0</v>
      </c>
      <c r="O18" s="15">
        <f t="shared" si="89"/>
        <v>0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D18" s="646">
        <f t="shared" si="90"/>
        <v>0</v>
      </c>
      <c r="AE18" s="15">
        <f t="shared" si="91"/>
        <v>0</v>
      </c>
      <c r="AF18" s="15">
        <f t="shared" si="92"/>
        <v>0</v>
      </c>
      <c r="AG18" s="15">
        <f t="shared" si="93"/>
        <v>0</v>
      </c>
      <c r="AH18" s="15">
        <f t="shared" si="94"/>
        <v>0</v>
      </c>
      <c r="AI18" s="15">
        <f t="shared" si="95"/>
        <v>0</v>
      </c>
      <c r="AJ18" s="15">
        <f t="shared" si="96"/>
        <v>0</v>
      </c>
      <c r="AK18" s="15">
        <f t="shared" si="97"/>
        <v>0</v>
      </c>
      <c r="AL18" s="15">
        <f t="shared" si="98"/>
        <v>0</v>
      </c>
      <c r="AM18" s="15">
        <f t="shared" si="99"/>
        <v>0</v>
      </c>
      <c r="AN18" s="15">
        <f t="shared" si="100"/>
        <v>0</v>
      </c>
      <c r="AO18" s="647">
        <f t="shared" si="101"/>
        <v>0</v>
      </c>
      <c r="AQ18" s="15">
        <f>SUMIFS('BS-KH26-DTR'!D$2:D$116,'BS-KH26-DTR'!$B$2:$B$116,$A18)</f>
        <v>0</v>
      </c>
      <c r="AR18" s="15">
        <f>SUMIFS('BS-KH26-DTR'!E$2:E$116,'BS-KH26-DTR'!$B$2:$B$116,$A18)</f>
        <v>0</v>
      </c>
      <c r="AS18" s="15">
        <f>SUMIFS('BS-KH26-DTR'!F$2:F$116,'BS-KH26-DTR'!$B$2:$B$116,$A18)</f>
        <v>0</v>
      </c>
      <c r="AT18" s="15">
        <f>SUMIFS('BS-KH26-DTR'!G$2:G$116,'BS-KH26-DTR'!$B$2:$B$116,$A18)</f>
        <v>0</v>
      </c>
      <c r="AU18" s="15">
        <f>SUMIFS('BS-KH26-DTR'!H$2:H$116,'BS-KH26-DTR'!$B$2:$B$116,$A18)</f>
        <v>0</v>
      </c>
      <c r="AV18" s="15">
        <f>SUMIFS('BS-KH26-DTR'!I$2:I$116,'BS-KH26-DTR'!$B$2:$B$116,$A18)</f>
        <v>0</v>
      </c>
      <c r="AW18" s="15">
        <f>SUMIFS('BS-KH26-DTR'!J$2:J$116,'BS-KH26-DTR'!$B$2:$B$116,$A18)</f>
        <v>0</v>
      </c>
      <c r="AX18" s="15">
        <f>SUMIFS('BS-KH26-DTR'!K$2:K$116,'BS-KH26-DTR'!$B$2:$B$116,$A18)</f>
        <v>0</v>
      </c>
      <c r="AY18" s="15">
        <f>SUMIFS('BS-KH26-DTR'!L$2:L$116,'BS-KH26-DTR'!$B$2:$B$116,$A18)</f>
        <v>0</v>
      </c>
      <c r="AZ18" s="15">
        <f>SUMIFS('BS-KH26-DTR'!M$2:M$116,'BS-KH26-DTR'!$B$2:$B$116,$A18)</f>
        <v>0</v>
      </c>
      <c r="BA18" s="15">
        <f>SUMIFS('BS-KH26-DTR'!N$2:N$116,'BS-KH26-DTR'!$B$2:$B$116,$A18)</f>
        <v>0</v>
      </c>
      <c r="BB18" s="15">
        <f>SUMIFS('BS-KH26-DTR'!O$2:O$116,'BS-KH26-DTR'!$B$2:$B$116,$A18)</f>
        <v>0</v>
      </c>
      <c r="BD18" s="15">
        <f>SUMIFS('BS-KH26-DongLam'!M$2:M$51,'BS-KH26-DongLam'!$A$2:$A$51,'Consol BS-DTRG'!$A18)</f>
        <v>0</v>
      </c>
      <c r="BE18" s="15">
        <f>SUMIFS('BS-KH26-DongLam'!N$2:N$51,'BS-KH26-DongLam'!$A$2:$A$51,'Consol BS-DTRG'!$A18)</f>
        <v>0</v>
      </c>
      <c r="BF18" s="15">
        <f>SUMIFS('BS-KH26-DongLam'!O$2:O$51,'BS-KH26-DongLam'!$A$2:$A$51,'Consol BS-DTRG'!$A18)</f>
        <v>0</v>
      </c>
      <c r="BG18" s="15">
        <f>SUMIFS('BS-KH26-DongLam'!P$2:P$51,'BS-KH26-DongLam'!$A$2:$A$51,'Consol BS-DTRG'!$A18)</f>
        <v>0</v>
      </c>
      <c r="BH18" s="15">
        <f>SUMIFS('BS-KH26-DongLam'!Q$2:Q$51,'BS-KH26-DongLam'!$A$2:$A$51,'Consol BS-DTRG'!$A18)</f>
        <v>0</v>
      </c>
      <c r="BI18" s="15">
        <f>SUMIFS('BS-KH26-DongLam'!R$2:R$51,'BS-KH26-DongLam'!$A$2:$A$51,'Consol BS-DTRG'!$A18)</f>
        <v>0</v>
      </c>
      <c r="BJ18" s="15">
        <f>SUMIFS('BS-KH26-DongLam'!S$2:S$51,'BS-KH26-DongLam'!$A$2:$A$51,'Consol BS-DTRG'!$A18)</f>
        <v>0</v>
      </c>
      <c r="BK18" s="15">
        <f>SUMIFS('BS-KH26-DongLam'!T$2:T$51,'BS-KH26-DongLam'!$A$2:$A$51,'Consol BS-DTRG'!$A18)</f>
        <v>0</v>
      </c>
      <c r="BL18" s="15">
        <f>SUMIFS('BS-KH26-DongLam'!U$2:U$51,'BS-KH26-DongLam'!$A$2:$A$51,'Consol BS-DTRG'!$A18)</f>
        <v>0</v>
      </c>
      <c r="BM18" s="15">
        <f>SUMIFS('BS-KH26-DongLam'!V$2:V$51,'BS-KH26-DongLam'!$A$2:$A$51,'Consol BS-DTRG'!$A18)</f>
        <v>0</v>
      </c>
      <c r="BN18" s="15">
        <f>SUMIFS('BS-KH26-DongLam'!W$2:W$51,'BS-KH26-DongLam'!$A$2:$A$51,'Consol BS-DTRG'!$A18)</f>
        <v>0</v>
      </c>
      <c r="BO18" s="15">
        <f>SUMIFS('BS-KH26-DongLam'!X$2:X$51,'BS-KH26-DongLam'!$A$2:$A$51,'Consol BS-DTRG'!$A18)</f>
        <v>0</v>
      </c>
      <c r="BQ18" s="15">
        <f>SUMIFS('BS-KH26-KhanhNga'!M$2:M$51,'BS-KH26-KhanhNga'!$A$2:$A$51,'Consol BS-DTRG'!$A18)</f>
        <v>0</v>
      </c>
      <c r="BR18" s="15">
        <f>SUMIFS('BS-KH26-KhanhNga'!N$2:N$51,'BS-KH26-KhanhNga'!$A$2:$A$51,'Consol BS-DTRG'!$A18)</f>
        <v>0</v>
      </c>
      <c r="BS18" s="15">
        <f>SUMIFS('BS-KH26-KhanhNga'!O$2:O$51,'BS-KH26-KhanhNga'!$A$2:$A$51,'Consol BS-DTRG'!$A18)</f>
        <v>0</v>
      </c>
      <c r="BT18" s="15">
        <f>SUMIFS('BS-KH26-KhanhNga'!P$2:P$51,'BS-KH26-KhanhNga'!$A$2:$A$51,'Consol BS-DTRG'!$A18)</f>
        <v>0</v>
      </c>
      <c r="BU18" s="15">
        <f>SUMIFS('BS-KH26-KhanhNga'!Q$2:Q$51,'BS-KH26-KhanhNga'!$A$2:$A$51,'Consol BS-DTRG'!$A18)</f>
        <v>0</v>
      </c>
      <c r="BV18" s="15">
        <f>SUMIFS('BS-KH26-KhanhNga'!R$2:R$51,'BS-KH26-KhanhNga'!$A$2:$A$51,'Consol BS-DTRG'!$A18)</f>
        <v>0</v>
      </c>
      <c r="BW18" s="15">
        <f>SUMIFS('BS-KH26-KhanhNga'!S$2:S$51,'BS-KH26-KhanhNga'!$A$2:$A$51,'Consol BS-DTRG'!$A18)</f>
        <v>0</v>
      </c>
      <c r="BX18" s="15">
        <f>SUMIFS('BS-KH26-KhanhNga'!T$2:T$51,'BS-KH26-KhanhNga'!$A$2:$A$51,'Consol BS-DTRG'!$A18)</f>
        <v>0</v>
      </c>
      <c r="BY18" s="15">
        <f>SUMIFS('BS-KH26-KhanhNga'!U$2:U$51,'BS-KH26-KhanhNga'!$A$2:$A$51,'Consol BS-DTRG'!$A18)</f>
        <v>0</v>
      </c>
      <c r="BZ18" s="15">
        <f>SUMIFS('BS-KH26-KhanhNga'!V$2:V$51,'BS-KH26-KhanhNga'!$A$2:$A$51,'Consol BS-DTRG'!$A18)</f>
        <v>0</v>
      </c>
      <c r="CA18" s="15">
        <f>SUMIFS('BS-KH26-KhanhNga'!W$2:W$51,'BS-KH26-KhanhNga'!$A$2:$A$51,'Consol BS-DTRG'!$A18)</f>
        <v>0</v>
      </c>
      <c r="CB18" s="15">
        <f>SUMIFS('BS-KH26-KhanhNga'!X$2:X$51,'BS-KH26-KhanhNga'!$A$2:$A$51,'Consol BS-DTRG'!$A18)</f>
        <v>0</v>
      </c>
      <c r="CD18" s="15">
        <f>SUMIFS('BS-KH26-DaiLoc'!M$2:M$51,'BS-KH26-DaiLoc'!$A$2:$A$51,'Consol BS-DTRG'!$A18)</f>
        <v>0</v>
      </c>
      <c r="CE18" s="15">
        <f>SUMIFS('BS-KH26-DaiLoc'!N$2:N$51,'BS-KH26-DaiLoc'!$A$2:$A$51,'Consol BS-DTRG'!$A18)</f>
        <v>0</v>
      </c>
      <c r="CF18" s="15">
        <f>SUMIFS('BS-KH26-DaiLoc'!O$2:O$51,'BS-KH26-DaiLoc'!$A$2:$A$51,'Consol BS-DTRG'!$A18)</f>
        <v>0</v>
      </c>
      <c r="CG18" s="15">
        <f>SUMIFS('BS-KH26-DaiLoc'!P$2:P$51,'BS-KH26-DaiLoc'!$A$2:$A$51,'Consol BS-DTRG'!$A18)</f>
        <v>0</v>
      </c>
      <c r="CH18" s="15">
        <f>SUMIFS('BS-KH26-DaiLoc'!Q$2:Q$51,'BS-KH26-DaiLoc'!$A$2:$A$51,'Consol BS-DTRG'!$A18)</f>
        <v>0</v>
      </c>
      <c r="CI18" s="15">
        <f>SUMIFS('BS-KH26-DaiLoc'!R$2:R$51,'BS-KH26-DaiLoc'!$A$2:$A$51,'Consol BS-DTRG'!$A18)</f>
        <v>0</v>
      </c>
      <c r="CJ18" s="15">
        <f>SUMIFS('BS-KH26-DaiLoc'!S$2:S$51,'BS-KH26-DaiLoc'!$A$2:$A$51,'Consol BS-DTRG'!$A18)</f>
        <v>0</v>
      </c>
      <c r="CK18" s="15">
        <f>SUMIFS('BS-KH26-DaiLoc'!T$2:T$51,'BS-KH26-DaiLoc'!$A$2:$A$51,'Consol BS-DTRG'!$A18)</f>
        <v>0</v>
      </c>
      <c r="CL18" s="15">
        <f>SUMIFS('BS-KH26-DaiLoc'!U$2:U$51,'BS-KH26-DaiLoc'!$A$2:$A$51,'Consol BS-DTRG'!$A18)</f>
        <v>0</v>
      </c>
      <c r="CM18" s="15">
        <f>SUMIFS('BS-KH26-DaiLoc'!V$2:V$51,'BS-KH26-DaiLoc'!$A$2:$A$51,'Consol BS-DTRG'!$A18)</f>
        <v>0</v>
      </c>
      <c r="CN18" s="15">
        <f>SUMIFS('BS-KH26-DaiLoc'!W$2:W$51,'BS-KH26-DaiLoc'!$A$2:$A$51,'Consol BS-DTRG'!$A18)</f>
        <v>0</v>
      </c>
      <c r="CO18" s="15">
        <f>SUMIFS('BS-KH26-DaiLoc'!X$2:X$51,'BS-KH26-DaiLoc'!$A$2:$A$51,'Consol BS-DTRG'!$A18)</f>
        <v>0</v>
      </c>
      <c r="CQ18" s="15">
        <v>0</v>
      </c>
      <c r="CR18" s="15">
        <f t="shared" si="102"/>
        <v>0</v>
      </c>
      <c r="CS18" s="15">
        <f t="shared" si="102"/>
        <v>0</v>
      </c>
      <c r="CT18" s="15">
        <f t="shared" si="102"/>
        <v>0</v>
      </c>
      <c r="CU18" s="15">
        <f t="shared" si="102"/>
        <v>0</v>
      </c>
      <c r="CV18" s="15">
        <f t="shared" si="102"/>
        <v>0</v>
      </c>
      <c r="CW18" s="15">
        <f t="shared" si="102"/>
        <v>0</v>
      </c>
      <c r="CX18" s="15">
        <f t="shared" si="102"/>
        <v>0</v>
      </c>
      <c r="CY18" s="15">
        <f t="shared" si="102"/>
        <v>0</v>
      </c>
      <c r="CZ18" s="15">
        <f t="shared" si="102"/>
        <v>0</v>
      </c>
      <c r="DA18" s="15">
        <f t="shared" si="102"/>
        <v>0</v>
      </c>
      <c r="DB18" s="15">
        <f t="shared" si="102"/>
        <v>0</v>
      </c>
    </row>
    <row r="19" spans="1:106" hidden="1" outlineLevel="1">
      <c r="A19" s="633">
        <v>16</v>
      </c>
      <c r="B19" s="614" t="s">
        <v>270</v>
      </c>
      <c r="C19" t="s">
        <v>518</v>
      </c>
      <c r="D19" s="15">
        <f t="shared" si="78"/>
        <v>0</v>
      </c>
      <c r="E19" s="15">
        <f t="shared" si="79"/>
        <v>0</v>
      </c>
      <c r="F19" s="15">
        <f t="shared" si="80"/>
        <v>0</v>
      </c>
      <c r="G19" s="15">
        <f t="shared" si="81"/>
        <v>0</v>
      </c>
      <c r="H19" s="15">
        <f t="shared" si="82"/>
        <v>0</v>
      </c>
      <c r="I19" s="15">
        <f t="shared" si="83"/>
        <v>0</v>
      </c>
      <c r="J19" s="15">
        <f t="shared" si="84"/>
        <v>0</v>
      </c>
      <c r="K19" s="15">
        <f t="shared" si="85"/>
        <v>0</v>
      </c>
      <c r="L19" s="15">
        <f t="shared" si="86"/>
        <v>0</v>
      </c>
      <c r="M19" s="15">
        <f t="shared" si="87"/>
        <v>0</v>
      </c>
      <c r="N19" s="15">
        <f t="shared" si="88"/>
        <v>0</v>
      </c>
      <c r="O19" s="15">
        <f t="shared" si="89"/>
        <v>0</v>
      </c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D19" s="646">
        <f t="shared" si="90"/>
        <v>0</v>
      </c>
      <c r="AE19" s="15">
        <f t="shared" si="91"/>
        <v>0</v>
      </c>
      <c r="AF19" s="15">
        <f t="shared" si="92"/>
        <v>0</v>
      </c>
      <c r="AG19" s="15">
        <f t="shared" si="93"/>
        <v>0</v>
      </c>
      <c r="AH19" s="15">
        <f t="shared" si="94"/>
        <v>0</v>
      </c>
      <c r="AI19" s="15">
        <f t="shared" si="95"/>
        <v>0</v>
      </c>
      <c r="AJ19" s="15">
        <f t="shared" si="96"/>
        <v>0</v>
      </c>
      <c r="AK19" s="15">
        <f t="shared" si="97"/>
        <v>0</v>
      </c>
      <c r="AL19" s="15">
        <f t="shared" si="98"/>
        <v>0</v>
      </c>
      <c r="AM19" s="15">
        <f t="shared" si="99"/>
        <v>0</v>
      </c>
      <c r="AN19" s="15">
        <f t="shared" si="100"/>
        <v>0</v>
      </c>
      <c r="AO19" s="647">
        <f t="shared" si="101"/>
        <v>0</v>
      </c>
      <c r="AQ19" s="15">
        <f>SUMIFS('BS-KH26-DTR'!D$2:D$116,'BS-KH26-DTR'!$B$2:$B$116,$A19)</f>
        <v>0</v>
      </c>
      <c r="AR19" s="15">
        <f>SUMIFS('BS-KH26-DTR'!E$2:E$116,'BS-KH26-DTR'!$B$2:$B$116,$A19)</f>
        <v>0</v>
      </c>
      <c r="AS19" s="15">
        <f>SUMIFS('BS-KH26-DTR'!F$2:F$116,'BS-KH26-DTR'!$B$2:$B$116,$A19)</f>
        <v>0</v>
      </c>
      <c r="AT19" s="15">
        <f>SUMIFS('BS-KH26-DTR'!G$2:G$116,'BS-KH26-DTR'!$B$2:$B$116,$A19)</f>
        <v>0</v>
      </c>
      <c r="AU19" s="15">
        <f>SUMIFS('BS-KH26-DTR'!H$2:H$116,'BS-KH26-DTR'!$B$2:$B$116,$A19)</f>
        <v>0</v>
      </c>
      <c r="AV19" s="15">
        <f>SUMIFS('BS-KH26-DTR'!I$2:I$116,'BS-KH26-DTR'!$B$2:$B$116,$A19)</f>
        <v>0</v>
      </c>
      <c r="AW19" s="15">
        <f>SUMIFS('BS-KH26-DTR'!J$2:J$116,'BS-KH26-DTR'!$B$2:$B$116,$A19)</f>
        <v>0</v>
      </c>
      <c r="AX19" s="15">
        <f>SUMIFS('BS-KH26-DTR'!K$2:K$116,'BS-KH26-DTR'!$B$2:$B$116,$A19)</f>
        <v>0</v>
      </c>
      <c r="AY19" s="15">
        <f>SUMIFS('BS-KH26-DTR'!L$2:L$116,'BS-KH26-DTR'!$B$2:$B$116,$A19)</f>
        <v>0</v>
      </c>
      <c r="AZ19" s="15">
        <f>SUMIFS('BS-KH26-DTR'!M$2:M$116,'BS-KH26-DTR'!$B$2:$B$116,$A19)</f>
        <v>0</v>
      </c>
      <c r="BA19" s="15">
        <f>SUMIFS('BS-KH26-DTR'!N$2:N$116,'BS-KH26-DTR'!$B$2:$B$116,$A19)</f>
        <v>0</v>
      </c>
      <c r="BB19" s="15">
        <f>SUMIFS('BS-KH26-DTR'!O$2:O$116,'BS-KH26-DTR'!$B$2:$B$116,$A19)</f>
        <v>0</v>
      </c>
      <c r="BD19" s="15">
        <f>SUMIFS('BS-KH26-DongLam'!M$2:M$51,'BS-KH26-DongLam'!$A$2:$A$51,'Consol BS-DTRG'!$A19)</f>
        <v>0</v>
      </c>
      <c r="BE19" s="15">
        <f>SUMIFS('BS-KH26-DongLam'!N$2:N$51,'BS-KH26-DongLam'!$A$2:$A$51,'Consol BS-DTRG'!$A19)</f>
        <v>0</v>
      </c>
      <c r="BF19" s="15">
        <f>SUMIFS('BS-KH26-DongLam'!O$2:O$51,'BS-KH26-DongLam'!$A$2:$A$51,'Consol BS-DTRG'!$A19)</f>
        <v>0</v>
      </c>
      <c r="BG19" s="15">
        <f>SUMIFS('BS-KH26-DongLam'!P$2:P$51,'BS-KH26-DongLam'!$A$2:$A$51,'Consol BS-DTRG'!$A19)</f>
        <v>0</v>
      </c>
      <c r="BH19" s="15">
        <f>SUMIFS('BS-KH26-DongLam'!Q$2:Q$51,'BS-KH26-DongLam'!$A$2:$A$51,'Consol BS-DTRG'!$A19)</f>
        <v>0</v>
      </c>
      <c r="BI19" s="15">
        <f>SUMIFS('BS-KH26-DongLam'!R$2:R$51,'BS-KH26-DongLam'!$A$2:$A$51,'Consol BS-DTRG'!$A19)</f>
        <v>0</v>
      </c>
      <c r="BJ19" s="15">
        <f>SUMIFS('BS-KH26-DongLam'!S$2:S$51,'BS-KH26-DongLam'!$A$2:$A$51,'Consol BS-DTRG'!$A19)</f>
        <v>0</v>
      </c>
      <c r="BK19" s="15">
        <f>SUMIFS('BS-KH26-DongLam'!T$2:T$51,'BS-KH26-DongLam'!$A$2:$A$51,'Consol BS-DTRG'!$A19)</f>
        <v>0</v>
      </c>
      <c r="BL19" s="15">
        <f>SUMIFS('BS-KH26-DongLam'!U$2:U$51,'BS-KH26-DongLam'!$A$2:$A$51,'Consol BS-DTRG'!$A19)</f>
        <v>0</v>
      </c>
      <c r="BM19" s="15">
        <f>SUMIFS('BS-KH26-DongLam'!V$2:V$51,'BS-KH26-DongLam'!$A$2:$A$51,'Consol BS-DTRG'!$A19)</f>
        <v>0</v>
      </c>
      <c r="BN19" s="15">
        <f>SUMIFS('BS-KH26-DongLam'!W$2:W$51,'BS-KH26-DongLam'!$A$2:$A$51,'Consol BS-DTRG'!$A19)</f>
        <v>0</v>
      </c>
      <c r="BO19" s="15">
        <f>SUMIFS('BS-KH26-DongLam'!X$2:X$51,'BS-KH26-DongLam'!$A$2:$A$51,'Consol BS-DTRG'!$A19)</f>
        <v>0</v>
      </c>
      <c r="BQ19" s="15">
        <f>SUMIFS('BS-KH26-KhanhNga'!M$2:M$51,'BS-KH26-KhanhNga'!$A$2:$A$51,'Consol BS-DTRG'!$A19)</f>
        <v>0</v>
      </c>
      <c r="BR19" s="15">
        <f>SUMIFS('BS-KH26-KhanhNga'!N$2:N$51,'BS-KH26-KhanhNga'!$A$2:$A$51,'Consol BS-DTRG'!$A19)</f>
        <v>0</v>
      </c>
      <c r="BS19" s="15">
        <f>SUMIFS('BS-KH26-KhanhNga'!O$2:O$51,'BS-KH26-KhanhNga'!$A$2:$A$51,'Consol BS-DTRG'!$A19)</f>
        <v>0</v>
      </c>
      <c r="BT19" s="15">
        <f>SUMIFS('BS-KH26-KhanhNga'!P$2:P$51,'BS-KH26-KhanhNga'!$A$2:$A$51,'Consol BS-DTRG'!$A19)</f>
        <v>0</v>
      </c>
      <c r="BU19" s="15">
        <f>SUMIFS('BS-KH26-KhanhNga'!Q$2:Q$51,'BS-KH26-KhanhNga'!$A$2:$A$51,'Consol BS-DTRG'!$A19)</f>
        <v>0</v>
      </c>
      <c r="BV19" s="15">
        <f>SUMIFS('BS-KH26-KhanhNga'!R$2:R$51,'BS-KH26-KhanhNga'!$A$2:$A$51,'Consol BS-DTRG'!$A19)</f>
        <v>0</v>
      </c>
      <c r="BW19" s="15">
        <f>SUMIFS('BS-KH26-KhanhNga'!S$2:S$51,'BS-KH26-KhanhNga'!$A$2:$A$51,'Consol BS-DTRG'!$A19)</f>
        <v>0</v>
      </c>
      <c r="BX19" s="15">
        <f>SUMIFS('BS-KH26-KhanhNga'!T$2:T$51,'BS-KH26-KhanhNga'!$A$2:$A$51,'Consol BS-DTRG'!$A19)</f>
        <v>0</v>
      </c>
      <c r="BY19" s="15">
        <f>SUMIFS('BS-KH26-KhanhNga'!U$2:U$51,'BS-KH26-KhanhNga'!$A$2:$A$51,'Consol BS-DTRG'!$A19)</f>
        <v>0</v>
      </c>
      <c r="BZ19" s="15">
        <f>SUMIFS('BS-KH26-KhanhNga'!V$2:V$51,'BS-KH26-KhanhNga'!$A$2:$A$51,'Consol BS-DTRG'!$A19)</f>
        <v>0</v>
      </c>
      <c r="CA19" s="15">
        <f>SUMIFS('BS-KH26-KhanhNga'!W$2:W$51,'BS-KH26-KhanhNga'!$A$2:$A$51,'Consol BS-DTRG'!$A19)</f>
        <v>0</v>
      </c>
      <c r="CB19" s="15">
        <f>SUMIFS('BS-KH26-KhanhNga'!X$2:X$51,'BS-KH26-KhanhNga'!$A$2:$A$51,'Consol BS-DTRG'!$A19)</f>
        <v>0</v>
      </c>
      <c r="CD19" s="15">
        <f>SUMIFS('BS-KH26-DaiLoc'!M$2:M$51,'BS-KH26-DaiLoc'!$A$2:$A$51,'Consol BS-DTRG'!$A19)</f>
        <v>0</v>
      </c>
      <c r="CE19" s="15">
        <f>SUMIFS('BS-KH26-DaiLoc'!N$2:N$51,'BS-KH26-DaiLoc'!$A$2:$A$51,'Consol BS-DTRG'!$A19)</f>
        <v>0</v>
      </c>
      <c r="CF19" s="15">
        <f>SUMIFS('BS-KH26-DaiLoc'!O$2:O$51,'BS-KH26-DaiLoc'!$A$2:$A$51,'Consol BS-DTRG'!$A19)</f>
        <v>0</v>
      </c>
      <c r="CG19" s="15">
        <f>SUMIFS('BS-KH26-DaiLoc'!P$2:P$51,'BS-KH26-DaiLoc'!$A$2:$A$51,'Consol BS-DTRG'!$A19)</f>
        <v>0</v>
      </c>
      <c r="CH19" s="15">
        <f>SUMIFS('BS-KH26-DaiLoc'!Q$2:Q$51,'BS-KH26-DaiLoc'!$A$2:$A$51,'Consol BS-DTRG'!$A19)</f>
        <v>0</v>
      </c>
      <c r="CI19" s="15">
        <f>SUMIFS('BS-KH26-DaiLoc'!R$2:R$51,'BS-KH26-DaiLoc'!$A$2:$A$51,'Consol BS-DTRG'!$A19)</f>
        <v>0</v>
      </c>
      <c r="CJ19" s="15">
        <f>SUMIFS('BS-KH26-DaiLoc'!S$2:S$51,'BS-KH26-DaiLoc'!$A$2:$A$51,'Consol BS-DTRG'!$A19)</f>
        <v>0</v>
      </c>
      <c r="CK19" s="15">
        <f>SUMIFS('BS-KH26-DaiLoc'!T$2:T$51,'BS-KH26-DaiLoc'!$A$2:$A$51,'Consol BS-DTRG'!$A19)</f>
        <v>0</v>
      </c>
      <c r="CL19" s="15">
        <f>SUMIFS('BS-KH26-DaiLoc'!U$2:U$51,'BS-KH26-DaiLoc'!$A$2:$A$51,'Consol BS-DTRG'!$A19)</f>
        <v>0</v>
      </c>
      <c r="CM19" s="15">
        <f>SUMIFS('BS-KH26-DaiLoc'!V$2:V$51,'BS-KH26-DaiLoc'!$A$2:$A$51,'Consol BS-DTRG'!$A19)</f>
        <v>0</v>
      </c>
      <c r="CN19" s="15">
        <f>SUMIFS('BS-KH26-DaiLoc'!W$2:W$51,'BS-KH26-DaiLoc'!$A$2:$A$51,'Consol BS-DTRG'!$A19)</f>
        <v>0</v>
      </c>
      <c r="CO19" s="15">
        <f>SUMIFS('BS-KH26-DaiLoc'!X$2:X$51,'BS-KH26-DaiLoc'!$A$2:$A$51,'Consol BS-DTRG'!$A19)</f>
        <v>0</v>
      </c>
      <c r="CQ19" s="15">
        <v>0</v>
      </c>
      <c r="CR19" s="15">
        <f t="shared" si="102"/>
        <v>0</v>
      </c>
      <c r="CS19" s="15">
        <f t="shared" si="102"/>
        <v>0</v>
      </c>
      <c r="CT19" s="15">
        <f t="shared" si="102"/>
        <v>0</v>
      </c>
      <c r="CU19" s="15">
        <f t="shared" si="102"/>
        <v>0</v>
      </c>
      <c r="CV19" s="15">
        <f t="shared" si="102"/>
        <v>0</v>
      </c>
      <c r="CW19" s="15">
        <f t="shared" si="102"/>
        <v>0</v>
      </c>
      <c r="CX19" s="15">
        <f t="shared" si="102"/>
        <v>0</v>
      </c>
      <c r="CY19" s="15">
        <f t="shared" si="102"/>
        <v>0</v>
      </c>
      <c r="CZ19" s="15">
        <f t="shared" si="102"/>
        <v>0</v>
      </c>
      <c r="DA19" s="15">
        <f t="shared" si="102"/>
        <v>0</v>
      </c>
      <c r="DB19" s="15">
        <f t="shared" si="102"/>
        <v>0</v>
      </c>
    </row>
    <row r="20" spans="1:106" hidden="1" outlineLevel="1">
      <c r="A20" s="633">
        <v>17</v>
      </c>
      <c r="B20" s="614" t="s">
        <v>271</v>
      </c>
      <c r="C20" t="s">
        <v>518</v>
      </c>
      <c r="D20" s="15">
        <f t="shared" si="78"/>
        <v>86849601458</v>
      </c>
      <c r="E20" s="15">
        <f t="shared" si="79"/>
        <v>40464601458</v>
      </c>
      <c r="F20" s="15">
        <f t="shared" si="80"/>
        <v>40709601458</v>
      </c>
      <c r="G20" s="15">
        <f t="shared" si="81"/>
        <v>42358001458</v>
      </c>
      <c r="H20" s="15">
        <f t="shared" si="82"/>
        <v>42358001458</v>
      </c>
      <c r="I20" s="15">
        <f t="shared" si="83"/>
        <v>42358001458</v>
      </c>
      <c r="J20" s="15">
        <f t="shared" si="84"/>
        <v>43408001458</v>
      </c>
      <c r="K20" s="15">
        <f t="shared" si="85"/>
        <v>43408001458</v>
      </c>
      <c r="L20" s="15">
        <f t="shared" si="86"/>
        <v>43408001458</v>
      </c>
      <c r="M20" s="15">
        <f t="shared" si="87"/>
        <v>43408001458</v>
      </c>
      <c r="N20" s="15">
        <f t="shared" si="88"/>
        <v>43408001458</v>
      </c>
      <c r="O20" s="15">
        <f t="shared" si="89"/>
        <v>43408001458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D20" s="646">
        <f t="shared" si="90"/>
        <v>86849601458</v>
      </c>
      <c r="AE20" s="15">
        <f t="shared" si="91"/>
        <v>40464601458</v>
      </c>
      <c r="AF20" s="15">
        <f t="shared" si="92"/>
        <v>40709601458</v>
      </c>
      <c r="AG20" s="15">
        <f t="shared" si="93"/>
        <v>42358001458</v>
      </c>
      <c r="AH20" s="15">
        <f t="shared" si="94"/>
        <v>42358001458</v>
      </c>
      <c r="AI20" s="15">
        <f t="shared" si="95"/>
        <v>42358001458</v>
      </c>
      <c r="AJ20" s="15">
        <f t="shared" si="96"/>
        <v>43408001458</v>
      </c>
      <c r="AK20" s="15">
        <f t="shared" si="97"/>
        <v>43408001458</v>
      </c>
      <c r="AL20" s="15">
        <f t="shared" si="98"/>
        <v>43408001458</v>
      </c>
      <c r="AM20" s="15">
        <f t="shared" si="99"/>
        <v>43408001458</v>
      </c>
      <c r="AN20" s="15">
        <f t="shared" si="100"/>
        <v>43408001458</v>
      </c>
      <c r="AO20" s="647">
        <f t="shared" si="101"/>
        <v>43408001458</v>
      </c>
      <c r="AQ20" s="15">
        <f>SUMIFS('BS-KH26-DTR'!D$2:D$116,'BS-KH26-DTR'!$B$2:$B$116,$A20)</f>
        <v>63584595343</v>
      </c>
      <c r="AR20" s="15">
        <f>SUMIFS('BS-KH26-DTR'!E$2:E$116,'BS-KH26-DTR'!$B$2:$B$116,$A20)</f>
        <v>17199595343</v>
      </c>
      <c r="AS20" s="15">
        <f>SUMIFS('BS-KH26-DTR'!F$2:F$116,'BS-KH26-DTR'!$B$2:$B$116,$A20)</f>
        <v>17444595343</v>
      </c>
      <c r="AT20" s="15">
        <f>SUMIFS('BS-KH26-DTR'!G$2:G$116,'BS-KH26-DTR'!$B$2:$B$116,$A20)</f>
        <v>19092995343</v>
      </c>
      <c r="AU20" s="15">
        <f>SUMIFS('BS-KH26-DTR'!H$2:H$116,'BS-KH26-DTR'!$B$2:$B$116,$A20)</f>
        <v>19092995343</v>
      </c>
      <c r="AV20" s="15">
        <f>SUMIFS('BS-KH26-DTR'!I$2:I$116,'BS-KH26-DTR'!$B$2:$B$116,$A20)</f>
        <v>19092995343</v>
      </c>
      <c r="AW20" s="15">
        <f>SUMIFS('BS-KH26-DTR'!J$2:J$116,'BS-KH26-DTR'!$B$2:$B$116,$A20)</f>
        <v>20142995343</v>
      </c>
      <c r="AX20" s="15">
        <f>SUMIFS('BS-KH26-DTR'!K$2:K$116,'BS-KH26-DTR'!$B$2:$B$116,$A20)</f>
        <v>20142995343</v>
      </c>
      <c r="AY20" s="15">
        <f>SUMIFS('BS-KH26-DTR'!L$2:L$116,'BS-KH26-DTR'!$B$2:$B$116,$A20)</f>
        <v>20142995343</v>
      </c>
      <c r="AZ20" s="15">
        <f>SUMIFS('BS-KH26-DTR'!M$2:M$116,'BS-KH26-DTR'!$B$2:$B$116,$A20)</f>
        <v>20142995343</v>
      </c>
      <c r="BA20" s="15">
        <f>SUMIFS('BS-KH26-DTR'!N$2:N$116,'BS-KH26-DTR'!$B$2:$B$116,$A20)</f>
        <v>20142995343</v>
      </c>
      <c r="BB20" s="15">
        <f>SUMIFS('BS-KH26-DTR'!O$2:O$116,'BS-KH26-DTR'!$B$2:$B$116,$A20)</f>
        <v>20142995343</v>
      </c>
      <c r="BD20" s="15">
        <f>SUMIFS('BS-KH26-DongLam'!M$2:M$51,'BS-KH26-DongLam'!$A$2:$A$51,'Consol BS-DTRG'!$A20)</f>
        <v>0</v>
      </c>
      <c r="BE20" s="15">
        <f>SUMIFS('BS-KH26-DongLam'!N$2:N$51,'BS-KH26-DongLam'!$A$2:$A$51,'Consol BS-DTRG'!$A20)</f>
        <v>0</v>
      </c>
      <c r="BF20" s="15">
        <f>SUMIFS('BS-KH26-DongLam'!O$2:O$51,'BS-KH26-DongLam'!$A$2:$A$51,'Consol BS-DTRG'!$A20)</f>
        <v>0</v>
      </c>
      <c r="BG20" s="15">
        <f>SUMIFS('BS-KH26-DongLam'!P$2:P$51,'BS-KH26-DongLam'!$A$2:$A$51,'Consol BS-DTRG'!$A20)</f>
        <v>0</v>
      </c>
      <c r="BH20" s="15">
        <f>SUMIFS('BS-KH26-DongLam'!Q$2:Q$51,'BS-KH26-DongLam'!$A$2:$A$51,'Consol BS-DTRG'!$A20)</f>
        <v>0</v>
      </c>
      <c r="BI20" s="15">
        <f>SUMIFS('BS-KH26-DongLam'!R$2:R$51,'BS-KH26-DongLam'!$A$2:$A$51,'Consol BS-DTRG'!$A20)</f>
        <v>0</v>
      </c>
      <c r="BJ20" s="15">
        <f>SUMIFS('BS-KH26-DongLam'!S$2:S$51,'BS-KH26-DongLam'!$A$2:$A$51,'Consol BS-DTRG'!$A20)</f>
        <v>0</v>
      </c>
      <c r="BK20" s="15">
        <f>SUMIFS('BS-KH26-DongLam'!T$2:T$51,'BS-KH26-DongLam'!$A$2:$A$51,'Consol BS-DTRG'!$A20)</f>
        <v>0</v>
      </c>
      <c r="BL20" s="15">
        <f>SUMIFS('BS-KH26-DongLam'!U$2:U$51,'BS-KH26-DongLam'!$A$2:$A$51,'Consol BS-DTRG'!$A20)</f>
        <v>0</v>
      </c>
      <c r="BM20" s="15">
        <f>SUMIFS('BS-KH26-DongLam'!V$2:V$51,'BS-KH26-DongLam'!$A$2:$A$51,'Consol BS-DTRG'!$A20)</f>
        <v>0</v>
      </c>
      <c r="BN20" s="15">
        <f>SUMIFS('BS-KH26-DongLam'!W$2:W$51,'BS-KH26-DongLam'!$A$2:$A$51,'Consol BS-DTRG'!$A20)</f>
        <v>0</v>
      </c>
      <c r="BO20" s="15">
        <f>SUMIFS('BS-KH26-DongLam'!X$2:X$51,'BS-KH26-DongLam'!$A$2:$A$51,'Consol BS-DTRG'!$A20)</f>
        <v>0</v>
      </c>
      <c r="BQ20" s="15">
        <f>SUMIFS('BS-KH26-KhanhNga'!M$2:M$51,'BS-KH26-KhanhNga'!$A$2:$A$51,'Consol BS-DTRG'!$A20)</f>
        <v>303399258</v>
      </c>
      <c r="BR20" s="15">
        <f>SUMIFS('BS-KH26-KhanhNga'!N$2:N$51,'BS-KH26-KhanhNga'!$A$2:$A$51,'Consol BS-DTRG'!$A20)</f>
        <v>303399258</v>
      </c>
      <c r="BS20" s="15">
        <f>SUMIFS('BS-KH26-KhanhNga'!O$2:O$51,'BS-KH26-KhanhNga'!$A$2:$A$51,'Consol BS-DTRG'!$A20)</f>
        <v>303399258</v>
      </c>
      <c r="BT20" s="15">
        <f>SUMIFS('BS-KH26-KhanhNga'!P$2:P$51,'BS-KH26-KhanhNga'!$A$2:$A$51,'Consol BS-DTRG'!$A20)</f>
        <v>303399258</v>
      </c>
      <c r="BU20" s="15">
        <f>SUMIFS('BS-KH26-KhanhNga'!Q$2:Q$51,'BS-KH26-KhanhNga'!$A$2:$A$51,'Consol BS-DTRG'!$A20)</f>
        <v>303399258</v>
      </c>
      <c r="BV20" s="15">
        <f>SUMIFS('BS-KH26-KhanhNga'!R$2:R$51,'BS-KH26-KhanhNga'!$A$2:$A$51,'Consol BS-DTRG'!$A20)</f>
        <v>303399258</v>
      </c>
      <c r="BW20" s="15">
        <f>SUMIFS('BS-KH26-KhanhNga'!S$2:S$51,'BS-KH26-KhanhNga'!$A$2:$A$51,'Consol BS-DTRG'!$A20)</f>
        <v>303399258</v>
      </c>
      <c r="BX20" s="15">
        <f>SUMIFS('BS-KH26-KhanhNga'!T$2:T$51,'BS-KH26-KhanhNga'!$A$2:$A$51,'Consol BS-DTRG'!$A20)</f>
        <v>303399258</v>
      </c>
      <c r="BY20" s="15">
        <f>SUMIFS('BS-KH26-KhanhNga'!U$2:U$51,'BS-KH26-KhanhNga'!$A$2:$A$51,'Consol BS-DTRG'!$A20)</f>
        <v>303399258</v>
      </c>
      <c r="BZ20" s="15">
        <f>SUMIFS('BS-KH26-KhanhNga'!V$2:V$51,'BS-KH26-KhanhNga'!$A$2:$A$51,'Consol BS-DTRG'!$A20)</f>
        <v>303399258</v>
      </c>
      <c r="CA20" s="15">
        <f>SUMIFS('BS-KH26-KhanhNga'!W$2:W$51,'BS-KH26-KhanhNga'!$A$2:$A$51,'Consol BS-DTRG'!$A20)</f>
        <v>303399258</v>
      </c>
      <c r="CB20" s="15">
        <f>SUMIFS('BS-KH26-KhanhNga'!X$2:X$51,'BS-KH26-KhanhNga'!$A$2:$A$51,'Consol BS-DTRG'!$A20)</f>
        <v>303399258</v>
      </c>
      <c r="CD20" s="15">
        <f>SUMIFS('BS-KH26-DaiLoc'!M$2:M$51,'BS-KH26-DaiLoc'!$A$2:$A$51,'Consol BS-DTRG'!$A20)</f>
        <v>2961606857</v>
      </c>
      <c r="CE20" s="15">
        <f>SUMIFS('BS-KH26-DaiLoc'!N$2:N$51,'BS-KH26-DaiLoc'!$A$2:$A$51,'Consol BS-DTRG'!$A20)</f>
        <v>2961606857</v>
      </c>
      <c r="CF20" s="15">
        <f>SUMIFS('BS-KH26-DaiLoc'!O$2:O$51,'BS-KH26-DaiLoc'!$A$2:$A$51,'Consol BS-DTRG'!$A20)</f>
        <v>2961606857</v>
      </c>
      <c r="CG20" s="15">
        <f>SUMIFS('BS-KH26-DaiLoc'!P$2:P$51,'BS-KH26-DaiLoc'!$A$2:$A$51,'Consol BS-DTRG'!$A20)</f>
        <v>2961606857</v>
      </c>
      <c r="CH20" s="15">
        <f>SUMIFS('BS-KH26-DaiLoc'!Q$2:Q$51,'BS-KH26-DaiLoc'!$A$2:$A$51,'Consol BS-DTRG'!$A20)</f>
        <v>2961606857</v>
      </c>
      <c r="CI20" s="15">
        <f>SUMIFS('BS-KH26-DaiLoc'!R$2:R$51,'BS-KH26-DaiLoc'!$A$2:$A$51,'Consol BS-DTRG'!$A20)</f>
        <v>2961606857</v>
      </c>
      <c r="CJ20" s="15">
        <f>SUMIFS('BS-KH26-DaiLoc'!S$2:S$51,'BS-KH26-DaiLoc'!$A$2:$A$51,'Consol BS-DTRG'!$A20)</f>
        <v>2961606857</v>
      </c>
      <c r="CK20" s="15">
        <f>SUMIFS('BS-KH26-DaiLoc'!T$2:T$51,'BS-KH26-DaiLoc'!$A$2:$A$51,'Consol BS-DTRG'!$A20)</f>
        <v>2961606857</v>
      </c>
      <c r="CL20" s="15">
        <f>SUMIFS('BS-KH26-DaiLoc'!U$2:U$51,'BS-KH26-DaiLoc'!$A$2:$A$51,'Consol BS-DTRG'!$A20)</f>
        <v>2961606857</v>
      </c>
      <c r="CM20" s="15">
        <f>SUMIFS('BS-KH26-DaiLoc'!V$2:V$51,'BS-KH26-DaiLoc'!$A$2:$A$51,'Consol BS-DTRG'!$A20)</f>
        <v>2961606857</v>
      </c>
      <c r="CN20" s="15">
        <f>SUMIFS('BS-KH26-DaiLoc'!W$2:W$51,'BS-KH26-DaiLoc'!$A$2:$A$51,'Consol BS-DTRG'!$A20)</f>
        <v>2961606857</v>
      </c>
      <c r="CO20" s="15">
        <f>SUMIFS('BS-KH26-DaiLoc'!X$2:X$51,'BS-KH26-DaiLoc'!$A$2:$A$51,'Consol BS-DTRG'!$A20)</f>
        <v>2961606857</v>
      </c>
      <c r="CQ20" s="15">
        <v>20000000000</v>
      </c>
      <c r="CR20" s="15">
        <f t="shared" si="102"/>
        <v>20000000000</v>
      </c>
      <c r="CS20" s="15">
        <f t="shared" si="102"/>
        <v>20000000000</v>
      </c>
      <c r="CT20" s="15">
        <f t="shared" si="102"/>
        <v>20000000000</v>
      </c>
      <c r="CU20" s="15">
        <f t="shared" si="102"/>
        <v>20000000000</v>
      </c>
      <c r="CV20" s="15">
        <f t="shared" si="102"/>
        <v>20000000000</v>
      </c>
      <c r="CW20" s="15">
        <f t="shared" si="102"/>
        <v>20000000000</v>
      </c>
      <c r="CX20" s="15">
        <f t="shared" si="102"/>
        <v>20000000000</v>
      </c>
      <c r="CY20" s="15">
        <f t="shared" si="102"/>
        <v>20000000000</v>
      </c>
      <c r="CZ20" s="15">
        <f t="shared" si="102"/>
        <v>20000000000</v>
      </c>
      <c r="DA20" s="15">
        <f t="shared" si="102"/>
        <v>20000000000</v>
      </c>
      <c r="DB20" s="15">
        <f t="shared" si="102"/>
        <v>20000000000</v>
      </c>
    </row>
    <row r="21" spans="1:106" hidden="1" outlineLevel="1">
      <c r="A21" s="633">
        <v>18</v>
      </c>
      <c r="B21" s="614" t="s">
        <v>272</v>
      </c>
      <c r="C21" t="s">
        <v>518</v>
      </c>
      <c r="D21" s="15">
        <f t="shared" si="78"/>
        <v>0</v>
      </c>
      <c r="E21" s="15">
        <f t="shared" si="79"/>
        <v>0</v>
      </c>
      <c r="F21" s="15">
        <f t="shared" si="80"/>
        <v>0</v>
      </c>
      <c r="G21" s="15">
        <f t="shared" si="81"/>
        <v>0</v>
      </c>
      <c r="H21" s="15">
        <f t="shared" si="82"/>
        <v>0</v>
      </c>
      <c r="I21" s="15">
        <f t="shared" si="83"/>
        <v>0</v>
      </c>
      <c r="J21" s="15">
        <f t="shared" si="84"/>
        <v>0</v>
      </c>
      <c r="K21" s="15">
        <f t="shared" si="85"/>
        <v>0</v>
      </c>
      <c r="L21" s="15">
        <f t="shared" si="86"/>
        <v>0</v>
      </c>
      <c r="M21" s="15">
        <f t="shared" si="87"/>
        <v>0</v>
      </c>
      <c r="N21" s="15">
        <f t="shared" si="88"/>
        <v>0</v>
      </c>
      <c r="O21" s="15">
        <f t="shared" si="89"/>
        <v>0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D21" s="646">
        <f t="shared" si="90"/>
        <v>0</v>
      </c>
      <c r="AE21" s="15">
        <f t="shared" si="91"/>
        <v>0</v>
      </c>
      <c r="AF21" s="15">
        <f t="shared" si="92"/>
        <v>0</v>
      </c>
      <c r="AG21" s="15">
        <f t="shared" si="93"/>
        <v>0</v>
      </c>
      <c r="AH21" s="15">
        <f t="shared" si="94"/>
        <v>0</v>
      </c>
      <c r="AI21" s="15">
        <f t="shared" si="95"/>
        <v>0</v>
      </c>
      <c r="AJ21" s="15">
        <f t="shared" si="96"/>
        <v>0</v>
      </c>
      <c r="AK21" s="15">
        <f t="shared" si="97"/>
        <v>0</v>
      </c>
      <c r="AL21" s="15">
        <f t="shared" si="98"/>
        <v>0</v>
      </c>
      <c r="AM21" s="15">
        <f t="shared" si="99"/>
        <v>0</v>
      </c>
      <c r="AN21" s="15">
        <f t="shared" si="100"/>
        <v>0</v>
      </c>
      <c r="AO21" s="647">
        <f t="shared" si="101"/>
        <v>0</v>
      </c>
      <c r="AQ21" s="15">
        <f>SUMIFS('BS-KH26-DTR'!D$2:D$116,'BS-KH26-DTR'!$B$2:$B$116,$A21)</f>
        <v>0</v>
      </c>
      <c r="AR21" s="15">
        <f>SUMIFS('BS-KH26-DTR'!E$2:E$116,'BS-KH26-DTR'!$B$2:$B$116,$A21)</f>
        <v>0</v>
      </c>
      <c r="AS21" s="15">
        <f>SUMIFS('BS-KH26-DTR'!F$2:F$116,'BS-KH26-DTR'!$B$2:$B$116,$A21)</f>
        <v>0</v>
      </c>
      <c r="AT21" s="15">
        <f>SUMIFS('BS-KH26-DTR'!G$2:G$116,'BS-KH26-DTR'!$B$2:$B$116,$A21)</f>
        <v>0</v>
      </c>
      <c r="AU21" s="15">
        <f>SUMIFS('BS-KH26-DTR'!H$2:H$116,'BS-KH26-DTR'!$B$2:$B$116,$A21)</f>
        <v>0</v>
      </c>
      <c r="AV21" s="15">
        <f>SUMIFS('BS-KH26-DTR'!I$2:I$116,'BS-KH26-DTR'!$B$2:$B$116,$A21)</f>
        <v>0</v>
      </c>
      <c r="AW21" s="15">
        <f>SUMIFS('BS-KH26-DTR'!J$2:J$116,'BS-KH26-DTR'!$B$2:$B$116,$A21)</f>
        <v>0</v>
      </c>
      <c r="AX21" s="15">
        <f>SUMIFS('BS-KH26-DTR'!K$2:K$116,'BS-KH26-DTR'!$B$2:$B$116,$A21)</f>
        <v>0</v>
      </c>
      <c r="AY21" s="15">
        <f>SUMIFS('BS-KH26-DTR'!L$2:L$116,'BS-KH26-DTR'!$B$2:$B$116,$A21)</f>
        <v>0</v>
      </c>
      <c r="AZ21" s="15">
        <f>SUMIFS('BS-KH26-DTR'!M$2:M$116,'BS-KH26-DTR'!$B$2:$B$116,$A21)</f>
        <v>0</v>
      </c>
      <c r="BA21" s="15">
        <f>SUMIFS('BS-KH26-DTR'!N$2:N$116,'BS-KH26-DTR'!$B$2:$B$116,$A21)</f>
        <v>0</v>
      </c>
      <c r="BB21" s="15">
        <f>SUMIFS('BS-KH26-DTR'!O$2:O$116,'BS-KH26-DTR'!$B$2:$B$116,$A21)</f>
        <v>0</v>
      </c>
      <c r="BD21" s="15">
        <f>SUMIFS('BS-KH26-DongLam'!M$2:M$51,'BS-KH26-DongLam'!$A$2:$A$51,'Consol BS-DTRG'!$A21)</f>
        <v>0</v>
      </c>
      <c r="BE21" s="15">
        <f>SUMIFS('BS-KH26-DongLam'!N$2:N$51,'BS-KH26-DongLam'!$A$2:$A$51,'Consol BS-DTRG'!$A21)</f>
        <v>0</v>
      </c>
      <c r="BF21" s="15">
        <f>SUMIFS('BS-KH26-DongLam'!O$2:O$51,'BS-KH26-DongLam'!$A$2:$A$51,'Consol BS-DTRG'!$A21)</f>
        <v>0</v>
      </c>
      <c r="BG21" s="15">
        <f>SUMIFS('BS-KH26-DongLam'!P$2:P$51,'BS-KH26-DongLam'!$A$2:$A$51,'Consol BS-DTRG'!$A21)</f>
        <v>0</v>
      </c>
      <c r="BH21" s="15">
        <f>SUMIFS('BS-KH26-DongLam'!Q$2:Q$51,'BS-KH26-DongLam'!$A$2:$A$51,'Consol BS-DTRG'!$A21)</f>
        <v>0</v>
      </c>
      <c r="BI21" s="15">
        <f>SUMIFS('BS-KH26-DongLam'!R$2:R$51,'BS-KH26-DongLam'!$A$2:$A$51,'Consol BS-DTRG'!$A21)</f>
        <v>0</v>
      </c>
      <c r="BJ21" s="15">
        <f>SUMIFS('BS-KH26-DongLam'!S$2:S$51,'BS-KH26-DongLam'!$A$2:$A$51,'Consol BS-DTRG'!$A21)</f>
        <v>0</v>
      </c>
      <c r="BK21" s="15">
        <f>SUMIFS('BS-KH26-DongLam'!T$2:T$51,'BS-KH26-DongLam'!$A$2:$A$51,'Consol BS-DTRG'!$A21)</f>
        <v>0</v>
      </c>
      <c r="BL21" s="15">
        <f>SUMIFS('BS-KH26-DongLam'!U$2:U$51,'BS-KH26-DongLam'!$A$2:$A$51,'Consol BS-DTRG'!$A21)</f>
        <v>0</v>
      </c>
      <c r="BM21" s="15">
        <f>SUMIFS('BS-KH26-DongLam'!V$2:V$51,'BS-KH26-DongLam'!$A$2:$A$51,'Consol BS-DTRG'!$A21)</f>
        <v>0</v>
      </c>
      <c r="BN21" s="15">
        <f>SUMIFS('BS-KH26-DongLam'!W$2:W$51,'BS-KH26-DongLam'!$A$2:$A$51,'Consol BS-DTRG'!$A21)</f>
        <v>0</v>
      </c>
      <c r="BO21" s="15">
        <f>SUMIFS('BS-KH26-DongLam'!X$2:X$51,'BS-KH26-DongLam'!$A$2:$A$51,'Consol BS-DTRG'!$A21)</f>
        <v>0</v>
      </c>
      <c r="BQ21" s="15">
        <f>SUMIFS('BS-KH26-KhanhNga'!M$2:M$51,'BS-KH26-KhanhNga'!$A$2:$A$51,'Consol BS-DTRG'!$A21)</f>
        <v>0</v>
      </c>
      <c r="BR21" s="15">
        <f>SUMIFS('BS-KH26-KhanhNga'!N$2:N$51,'BS-KH26-KhanhNga'!$A$2:$A$51,'Consol BS-DTRG'!$A21)</f>
        <v>0</v>
      </c>
      <c r="BS21" s="15">
        <f>SUMIFS('BS-KH26-KhanhNga'!O$2:O$51,'BS-KH26-KhanhNga'!$A$2:$A$51,'Consol BS-DTRG'!$A21)</f>
        <v>0</v>
      </c>
      <c r="BT21" s="15">
        <f>SUMIFS('BS-KH26-KhanhNga'!P$2:P$51,'BS-KH26-KhanhNga'!$A$2:$A$51,'Consol BS-DTRG'!$A21)</f>
        <v>0</v>
      </c>
      <c r="BU21" s="15">
        <f>SUMIFS('BS-KH26-KhanhNga'!Q$2:Q$51,'BS-KH26-KhanhNga'!$A$2:$A$51,'Consol BS-DTRG'!$A21)</f>
        <v>0</v>
      </c>
      <c r="BV21" s="15">
        <f>SUMIFS('BS-KH26-KhanhNga'!R$2:R$51,'BS-KH26-KhanhNga'!$A$2:$A$51,'Consol BS-DTRG'!$A21)</f>
        <v>0</v>
      </c>
      <c r="BW21" s="15">
        <f>SUMIFS('BS-KH26-KhanhNga'!S$2:S$51,'BS-KH26-KhanhNga'!$A$2:$A$51,'Consol BS-DTRG'!$A21)</f>
        <v>0</v>
      </c>
      <c r="BX21" s="15">
        <f>SUMIFS('BS-KH26-KhanhNga'!T$2:T$51,'BS-KH26-KhanhNga'!$A$2:$A$51,'Consol BS-DTRG'!$A21)</f>
        <v>0</v>
      </c>
      <c r="BY21" s="15">
        <f>SUMIFS('BS-KH26-KhanhNga'!U$2:U$51,'BS-KH26-KhanhNga'!$A$2:$A$51,'Consol BS-DTRG'!$A21)</f>
        <v>0</v>
      </c>
      <c r="BZ21" s="15">
        <f>SUMIFS('BS-KH26-KhanhNga'!V$2:V$51,'BS-KH26-KhanhNga'!$A$2:$A$51,'Consol BS-DTRG'!$A21)</f>
        <v>0</v>
      </c>
      <c r="CA21" s="15">
        <f>SUMIFS('BS-KH26-KhanhNga'!W$2:W$51,'BS-KH26-KhanhNga'!$A$2:$A$51,'Consol BS-DTRG'!$A21)</f>
        <v>0</v>
      </c>
      <c r="CB21" s="15">
        <f>SUMIFS('BS-KH26-KhanhNga'!X$2:X$51,'BS-KH26-KhanhNga'!$A$2:$A$51,'Consol BS-DTRG'!$A21)</f>
        <v>0</v>
      </c>
      <c r="CD21" s="15">
        <f>SUMIFS('BS-KH26-DaiLoc'!M$2:M$51,'BS-KH26-DaiLoc'!$A$2:$A$51,'Consol BS-DTRG'!$A21)</f>
        <v>0</v>
      </c>
      <c r="CE21" s="15">
        <f>SUMIFS('BS-KH26-DaiLoc'!N$2:N$51,'BS-KH26-DaiLoc'!$A$2:$A$51,'Consol BS-DTRG'!$A21)</f>
        <v>0</v>
      </c>
      <c r="CF21" s="15">
        <f>SUMIFS('BS-KH26-DaiLoc'!O$2:O$51,'BS-KH26-DaiLoc'!$A$2:$A$51,'Consol BS-DTRG'!$A21)</f>
        <v>0</v>
      </c>
      <c r="CG21" s="15">
        <f>SUMIFS('BS-KH26-DaiLoc'!P$2:P$51,'BS-KH26-DaiLoc'!$A$2:$A$51,'Consol BS-DTRG'!$A21)</f>
        <v>0</v>
      </c>
      <c r="CH21" s="15">
        <f>SUMIFS('BS-KH26-DaiLoc'!Q$2:Q$51,'BS-KH26-DaiLoc'!$A$2:$A$51,'Consol BS-DTRG'!$A21)</f>
        <v>0</v>
      </c>
      <c r="CI21" s="15">
        <f>SUMIFS('BS-KH26-DaiLoc'!R$2:R$51,'BS-KH26-DaiLoc'!$A$2:$A$51,'Consol BS-DTRG'!$A21)</f>
        <v>0</v>
      </c>
      <c r="CJ21" s="15">
        <f>SUMIFS('BS-KH26-DaiLoc'!S$2:S$51,'BS-KH26-DaiLoc'!$A$2:$A$51,'Consol BS-DTRG'!$A21)</f>
        <v>0</v>
      </c>
      <c r="CK21" s="15">
        <f>SUMIFS('BS-KH26-DaiLoc'!T$2:T$51,'BS-KH26-DaiLoc'!$A$2:$A$51,'Consol BS-DTRG'!$A21)</f>
        <v>0</v>
      </c>
      <c r="CL21" s="15">
        <f>SUMIFS('BS-KH26-DaiLoc'!U$2:U$51,'BS-KH26-DaiLoc'!$A$2:$A$51,'Consol BS-DTRG'!$A21)</f>
        <v>0</v>
      </c>
      <c r="CM21" s="15">
        <f>SUMIFS('BS-KH26-DaiLoc'!V$2:V$51,'BS-KH26-DaiLoc'!$A$2:$A$51,'Consol BS-DTRG'!$A21)</f>
        <v>0</v>
      </c>
      <c r="CN21" s="15">
        <f>SUMIFS('BS-KH26-DaiLoc'!W$2:W$51,'BS-KH26-DaiLoc'!$A$2:$A$51,'Consol BS-DTRG'!$A21)</f>
        <v>0</v>
      </c>
      <c r="CO21" s="15">
        <f>SUMIFS('BS-KH26-DaiLoc'!X$2:X$51,'BS-KH26-DaiLoc'!$A$2:$A$51,'Consol BS-DTRG'!$A21)</f>
        <v>0</v>
      </c>
      <c r="CQ21" s="15">
        <v>0</v>
      </c>
      <c r="CR21" s="15">
        <f t="shared" si="102"/>
        <v>0</v>
      </c>
      <c r="CS21" s="15">
        <f t="shared" si="102"/>
        <v>0</v>
      </c>
      <c r="CT21" s="15">
        <f t="shared" si="102"/>
        <v>0</v>
      </c>
      <c r="CU21" s="15">
        <f t="shared" si="102"/>
        <v>0</v>
      </c>
      <c r="CV21" s="15">
        <f t="shared" si="102"/>
        <v>0</v>
      </c>
      <c r="CW21" s="15">
        <f t="shared" si="102"/>
        <v>0</v>
      </c>
      <c r="CX21" s="15">
        <f t="shared" si="102"/>
        <v>0</v>
      </c>
      <c r="CY21" s="15">
        <f t="shared" si="102"/>
        <v>0</v>
      </c>
      <c r="CZ21" s="15">
        <f t="shared" si="102"/>
        <v>0</v>
      </c>
      <c r="DA21" s="15">
        <f t="shared" si="102"/>
        <v>0</v>
      </c>
      <c r="DB21" s="15">
        <f t="shared" si="102"/>
        <v>0</v>
      </c>
    </row>
    <row r="22" spans="1:106" hidden="1" outlineLevel="1">
      <c r="A22" s="633">
        <v>19</v>
      </c>
      <c r="B22" s="615" t="s">
        <v>273</v>
      </c>
      <c r="C22" t="s">
        <v>518</v>
      </c>
      <c r="D22" s="15">
        <f t="shared" si="78"/>
        <v>0</v>
      </c>
      <c r="E22" s="15">
        <f t="shared" si="79"/>
        <v>0</v>
      </c>
      <c r="F22" s="15">
        <f t="shared" si="80"/>
        <v>0</v>
      </c>
      <c r="G22" s="15">
        <f t="shared" si="81"/>
        <v>0</v>
      </c>
      <c r="H22" s="15">
        <f t="shared" si="82"/>
        <v>0</v>
      </c>
      <c r="I22" s="15">
        <f t="shared" si="83"/>
        <v>0</v>
      </c>
      <c r="J22" s="15">
        <f t="shared" si="84"/>
        <v>0</v>
      </c>
      <c r="K22" s="15">
        <f t="shared" si="85"/>
        <v>0</v>
      </c>
      <c r="L22" s="15">
        <f t="shared" si="86"/>
        <v>0</v>
      </c>
      <c r="M22" s="15">
        <f t="shared" si="87"/>
        <v>0</v>
      </c>
      <c r="N22" s="15">
        <f t="shared" si="88"/>
        <v>0</v>
      </c>
      <c r="O22" s="15">
        <f t="shared" si="89"/>
        <v>0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D22" s="646">
        <f t="shared" si="90"/>
        <v>0</v>
      </c>
      <c r="AE22" s="15">
        <f t="shared" si="91"/>
        <v>0</v>
      </c>
      <c r="AF22" s="15">
        <f t="shared" si="92"/>
        <v>0</v>
      </c>
      <c r="AG22" s="15">
        <f t="shared" si="93"/>
        <v>0</v>
      </c>
      <c r="AH22" s="15">
        <f t="shared" si="94"/>
        <v>0</v>
      </c>
      <c r="AI22" s="15">
        <f t="shared" si="95"/>
        <v>0</v>
      </c>
      <c r="AJ22" s="15">
        <f t="shared" si="96"/>
        <v>0</v>
      </c>
      <c r="AK22" s="15">
        <f t="shared" si="97"/>
        <v>0</v>
      </c>
      <c r="AL22" s="15">
        <f t="shared" si="98"/>
        <v>0</v>
      </c>
      <c r="AM22" s="15">
        <f t="shared" si="99"/>
        <v>0</v>
      </c>
      <c r="AN22" s="15">
        <f t="shared" si="100"/>
        <v>0</v>
      </c>
      <c r="AO22" s="647">
        <f t="shared" si="101"/>
        <v>0</v>
      </c>
      <c r="AQ22" s="15">
        <f>SUMIFS('BS-KH26-DTR'!D$2:D$116,'BS-KH26-DTR'!$B$2:$B$116,$A22)</f>
        <v>0</v>
      </c>
      <c r="AR22" s="15">
        <f>SUMIFS('BS-KH26-DTR'!E$2:E$116,'BS-KH26-DTR'!$B$2:$B$116,$A22)</f>
        <v>0</v>
      </c>
      <c r="AS22" s="15">
        <f>SUMIFS('BS-KH26-DTR'!F$2:F$116,'BS-KH26-DTR'!$B$2:$B$116,$A22)</f>
        <v>0</v>
      </c>
      <c r="AT22" s="15">
        <f>SUMIFS('BS-KH26-DTR'!G$2:G$116,'BS-KH26-DTR'!$B$2:$B$116,$A22)</f>
        <v>0</v>
      </c>
      <c r="AU22" s="15">
        <f>SUMIFS('BS-KH26-DTR'!H$2:H$116,'BS-KH26-DTR'!$B$2:$B$116,$A22)</f>
        <v>0</v>
      </c>
      <c r="AV22" s="15">
        <f>SUMIFS('BS-KH26-DTR'!I$2:I$116,'BS-KH26-DTR'!$B$2:$B$116,$A22)</f>
        <v>0</v>
      </c>
      <c r="AW22" s="15">
        <f>SUMIFS('BS-KH26-DTR'!J$2:J$116,'BS-KH26-DTR'!$B$2:$B$116,$A22)</f>
        <v>0</v>
      </c>
      <c r="AX22" s="15">
        <f>SUMIFS('BS-KH26-DTR'!K$2:K$116,'BS-KH26-DTR'!$B$2:$B$116,$A22)</f>
        <v>0</v>
      </c>
      <c r="AY22" s="15">
        <f>SUMIFS('BS-KH26-DTR'!L$2:L$116,'BS-KH26-DTR'!$B$2:$B$116,$A22)</f>
        <v>0</v>
      </c>
      <c r="AZ22" s="15">
        <f>SUMIFS('BS-KH26-DTR'!M$2:M$116,'BS-KH26-DTR'!$B$2:$B$116,$A22)</f>
        <v>0</v>
      </c>
      <c r="BA22" s="15">
        <f>SUMIFS('BS-KH26-DTR'!N$2:N$116,'BS-KH26-DTR'!$B$2:$B$116,$A22)</f>
        <v>0</v>
      </c>
      <c r="BB22" s="15">
        <f>SUMIFS('BS-KH26-DTR'!O$2:O$116,'BS-KH26-DTR'!$B$2:$B$116,$A22)</f>
        <v>0</v>
      </c>
      <c r="BD22" s="15">
        <f>SUMIFS('BS-KH26-DongLam'!M$2:M$51,'BS-KH26-DongLam'!$A$2:$A$51,'Consol BS-DTRG'!$A22)</f>
        <v>0</v>
      </c>
      <c r="BE22" s="15">
        <f>SUMIFS('BS-KH26-DongLam'!N$2:N$51,'BS-KH26-DongLam'!$A$2:$A$51,'Consol BS-DTRG'!$A22)</f>
        <v>0</v>
      </c>
      <c r="BF22" s="15">
        <f>SUMIFS('BS-KH26-DongLam'!O$2:O$51,'BS-KH26-DongLam'!$A$2:$A$51,'Consol BS-DTRG'!$A22)</f>
        <v>0</v>
      </c>
      <c r="BG22" s="15">
        <f>SUMIFS('BS-KH26-DongLam'!P$2:P$51,'BS-KH26-DongLam'!$A$2:$A$51,'Consol BS-DTRG'!$A22)</f>
        <v>0</v>
      </c>
      <c r="BH22" s="15">
        <f>SUMIFS('BS-KH26-DongLam'!Q$2:Q$51,'BS-KH26-DongLam'!$A$2:$A$51,'Consol BS-DTRG'!$A22)</f>
        <v>0</v>
      </c>
      <c r="BI22" s="15">
        <f>SUMIFS('BS-KH26-DongLam'!R$2:R$51,'BS-KH26-DongLam'!$A$2:$A$51,'Consol BS-DTRG'!$A22)</f>
        <v>0</v>
      </c>
      <c r="BJ22" s="15">
        <f>SUMIFS('BS-KH26-DongLam'!S$2:S$51,'BS-KH26-DongLam'!$A$2:$A$51,'Consol BS-DTRG'!$A22)</f>
        <v>0</v>
      </c>
      <c r="BK22" s="15">
        <f>SUMIFS('BS-KH26-DongLam'!T$2:T$51,'BS-KH26-DongLam'!$A$2:$A$51,'Consol BS-DTRG'!$A22)</f>
        <v>0</v>
      </c>
      <c r="BL22" s="15">
        <f>SUMIFS('BS-KH26-DongLam'!U$2:U$51,'BS-KH26-DongLam'!$A$2:$A$51,'Consol BS-DTRG'!$A22)</f>
        <v>0</v>
      </c>
      <c r="BM22" s="15">
        <f>SUMIFS('BS-KH26-DongLam'!V$2:V$51,'BS-KH26-DongLam'!$A$2:$A$51,'Consol BS-DTRG'!$A22)</f>
        <v>0</v>
      </c>
      <c r="BN22" s="15">
        <f>SUMIFS('BS-KH26-DongLam'!W$2:W$51,'BS-KH26-DongLam'!$A$2:$A$51,'Consol BS-DTRG'!$A22)</f>
        <v>0</v>
      </c>
      <c r="BO22" s="15">
        <f>SUMIFS('BS-KH26-DongLam'!X$2:X$51,'BS-KH26-DongLam'!$A$2:$A$51,'Consol BS-DTRG'!$A22)</f>
        <v>0</v>
      </c>
      <c r="BQ22" s="15">
        <f>SUMIFS('BS-KH26-KhanhNga'!M$2:M$51,'BS-KH26-KhanhNga'!$A$2:$A$51,'Consol BS-DTRG'!$A22)</f>
        <v>0</v>
      </c>
      <c r="BR22" s="15">
        <f>SUMIFS('BS-KH26-KhanhNga'!N$2:N$51,'BS-KH26-KhanhNga'!$A$2:$A$51,'Consol BS-DTRG'!$A22)</f>
        <v>0</v>
      </c>
      <c r="BS22" s="15">
        <f>SUMIFS('BS-KH26-KhanhNga'!O$2:O$51,'BS-KH26-KhanhNga'!$A$2:$A$51,'Consol BS-DTRG'!$A22)</f>
        <v>0</v>
      </c>
      <c r="BT22" s="15">
        <f>SUMIFS('BS-KH26-KhanhNga'!P$2:P$51,'BS-KH26-KhanhNga'!$A$2:$A$51,'Consol BS-DTRG'!$A22)</f>
        <v>0</v>
      </c>
      <c r="BU22" s="15">
        <f>SUMIFS('BS-KH26-KhanhNga'!Q$2:Q$51,'BS-KH26-KhanhNga'!$A$2:$A$51,'Consol BS-DTRG'!$A22)</f>
        <v>0</v>
      </c>
      <c r="BV22" s="15">
        <f>SUMIFS('BS-KH26-KhanhNga'!R$2:R$51,'BS-KH26-KhanhNga'!$A$2:$A$51,'Consol BS-DTRG'!$A22)</f>
        <v>0</v>
      </c>
      <c r="BW22" s="15">
        <f>SUMIFS('BS-KH26-KhanhNga'!S$2:S$51,'BS-KH26-KhanhNga'!$A$2:$A$51,'Consol BS-DTRG'!$A22)</f>
        <v>0</v>
      </c>
      <c r="BX22" s="15">
        <f>SUMIFS('BS-KH26-KhanhNga'!T$2:T$51,'BS-KH26-KhanhNga'!$A$2:$A$51,'Consol BS-DTRG'!$A22)</f>
        <v>0</v>
      </c>
      <c r="BY22" s="15">
        <f>SUMIFS('BS-KH26-KhanhNga'!U$2:U$51,'BS-KH26-KhanhNga'!$A$2:$A$51,'Consol BS-DTRG'!$A22)</f>
        <v>0</v>
      </c>
      <c r="BZ22" s="15">
        <f>SUMIFS('BS-KH26-KhanhNga'!V$2:V$51,'BS-KH26-KhanhNga'!$A$2:$A$51,'Consol BS-DTRG'!$A22)</f>
        <v>0</v>
      </c>
      <c r="CA22" s="15">
        <f>SUMIFS('BS-KH26-KhanhNga'!W$2:W$51,'BS-KH26-KhanhNga'!$A$2:$A$51,'Consol BS-DTRG'!$A22)</f>
        <v>0</v>
      </c>
      <c r="CB22" s="15">
        <f>SUMIFS('BS-KH26-KhanhNga'!X$2:X$51,'BS-KH26-KhanhNga'!$A$2:$A$51,'Consol BS-DTRG'!$A22)</f>
        <v>0</v>
      </c>
      <c r="CD22" s="15">
        <f>SUMIFS('BS-KH26-DaiLoc'!M$2:M$51,'BS-KH26-DaiLoc'!$A$2:$A$51,'Consol BS-DTRG'!$A22)</f>
        <v>0</v>
      </c>
      <c r="CE22" s="15">
        <f>SUMIFS('BS-KH26-DaiLoc'!N$2:N$51,'BS-KH26-DaiLoc'!$A$2:$A$51,'Consol BS-DTRG'!$A22)</f>
        <v>0</v>
      </c>
      <c r="CF22" s="15">
        <f>SUMIFS('BS-KH26-DaiLoc'!O$2:O$51,'BS-KH26-DaiLoc'!$A$2:$A$51,'Consol BS-DTRG'!$A22)</f>
        <v>0</v>
      </c>
      <c r="CG22" s="15">
        <f>SUMIFS('BS-KH26-DaiLoc'!P$2:P$51,'BS-KH26-DaiLoc'!$A$2:$A$51,'Consol BS-DTRG'!$A22)</f>
        <v>0</v>
      </c>
      <c r="CH22" s="15">
        <f>SUMIFS('BS-KH26-DaiLoc'!Q$2:Q$51,'BS-KH26-DaiLoc'!$A$2:$A$51,'Consol BS-DTRG'!$A22)</f>
        <v>0</v>
      </c>
      <c r="CI22" s="15">
        <f>SUMIFS('BS-KH26-DaiLoc'!R$2:R$51,'BS-KH26-DaiLoc'!$A$2:$A$51,'Consol BS-DTRG'!$A22)</f>
        <v>0</v>
      </c>
      <c r="CJ22" s="15">
        <f>SUMIFS('BS-KH26-DaiLoc'!S$2:S$51,'BS-KH26-DaiLoc'!$A$2:$A$51,'Consol BS-DTRG'!$A22)</f>
        <v>0</v>
      </c>
      <c r="CK22" s="15">
        <f>SUMIFS('BS-KH26-DaiLoc'!T$2:T$51,'BS-KH26-DaiLoc'!$A$2:$A$51,'Consol BS-DTRG'!$A22)</f>
        <v>0</v>
      </c>
      <c r="CL22" s="15">
        <f>SUMIFS('BS-KH26-DaiLoc'!U$2:U$51,'BS-KH26-DaiLoc'!$A$2:$A$51,'Consol BS-DTRG'!$A22)</f>
        <v>0</v>
      </c>
      <c r="CM22" s="15">
        <f>SUMIFS('BS-KH26-DaiLoc'!V$2:V$51,'BS-KH26-DaiLoc'!$A$2:$A$51,'Consol BS-DTRG'!$A22)</f>
        <v>0</v>
      </c>
      <c r="CN22" s="15">
        <f>SUMIFS('BS-KH26-DaiLoc'!W$2:W$51,'BS-KH26-DaiLoc'!$A$2:$A$51,'Consol BS-DTRG'!$A22)</f>
        <v>0</v>
      </c>
      <c r="CO22" s="15">
        <f>SUMIFS('BS-KH26-DaiLoc'!X$2:X$51,'BS-KH26-DaiLoc'!$A$2:$A$51,'Consol BS-DTRG'!$A22)</f>
        <v>0</v>
      </c>
      <c r="CQ22" s="15">
        <v>0</v>
      </c>
      <c r="CR22" s="15">
        <f t="shared" si="102"/>
        <v>0</v>
      </c>
      <c r="CS22" s="15">
        <f t="shared" si="102"/>
        <v>0</v>
      </c>
      <c r="CT22" s="15">
        <f t="shared" si="102"/>
        <v>0</v>
      </c>
      <c r="CU22" s="15">
        <f t="shared" si="102"/>
        <v>0</v>
      </c>
      <c r="CV22" s="15">
        <f t="shared" si="102"/>
        <v>0</v>
      </c>
      <c r="CW22" s="15">
        <f t="shared" si="102"/>
        <v>0</v>
      </c>
      <c r="CX22" s="15">
        <f t="shared" si="102"/>
        <v>0</v>
      </c>
      <c r="CY22" s="15">
        <f t="shared" si="102"/>
        <v>0</v>
      </c>
      <c r="CZ22" s="15">
        <f t="shared" si="102"/>
        <v>0</v>
      </c>
      <c r="DA22" s="15">
        <f t="shared" si="102"/>
        <v>0</v>
      </c>
      <c r="DB22" s="15">
        <f t="shared" si="102"/>
        <v>0</v>
      </c>
    </row>
    <row r="23" spans="1:106" collapsed="1">
      <c r="A23" s="1">
        <v>20</v>
      </c>
      <c r="B23" s="611" t="s">
        <v>274</v>
      </c>
      <c r="D23" s="14">
        <f t="shared" ref="D23:O23" ca="1" si="103">SUM(D24:D25)</f>
        <v>506665287959.81219</v>
      </c>
      <c r="E23" s="14">
        <f t="shared" ca="1" si="103"/>
        <v>543923614644.34113</v>
      </c>
      <c r="F23" s="14">
        <f t="shared" ca="1" si="103"/>
        <v>629239272339.33154</v>
      </c>
      <c r="G23" s="14">
        <f t="shared" ca="1" si="103"/>
        <v>586716653595.91406</v>
      </c>
      <c r="H23" s="14">
        <f t="shared" ca="1" si="103"/>
        <v>614060822649.94788</v>
      </c>
      <c r="I23" s="14">
        <f t="shared" ca="1" si="103"/>
        <v>637543038986.65601</v>
      </c>
      <c r="J23" s="14">
        <f t="shared" ca="1" si="103"/>
        <v>605247769255.37061</v>
      </c>
      <c r="K23" s="14">
        <f t="shared" ca="1" si="103"/>
        <v>611584066855.65625</v>
      </c>
      <c r="L23" s="14">
        <f t="shared" ca="1" si="103"/>
        <v>642570321310.00464</v>
      </c>
      <c r="M23" s="14">
        <f t="shared" ca="1" si="103"/>
        <v>593572753757.99182</v>
      </c>
      <c r="N23" s="14">
        <f t="shared" ca="1" si="103"/>
        <v>619683497508.57458</v>
      </c>
      <c r="O23" s="14">
        <f t="shared" ca="1" si="103"/>
        <v>632907703498.47205</v>
      </c>
      <c r="Q23" s="14">
        <f t="shared" ref="Q23:AB23" ca="1" si="104">SUM(Q24:Q25)</f>
        <v>-1081653552.8917923</v>
      </c>
      <c r="R23" s="14">
        <f t="shared" ca="1" si="104"/>
        <v>-206360630.64188004</v>
      </c>
      <c r="S23" s="14">
        <f t="shared" ca="1" si="104"/>
        <v>-1311188694.2388897</v>
      </c>
      <c r="T23" s="14">
        <f t="shared" ca="1" si="104"/>
        <v>-1689504436.190918</v>
      </c>
      <c r="U23" s="14">
        <f t="shared" ca="1" si="104"/>
        <v>-600462545.67515945</v>
      </c>
      <c r="V23" s="14">
        <f t="shared" ca="1" si="104"/>
        <v>-1386793199.9009171</v>
      </c>
      <c r="W23" s="14">
        <f t="shared" ca="1" si="104"/>
        <v>-318276916.1496563</v>
      </c>
      <c r="X23" s="14">
        <f t="shared" ca="1" si="104"/>
        <v>31216146.459789276</v>
      </c>
      <c r="Y23" s="14">
        <f t="shared" ca="1" si="104"/>
        <v>133418850.23434067</v>
      </c>
      <c r="Z23" s="14">
        <f t="shared" ca="1" si="104"/>
        <v>-337062225.32540703</v>
      </c>
      <c r="AA23" s="14">
        <f t="shared" ca="1" si="104"/>
        <v>-153560604.06283951</v>
      </c>
      <c r="AB23" s="14">
        <f t="shared" ca="1" si="104"/>
        <v>-227377208.07666779</v>
      </c>
      <c r="AD23" s="644">
        <f t="shared" ref="AD23" si="105">SUM(AD24:AD25)</f>
        <v>507746941512.70398</v>
      </c>
      <c r="AE23" s="14">
        <f t="shared" ref="AE23:AO23" si="106">SUM(AE24:AE25)</f>
        <v>544129975274.98303</v>
      </c>
      <c r="AF23" s="14">
        <f t="shared" si="106"/>
        <v>630550461033.57043</v>
      </c>
      <c r="AG23" s="14">
        <f t="shared" si="106"/>
        <v>588406158032.10498</v>
      </c>
      <c r="AH23" s="14">
        <f t="shared" si="106"/>
        <v>614661285195.62305</v>
      </c>
      <c r="AI23" s="14">
        <f t="shared" si="106"/>
        <v>638929832186.55688</v>
      </c>
      <c r="AJ23" s="14">
        <f t="shared" si="106"/>
        <v>605566046171.52026</v>
      </c>
      <c r="AK23" s="14">
        <f t="shared" si="106"/>
        <v>611552850709.19641</v>
      </c>
      <c r="AL23" s="14">
        <f t="shared" si="106"/>
        <v>642436902459.77026</v>
      </c>
      <c r="AM23" s="14">
        <f t="shared" si="106"/>
        <v>593909815983.31726</v>
      </c>
      <c r="AN23" s="14">
        <f t="shared" si="106"/>
        <v>619837058112.63745</v>
      </c>
      <c r="AO23" s="645">
        <f t="shared" si="106"/>
        <v>633135080706.54871</v>
      </c>
      <c r="AQ23" s="14">
        <f t="shared" ref="AQ23:BB23" si="107">SUM(AQ24:AQ25)</f>
        <v>497473633182.50079</v>
      </c>
      <c r="AR23" s="14">
        <f t="shared" si="107"/>
        <v>536457927990.87683</v>
      </c>
      <c r="AS23" s="14">
        <f t="shared" si="107"/>
        <v>618684656298.2666</v>
      </c>
      <c r="AT23" s="14">
        <f t="shared" si="107"/>
        <v>574418736594.82825</v>
      </c>
      <c r="AU23" s="14">
        <f t="shared" si="107"/>
        <v>600511271301.4541</v>
      </c>
      <c r="AV23" s="14">
        <f t="shared" si="107"/>
        <v>624746695564.6084</v>
      </c>
      <c r="AW23" s="14">
        <f t="shared" si="107"/>
        <v>591199377807.07971</v>
      </c>
      <c r="AX23" s="14">
        <f t="shared" si="107"/>
        <v>597176954319.47253</v>
      </c>
      <c r="AY23" s="14">
        <f t="shared" si="107"/>
        <v>628236556176.16003</v>
      </c>
      <c r="AZ23" s="14">
        <f t="shared" si="107"/>
        <v>579088956819.10876</v>
      </c>
      <c r="BA23" s="14">
        <f t="shared" si="107"/>
        <v>605158894006.96509</v>
      </c>
      <c r="BB23" s="14">
        <f t="shared" si="107"/>
        <v>618294276412.97681</v>
      </c>
      <c r="BD23" s="14">
        <f t="shared" ref="BD23:BO23" si="108">SUM(BD24:BD25)</f>
        <v>2425000000</v>
      </c>
      <c r="BE23" s="14">
        <f t="shared" si="108"/>
        <v>1425000000</v>
      </c>
      <c r="BF23" s="14">
        <f t="shared" si="108"/>
        <v>3333333333.333333</v>
      </c>
      <c r="BG23" s="14">
        <f t="shared" si="108"/>
        <v>4000000000</v>
      </c>
      <c r="BH23" s="14">
        <f t="shared" si="108"/>
        <v>4166666666.6666665</v>
      </c>
      <c r="BI23" s="14">
        <f t="shared" si="108"/>
        <v>4166666666.6666665</v>
      </c>
      <c r="BJ23" s="14">
        <f t="shared" si="108"/>
        <v>4333333333.333333</v>
      </c>
      <c r="BK23" s="14">
        <f t="shared" si="108"/>
        <v>4333333333.333333</v>
      </c>
      <c r="BL23" s="14">
        <f t="shared" si="108"/>
        <v>4166666666.6666665</v>
      </c>
      <c r="BM23" s="14">
        <f t="shared" si="108"/>
        <v>4333333333.333333</v>
      </c>
      <c r="BN23" s="14">
        <f t="shared" si="108"/>
        <v>4166666666.6666665</v>
      </c>
      <c r="BO23" s="14">
        <f t="shared" si="108"/>
        <v>4333333333.333333</v>
      </c>
      <c r="BQ23" s="14">
        <f t="shared" ref="BQ23:CB23" si="109">SUM(BQ24:BQ25)</f>
        <v>2368168406.0903487</v>
      </c>
      <c r="BR23" s="14">
        <f t="shared" si="109"/>
        <v>1858075728.8665466</v>
      </c>
      <c r="BS23" s="14">
        <f t="shared" si="109"/>
        <v>2528429557.4760609</v>
      </c>
      <c r="BT23" s="14">
        <f t="shared" si="109"/>
        <v>2714140058.3951063</v>
      </c>
      <c r="BU23" s="14">
        <f t="shared" si="109"/>
        <v>2700303036.1284394</v>
      </c>
      <c r="BV23" s="14">
        <f t="shared" si="109"/>
        <v>2715079472.8839951</v>
      </c>
      <c r="BW23" s="14">
        <f t="shared" si="109"/>
        <v>2719428580.8395505</v>
      </c>
      <c r="BX23" s="14">
        <f t="shared" si="109"/>
        <v>2725272795.7006617</v>
      </c>
      <c r="BY23" s="14">
        <f t="shared" si="109"/>
        <v>2721404388.7395506</v>
      </c>
      <c r="BZ23" s="14">
        <f t="shared" si="109"/>
        <v>2701820249.8506618</v>
      </c>
      <c r="CA23" s="14">
        <f t="shared" si="109"/>
        <v>2707513174.2839952</v>
      </c>
      <c r="CB23" s="14">
        <f t="shared" si="109"/>
        <v>2707012075.2173285</v>
      </c>
      <c r="CD23" s="14">
        <f t="shared" ref="CD23:CO23" si="110">SUM(CD24:CD25)</f>
        <v>5480139924.1128559</v>
      </c>
      <c r="CE23" s="14">
        <f t="shared" si="110"/>
        <v>4388971555.2396145</v>
      </c>
      <c r="CF23" s="14">
        <f t="shared" si="110"/>
        <v>6004041844.4943485</v>
      </c>
      <c r="CG23" s="14">
        <f t="shared" si="110"/>
        <v>7273281378.8815804</v>
      </c>
      <c r="CH23" s="14">
        <f t="shared" si="110"/>
        <v>7283044191.3738775</v>
      </c>
      <c r="CI23" s="14">
        <f t="shared" si="110"/>
        <v>7301390482.3977995</v>
      </c>
      <c r="CJ23" s="14">
        <f t="shared" si="110"/>
        <v>7313906450.2676001</v>
      </c>
      <c r="CK23" s="14">
        <f t="shared" si="110"/>
        <v>7317290260.6898232</v>
      </c>
      <c r="CL23" s="14">
        <f t="shared" si="110"/>
        <v>7312275228.2040672</v>
      </c>
      <c r="CM23" s="14">
        <f t="shared" si="110"/>
        <v>7785705581.0244141</v>
      </c>
      <c r="CN23" s="14">
        <f t="shared" si="110"/>
        <v>7803984264.7218494</v>
      </c>
      <c r="CO23" s="14">
        <f t="shared" si="110"/>
        <v>7800458885.0212793</v>
      </c>
      <c r="CQ23" s="14">
        <f t="shared" ref="CQ23:DB23" si="111">SUM(CQ24:CQ25)</f>
        <v>0</v>
      </c>
      <c r="CR23" s="14">
        <f t="shared" si="111"/>
        <v>0</v>
      </c>
      <c r="CS23" s="14">
        <f t="shared" si="111"/>
        <v>0</v>
      </c>
      <c r="CT23" s="14">
        <f t="shared" si="111"/>
        <v>0</v>
      </c>
      <c r="CU23" s="14">
        <f t="shared" si="111"/>
        <v>0</v>
      </c>
      <c r="CV23" s="14">
        <f t="shared" si="111"/>
        <v>0</v>
      </c>
      <c r="CW23" s="14">
        <f t="shared" si="111"/>
        <v>0</v>
      </c>
      <c r="CX23" s="14">
        <f t="shared" si="111"/>
        <v>0</v>
      </c>
      <c r="CY23" s="14">
        <f t="shared" si="111"/>
        <v>0</v>
      </c>
      <c r="CZ23" s="14">
        <f t="shared" si="111"/>
        <v>0</v>
      </c>
      <c r="DA23" s="14">
        <f t="shared" si="111"/>
        <v>0</v>
      </c>
      <c r="DB23" s="14">
        <f t="shared" si="111"/>
        <v>0</v>
      </c>
    </row>
    <row r="24" spans="1:106" hidden="1" outlineLevel="1">
      <c r="A24" s="633">
        <v>21</v>
      </c>
      <c r="B24" s="612" t="s">
        <v>275</v>
      </c>
      <c r="C24" t="s">
        <v>518</v>
      </c>
      <c r="D24" s="15">
        <f t="shared" ref="D24:D25" ca="1" si="112">AD24+Q24</f>
        <v>506665287959.81219</v>
      </c>
      <c r="E24" s="15">
        <f t="shared" ref="E24:E25" ca="1" si="113">AE24+R24</f>
        <v>543923614644.34113</v>
      </c>
      <c r="F24" s="15">
        <f t="shared" ref="F24:F25" ca="1" si="114">AF24+S24</f>
        <v>629239272339.33154</v>
      </c>
      <c r="G24" s="15">
        <f t="shared" ref="G24:G25" ca="1" si="115">AG24+T24</f>
        <v>586716653595.91406</v>
      </c>
      <c r="H24" s="15">
        <f t="shared" ref="H24:H25" ca="1" si="116">AH24+U24</f>
        <v>614060822649.94788</v>
      </c>
      <c r="I24" s="15">
        <f t="shared" ref="I24:I25" ca="1" si="117">AI24+V24</f>
        <v>637543038986.65601</v>
      </c>
      <c r="J24" s="15">
        <f t="shared" ref="J24:J25" ca="1" si="118">AJ24+W24</f>
        <v>605247769255.37061</v>
      </c>
      <c r="K24" s="15">
        <f t="shared" ref="K24:K25" ca="1" si="119">AK24+X24</f>
        <v>611584066855.65625</v>
      </c>
      <c r="L24" s="15">
        <f t="shared" ref="L24:L25" ca="1" si="120">AL24+Y24</f>
        <v>642570321310.00464</v>
      </c>
      <c r="M24" s="15">
        <f t="shared" ref="M24:M25" ca="1" si="121">AM24+Z24</f>
        <v>593572753757.99182</v>
      </c>
      <c r="N24" s="15">
        <f t="shared" ref="N24:N25" ca="1" si="122">AN24+AA24</f>
        <v>619683497508.57458</v>
      </c>
      <c r="O24" s="15">
        <f t="shared" ref="O24:O25" ca="1" si="123">AO24+AB24</f>
        <v>632907703498.47205</v>
      </c>
      <c r="Q24" s="15">
        <f ca="1">-('Consol PL-DTRG'!Q26-'Consol PL-DTRG'!Q25)</f>
        <v>-1081653552.8917923</v>
      </c>
      <c r="R24" s="15">
        <f ca="1">-('Consol PL-DTRG'!R26-'Consol PL-DTRG'!R25)</f>
        <v>-206360630.64188004</v>
      </c>
      <c r="S24" s="15">
        <f ca="1">-('Consol PL-DTRG'!S26-'Consol PL-DTRG'!S25)</f>
        <v>-1311188694.2388897</v>
      </c>
      <c r="T24" s="15">
        <f ca="1">-('Consol PL-DTRG'!T26-'Consol PL-DTRG'!T25)</f>
        <v>-1689504436.190918</v>
      </c>
      <c r="U24" s="15">
        <f ca="1">-('Consol PL-DTRG'!U26-'Consol PL-DTRG'!U25)</f>
        <v>-600462545.67515945</v>
      </c>
      <c r="V24" s="15">
        <f ca="1">-('Consol PL-DTRG'!V26-'Consol PL-DTRG'!V25)</f>
        <v>-1386793199.9009171</v>
      </c>
      <c r="W24" s="15">
        <f ca="1">-('Consol PL-DTRG'!W26-'Consol PL-DTRG'!W25)</f>
        <v>-318276916.1496563</v>
      </c>
      <c r="X24" s="15">
        <f ca="1">-('Consol PL-DTRG'!X26-'Consol PL-DTRG'!X25)</f>
        <v>31216146.459789276</v>
      </c>
      <c r="Y24" s="15">
        <f ca="1">-('Consol PL-DTRG'!Y26-'Consol PL-DTRG'!Y25)</f>
        <v>133418850.23434067</v>
      </c>
      <c r="Z24" s="15">
        <f ca="1">-('Consol PL-DTRG'!Z26-'Consol PL-DTRG'!Z25)</f>
        <v>-337062225.32540703</v>
      </c>
      <c r="AA24" s="15">
        <f ca="1">-('Consol PL-DTRG'!AA26-'Consol PL-DTRG'!AA25)</f>
        <v>-153560604.06283951</v>
      </c>
      <c r="AB24" s="15">
        <f ca="1">-('Consol PL-DTRG'!AB26-'Consol PL-DTRG'!AB25)</f>
        <v>-227377208.07666779</v>
      </c>
      <c r="AD24" s="646">
        <f t="shared" ref="AD24:AD25" si="124">AQ24+BD24+BQ24+CD24+CQ24</f>
        <v>507746941512.70398</v>
      </c>
      <c r="AE24" s="15">
        <f t="shared" ref="AE24:AE25" si="125">AR24+BE24+BR24+CE24+CR24</f>
        <v>544129975274.98303</v>
      </c>
      <c r="AF24" s="15">
        <f t="shared" ref="AF24:AF25" si="126">AS24+BF24+BS24+CF24+CS24</f>
        <v>630550461033.57043</v>
      </c>
      <c r="AG24" s="15">
        <f t="shared" ref="AG24:AG25" si="127">AT24+BG24+BT24+CG24+CT24</f>
        <v>588406158032.10498</v>
      </c>
      <c r="AH24" s="15">
        <f t="shared" ref="AH24:AH25" si="128">AU24+BH24+BU24+CH24+CU24</f>
        <v>614661285195.62305</v>
      </c>
      <c r="AI24" s="15">
        <f t="shared" ref="AI24:AI25" si="129">AV24+BI24+BV24+CI24+CV24</f>
        <v>638929832186.55688</v>
      </c>
      <c r="AJ24" s="15">
        <f t="shared" ref="AJ24:AJ25" si="130">AW24+BJ24+BW24+CJ24+CW24</f>
        <v>605566046171.52026</v>
      </c>
      <c r="AK24" s="15">
        <f t="shared" ref="AK24:AK25" si="131">AX24+BK24+BX24+CK24+CX24</f>
        <v>611552850709.19641</v>
      </c>
      <c r="AL24" s="15">
        <f t="shared" ref="AL24:AL25" si="132">AY24+BL24+BY24+CL24+CY24</f>
        <v>642436902459.77026</v>
      </c>
      <c r="AM24" s="15">
        <f t="shared" ref="AM24:AM25" si="133">AZ24+BM24+BZ24+CM24+CZ24</f>
        <v>593909815983.31726</v>
      </c>
      <c r="AN24" s="15">
        <f t="shared" ref="AN24:AN25" si="134">BA24+BN24+CA24+CN24+DA24</f>
        <v>619837058112.63745</v>
      </c>
      <c r="AO24" s="647">
        <f t="shared" ref="AO24:AO25" si="135">BB24+BO24+CB24+CO24+DB24</f>
        <v>633135080706.54871</v>
      </c>
      <c r="AQ24" s="15">
        <f>SUMIFS('BS-KH26-DTR'!D$2:D$116,'BS-KH26-DTR'!$B$2:$B$116,$A24)</f>
        <v>497473633182.50079</v>
      </c>
      <c r="AR24" s="15">
        <f>SUMIFS('BS-KH26-DTR'!E$2:E$116,'BS-KH26-DTR'!$B$2:$B$116,$A24)</f>
        <v>536457927990.87683</v>
      </c>
      <c r="AS24" s="15">
        <f>SUMIFS('BS-KH26-DTR'!F$2:F$116,'BS-KH26-DTR'!$B$2:$B$116,$A24)</f>
        <v>618684656298.2666</v>
      </c>
      <c r="AT24" s="15">
        <f>SUMIFS('BS-KH26-DTR'!G$2:G$116,'BS-KH26-DTR'!$B$2:$B$116,$A24)</f>
        <v>574418736594.82825</v>
      </c>
      <c r="AU24" s="15">
        <f>SUMIFS('BS-KH26-DTR'!H$2:H$116,'BS-KH26-DTR'!$B$2:$B$116,$A24)</f>
        <v>600511271301.4541</v>
      </c>
      <c r="AV24" s="15">
        <f>SUMIFS('BS-KH26-DTR'!I$2:I$116,'BS-KH26-DTR'!$B$2:$B$116,$A24)</f>
        <v>624746695564.6084</v>
      </c>
      <c r="AW24" s="15">
        <f>SUMIFS('BS-KH26-DTR'!J$2:J$116,'BS-KH26-DTR'!$B$2:$B$116,$A24)</f>
        <v>591199377807.07971</v>
      </c>
      <c r="AX24" s="15">
        <f>SUMIFS('BS-KH26-DTR'!K$2:K$116,'BS-KH26-DTR'!$B$2:$B$116,$A24)</f>
        <v>597176954319.47253</v>
      </c>
      <c r="AY24" s="15">
        <f>SUMIFS('BS-KH26-DTR'!L$2:L$116,'BS-KH26-DTR'!$B$2:$B$116,$A24)</f>
        <v>628236556176.16003</v>
      </c>
      <c r="AZ24" s="15">
        <f>SUMIFS('BS-KH26-DTR'!M$2:M$116,'BS-KH26-DTR'!$B$2:$B$116,$A24)</f>
        <v>579088956819.10876</v>
      </c>
      <c r="BA24" s="15">
        <f>SUMIFS('BS-KH26-DTR'!N$2:N$116,'BS-KH26-DTR'!$B$2:$B$116,$A24)</f>
        <v>605158894006.96509</v>
      </c>
      <c r="BB24" s="15">
        <f>SUMIFS('BS-KH26-DTR'!O$2:O$116,'BS-KH26-DTR'!$B$2:$B$116,$A24)</f>
        <v>618294276412.97681</v>
      </c>
      <c r="BD24" s="15">
        <f>SUMIFS('BS-KH26-DongLam'!M$2:M$51,'BS-KH26-DongLam'!$A$2:$A$51,'Consol BS-DTRG'!$A24)</f>
        <v>2425000000</v>
      </c>
      <c r="BE24" s="15">
        <f>SUMIFS('BS-KH26-DongLam'!N$2:N$51,'BS-KH26-DongLam'!$A$2:$A$51,'Consol BS-DTRG'!$A24)</f>
        <v>1425000000</v>
      </c>
      <c r="BF24" s="15">
        <f>SUMIFS('BS-KH26-DongLam'!O$2:O$51,'BS-KH26-DongLam'!$A$2:$A$51,'Consol BS-DTRG'!$A24)</f>
        <v>3333333333.333333</v>
      </c>
      <c r="BG24" s="15">
        <f>SUMIFS('BS-KH26-DongLam'!P$2:P$51,'BS-KH26-DongLam'!$A$2:$A$51,'Consol BS-DTRG'!$A24)</f>
        <v>4000000000</v>
      </c>
      <c r="BH24" s="15">
        <f>SUMIFS('BS-KH26-DongLam'!Q$2:Q$51,'BS-KH26-DongLam'!$A$2:$A$51,'Consol BS-DTRG'!$A24)</f>
        <v>4166666666.6666665</v>
      </c>
      <c r="BI24" s="15">
        <f>SUMIFS('BS-KH26-DongLam'!R$2:R$51,'BS-KH26-DongLam'!$A$2:$A$51,'Consol BS-DTRG'!$A24)</f>
        <v>4166666666.6666665</v>
      </c>
      <c r="BJ24" s="15">
        <f>SUMIFS('BS-KH26-DongLam'!S$2:S$51,'BS-KH26-DongLam'!$A$2:$A$51,'Consol BS-DTRG'!$A24)</f>
        <v>4333333333.333333</v>
      </c>
      <c r="BK24" s="15">
        <f>SUMIFS('BS-KH26-DongLam'!T$2:T$51,'BS-KH26-DongLam'!$A$2:$A$51,'Consol BS-DTRG'!$A24)</f>
        <v>4333333333.333333</v>
      </c>
      <c r="BL24" s="15">
        <f>SUMIFS('BS-KH26-DongLam'!U$2:U$51,'BS-KH26-DongLam'!$A$2:$A$51,'Consol BS-DTRG'!$A24)</f>
        <v>4166666666.6666665</v>
      </c>
      <c r="BM24" s="15">
        <f>SUMIFS('BS-KH26-DongLam'!V$2:V$51,'BS-KH26-DongLam'!$A$2:$A$51,'Consol BS-DTRG'!$A24)</f>
        <v>4333333333.333333</v>
      </c>
      <c r="BN24" s="15">
        <f>SUMIFS('BS-KH26-DongLam'!W$2:W$51,'BS-KH26-DongLam'!$A$2:$A$51,'Consol BS-DTRG'!$A24)</f>
        <v>4166666666.6666665</v>
      </c>
      <c r="BO24" s="15">
        <f>SUMIFS('BS-KH26-DongLam'!X$2:X$51,'BS-KH26-DongLam'!$A$2:$A$51,'Consol BS-DTRG'!$A24)</f>
        <v>4333333333.333333</v>
      </c>
      <c r="BQ24" s="15">
        <f>SUMIFS('BS-KH26-KhanhNga'!M$2:M$51,'BS-KH26-KhanhNga'!$A$2:$A$51,'Consol BS-DTRG'!$A24)</f>
        <v>2368168406.0903487</v>
      </c>
      <c r="BR24" s="15">
        <f>SUMIFS('BS-KH26-KhanhNga'!N$2:N$51,'BS-KH26-KhanhNga'!$A$2:$A$51,'Consol BS-DTRG'!$A24)</f>
        <v>1858075728.8665466</v>
      </c>
      <c r="BS24" s="15">
        <f>SUMIFS('BS-KH26-KhanhNga'!O$2:O$51,'BS-KH26-KhanhNga'!$A$2:$A$51,'Consol BS-DTRG'!$A24)</f>
        <v>2528429557.4760609</v>
      </c>
      <c r="BT24" s="15">
        <f>SUMIFS('BS-KH26-KhanhNga'!P$2:P$51,'BS-KH26-KhanhNga'!$A$2:$A$51,'Consol BS-DTRG'!$A24)</f>
        <v>2714140058.3951063</v>
      </c>
      <c r="BU24" s="15">
        <f>SUMIFS('BS-KH26-KhanhNga'!Q$2:Q$51,'BS-KH26-KhanhNga'!$A$2:$A$51,'Consol BS-DTRG'!$A24)</f>
        <v>2700303036.1284394</v>
      </c>
      <c r="BV24" s="15">
        <f>SUMIFS('BS-KH26-KhanhNga'!R$2:R$51,'BS-KH26-KhanhNga'!$A$2:$A$51,'Consol BS-DTRG'!$A24)</f>
        <v>2715079472.8839951</v>
      </c>
      <c r="BW24" s="15">
        <f>SUMIFS('BS-KH26-KhanhNga'!S$2:S$51,'BS-KH26-KhanhNga'!$A$2:$A$51,'Consol BS-DTRG'!$A24)</f>
        <v>2719428580.8395505</v>
      </c>
      <c r="BX24" s="15">
        <f>SUMIFS('BS-KH26-KhanhNga'!T$2:T$51,'BS-KH26-KhanhNga'!$A$2:$A$51,'Consol BS-DTRG'!$A24)</f>
        <v>2725272795.7006617</v>
      </c>
      <c r="BY24" s="15">
        <f>SUMIFS('BS-KH26-KhanhNga'!U$2:U$51,'BS-KH26-KhanhNga'!$A$2:$A$51,'Consol BS-DTRG'!$A24)</f>
        <v>2721404388.7395506</v>
      </c>
      <c r="BZ24" s="15">
        <f>SUMIFS('BS-KH26-KhanhNga'!V$2:V$51,'BS-KH26-KhanhNga'!$A$2:$A$51,'Consol BS-DTRG'!$A24)</f>
        <v>2701820249.8506618</v>
      </c>
      <c r="CA24" s="15">
        <f>SUMIFS('BS-KH26-KhanhNga'!W$2:W$51,'BS-KH26-KhanhNga'!$A$2:$A$51,'Consol BS-DTRG'!$A24)</f>
        <v>2707513174.2839952</v>
      </c>
      <c r="CB24" s="15">
        <f>SUMIFS('BS-KH26-KhanhNga'!X$2:X$51,'BS-KH26-KhanhNga'!$A$2:$A$51,'Consol BS-DTRG'!$A24)</f>
        <v>2707012075.2173285</v>
      </c>
      <c r="CD24" s="15">
        <f>SUMIFS('BS-KH26-DaiLoc'!M$2:M$51,'BS-KH26-DaiLoc'!$A$2:$A$51,'Consol BS-DTRG'!$A24)</f>
        <v>5480139924.1128559</v>
      </c>
      <c r="CE24" s="15">
        <f>SUMIFS('BS-KH26-DaiLoc'!N$2:N$51,'BS-KH26-DaiLoc'!$A$2:$A$51,'Consol BS-DTRG'!$A24)</f>
        <v>4388971555.2396145</v>
      </c>
      <c r="CF24" s="15">
        <f>SUMIFS('BS-KH26-DaiLoc'!O$2:O$51,'BS-KH26-DaiLoc'!$A$2:$A$51,'Consol BS-DTRG'!$A24)</f>
        <v>6004041844.4943485</v>
      </c>
      <c r="CG24" s="15">
        <f>SUMIFS('BS-KH26-DaiLoc'!P$2:P$51,'BS-KH26-DaiLoc'!$A$2:$A$51,'Consol BS-DTRG'!$A24)</f>
        <v>7273281378.8815804</v>
      </c>
      <c r="CH24" s="15">
        <f>SUMIFS('BS-KH26-DaiLoc'!Q$2:Q$51,'BS-KH26-DaiLoc'!$A$2:$A$51,'Consol BS-DTRG'!$A24)</f>
        <v>7283044191.3738775</v>
      </c>
      <c r="CI24" s="15">
        <f>SUMIFS('BS-KH26-DaiLoc'!R$2:R$51,'BS-KH26-DaiLoc'!$A$2:$A$51,'Consol BS-DTRG'!$A24)</f>
        <v>7301390482.3977995</v>
      </c>
      <c r="CJ24" s="15">
        <f>SUMIFS('BS-KH26-DaiLoc'!S$2:S$51,'BS-KH26-DaiLoc'!$A$2:$A$51,'Consol BS-DTRG'!$A24)</f>
        <v>7313906450.2676001</v>
      </c>
      <c r="CK24" s="15">
        <f>SUMIFS('BS-KH26-DaiLoc'!T$2:T$51,'BS-KH26-DaiLoc'!$A$2:$A$51,'Consol BS-DTRG'!$A24)</f>
        <v>7317290260.6898232</v>
      </c>
      <c r="CL24" s="15">
        <f>SUMIFS('BS-KH26-DaiLoc'!U$2:U$51,'BS-KH26-DaiLoc'!$A$2:$A$51,'Consol BS-DTRG'!$A24)</f>
        <v>7312275228.2040672</v>
      </c>
      <c r="CM24" s="15">
        <f>SUMIFS('BS-KH26-DaiLoc'!V$2:V$51,'BS-KH26-DaiLoc'!$A$2:$A$51,'Consol BS-DTRG'!$A24)</f>
        <v>7785705581.0244141</v>
      </c>
      <c r="CN24" s="15">
        <f>SUMIFS('BS-KH26-DaiLoc'!W$2:W$51,'BS-KH26-DaiLoc'!$A$2:$A$51,'Consol BS-DTRG'!$A24)</f>
        <v>7803984264.7218494</v>
      </c>
      <c r="CO24" s="15">
        <f>SUMIFS('BS-KH26-DaiLoc'!X$2:X$51,'BS-KH26-DaiLoc'!$A$2:$A$51,'Consol BS-DTRG'!$A24)</f>
        <v>7800458885.0212793</v>
      </c>
      <c r="CQ24" s="15">
        <v>0</v>
      </c>
      <c r="CR24" s="15">
        <f t="shared" ref="CR24:DB25" si="136">CQ24</f>
        <v>0</v>
      </c>
      <c r="CS24" s="15">
        <f t="shared" si="136"/>
        <v>0</v>
      </c>
      <c r="CT24" s="15">
        <f t="shared" si="136"/>
        <v>0</v>
      </c>
      <c r="CU24" s="15">
        <f t="shared" si="136"/>
        <v>0</v>
      </c>
      <c r="CV24" s="15">
        <f t="shared" si="136"/>
        <v>0</v>
      </c>
      <c r="CW24" s="15">
        <f t="shared" si="136"/>
        <v>0</v>
      </c>
      <c r="CX24" s="15">
        <f t="shared" si="136"/>
        <v>0</v>
      </c>
      <c r="CY24" s="15">
        <f t="shared" si="136"/>
        <v>0</v>
      </c>
      <c r="CZ24" s="15">
        <f t="shared" si="136"/>
        <v>0</v>
      </c>
      <c r="DA24" s="15">
        <f t="shared" si="136"/>
        <v>0</v>
      </c>
      <c r="DB24" s="15">
        <f t="shared" si="136"/>
        <v>0</v>
      </c>
    </row>
    <row r="25" spans="1:106" hidden="1" outlineLevel="1">
      <c r="A25" s="633">
        <v>22</v>
      </c>
      <c r="B25" s="612" t="s">
        <v>276</v>
      </c>
      <c r="C25" t="s">
        <v>518</v>
      </c>
      <c r="D25" s="15">
        <f t="shared" si="112"/>
        <v>0</v>
      </c>
      <c r="E25" s="15">
        <f t="shared" si="113"/>
        <v>0</v>
      </c>
      <c r="F25" s="15">
        <f t="shared" si="114"/>
        <v>0</v>
      </c>
      <c r="G25" s="15">
        <f t="shared" si="115"/>
        <v>0</v>
      </c>
      <c r="H25" s="15">
        <f t="shared" si="116"/>
        <v>0</v>
      </c>
      <c r="I25" s="15">
        <f t="shared" si="117"/>
        <v>0</v>
      </c>
      <c r="J25" s="15">
        <f t="shared" si="118"/>
        <v>0</v>
      </c>
      <c r="K25" s="15">
        <f t="shared" si="119"/>
        <v>0</v>
      </c>
      <c r="L25" s="15">
        <f t="shared" si="120"/>
        <v>0</v>
      </c>
      <c r="M25" s="15">
        <f t="shared" si="121"/>
        <v>0</v>
      </c>
      <c r="N25" s="15">
        <f t="shared" si="122"/>
        <v>0</v>
      </c>
      <c r="O25" s="15">
        <f t="shared" si="123"/>
        <v>0</v>
      </c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D25" s="646">
        <f t="shared" si="124"/>
        <v>0</v>
      </c>
      <c r="AE25" s="15">
        <f t="shared" si="125"/>
        <v>0</v>
      </c>
      <c r="AF25" s="15">
        <f t="shared" si="126"/>
        <v>0</v>
      </c>
      <c r="AG25" s="15">
        <f t="shared" si="127"/>
        <v>0</v>
      </c>
      <c r="AH25" s="15">
        <f t="shared" si="128"/>
        <v>0</v>
      </c>
      <c r="AI25" s="15">
        <f t="shared" si="129"/>
        <v>0</v>
      </c>
      <c r="AJ25" s="15">
        <f t="shared" si="130"/>
        <v>0</v>
      </c>
      <c r="AK25" s="15">
        <f t="shared" si="131"/>
        <v>0</v>
      </c>
      <c r="AL25" s="15">
        <f t="shared" si="132"/>
        <v>0</v>
      </c>
      <c r="AM25" s="15">
        <f t="shared" si="133"/>
        <v>0</v>
      </c>
      <c r="AN25" s="15">
        <f t="shared" si="134"/>
        <v>0</v>
      </c>
      <c r="AO25" s="647">
        <f t="shared" si="135"/>
        <v>0</v>
      </c>
      <c r="AQ25" s="15">
        <f>SUMIFS('BS-KH26-DTR'!D$2:D$116,'BS-KH26-DTR'!$B$2:$B$116,$A25)</f>
        <v>0</v>
      </c>
      <c r="AR25" s="15">
        <f>SUMIFS('BS-KH26-DTR'!E$2:E$116,'BS-KH26-DTR'!$B$2:$B$116,$A25)</f>
        <v>0</v>
      </c>
      <c r="AS25" s="15">
        <f>SUMIFS('BS-KH26-DTR'!F$2:F$116,'BS-KH26-DTR'!$B$2:$B$116,$A25)</f>
        <v>0</v>
      </c>
      <c r="AT25" s="15">
        <f>SUMIFS('BS-KH26-DTR'!G$2:G$116,'BS-KH26-DTR'!$B$2:$B$116,$A25)</f>
        <v>0</v>
      </c>
      <c r="AU25" s="15">
        <f>SUMIFS('BS-KH26-DTR'!H$2:H$116,'BS-KH26-DTR'!$B$2:$B$116,$A25)</f>
        <v>0</v>
      </c>
      <c r="AV25" s="15">
        <f>SUMIFS('BS-KH26-DTR'!I$2:I$116,'BS-KH26-DTR'!$B$2:$B$116,$A25)</f>
        <v>0</v>
      </c>
      <c r="AW25" s="15">
        <f>SUMIFS('BS-KH26-DTR'!J$2:J$116,'BS-KH26-DTR'!$B$2:$B$116,$A25)</f>
        <v>0</v>
      </c>
      <c r="AX25" s="15">
        <f>SUMIFS('BS-KH26-DTR'!K$2:K$116,'BS-KH26-DTR'!$B$2:$B$116,$A25)</f>
        <v>0</v>
      </c>
      <c r="AY25" s="15">
        <f>SUMIFS('BS-KH26-DTR'!L$2:L$116,'BS-KH26-DTR'!$B$2:$B$116,$A25)</f>
        <v>0</v>
      </c>
      <c r="AZ25" s="15">
        <f>SUMIFS('BS-KH26-DTR'!M$2:M$116,'BS-KH26-DTR'!$B$2:$B$116,$A25)</f>
        <v>0</v>
      </c>
      <c r="BA25" s="15">
        <f>SUMIFS('BS-KH26-DTR'!N$2:N$116,'BS-KH26-DTR'!$B$2:$B$116,$A25)</f>
        <v>0</v>
      </c>
      <c r="BB25" s="15">
        <f>SUMIFS('BS-KH26-DTR'!O$2:O$116,'BS-KH26-DTR'!$B$2:$B$116,$A25)</f>
        <v>0</v>
      </c>
      <c r="BD25" s="15">
        <f>SUMIFS('BS-KH26-DongLam'!M$2:M$51,'BS-KH26-DongLam'!$A$2:$A$51,'Consol BS-DTRG'!$A25)</f>
        <v>0</v>
      </c>
      <c r="BE25" s="15">
        <f>SUMIFS('BS-KH26-DongLam'!N$2:N$51,'BS-KH26-DongLam'!$A$2:$A$51,'Consol BS-DTRG'!$A25)</f>
        <v>0</v>
      </c>
      <c r="BF25" s="15">
        <f>SUMIFS('BS-KH26-DongLam'!O$2:O$51,'BS-KH26-DongLam'!$A$2:$A$51,'Consol BS-DTRG'!$A25)</f>
        <v>0</v>
      </c>
      <c r="BG25" s="15">
        <f>SUMIFS('BS-KH26-DongLam'!P$2:P$51,'BS-KH26-DongLam'!$A$2:$A$51,'Consol BS-DTRG'!$A25)</f>
        <v>0</v>
      </c>
      <c r="BH25" s="15">
        <f>SUMIFS('BS-KH26-DongLam'!Q$2:Q$51,'BS-KH26-DongLam'!$A$2:$A$51,'Consol BS-DTRG'!$A25)</f>
        <v>0</v>
      </c>
      <c r="BI25" s="15">
        <f>SUMIFS('BS-KH26-DongLam'!R$2:R$51,'BS-KH26-DongLam'!$A$2:$A$51,'Consol BS-DTRG'!$A25)</f>
        <v>0</v>
      </c>
      <c r="BJ25" s="15">
        <f>SUMIFS('BS-KH26-DongLam'!S$2:S$51,'BS-KH26-DongLam'!$A$2:$A$51,'Consol BS-DTRG'!$A25)</f>
        <v>0</v>
      </c>
      <c r="BK25" s="15">
        <f>SUMIFS('BS-KH26-DongLam'!T$2:T$51,'BS-KH26-DongLam'!$A$2:$A$51,'Consol BS-DTRG'!$A25)</f>
        <v>0</v>
      </c>
      <c r="BL25" s="15">
        <f>SUMIFS('BS-KH26-DongLam'!U$2:U$51,'BS-KH26-DongLam'!$A$2:$A$51,'Consol BS-DTRG'!$A25)</f>
        <v>0</v>
      </c>
      <c r="BM25" s="15">
        <f>SUMIFS('BS-KH26-DongLam'!V$2:V$51,'BS-KH26-DongLam'!$A$2:$A$51,'Consol BS-DTRG'!$A25)</f>
        <v>0</v>
      </c>
      <c r="BN25" s="15">
        <f>SUMIFS('BS-KH26-DongLam'!W$2:W$51,'BS-KH26-DongLam'!$A$2:$A$51,'Consol BS-DTRG'!$A25)</f>
        <v>0</v>
      </c>
      <c r="BO25" s="15">
        <f>SUMIFS('BS-KH26-DongLam'!X$2:X$51,'BS-KH26-DongLam'!$A$2:$A$51,'Consol BS-DTRG'!$A25)</f>
        <v>0</v>
      </c>
      <c r="BQ25" s="15">
        <f>SUMIFS('BS-KH26-KhanhNga'!M$2:M$51,'BS-KH26-KhanhNga'!$A$2:$A$51,'Consol BS-DTRG'!$A25)</f>
        <v>0</v>
      </c>
      <c r="BR25" s="15">
        <f>SUMIFS('BS-KH26-KhanhNga'!N$2:N$51,'BS-KH26-KhanhNga'!$A$2:$A$51,'Consol BS-DTRG'!$A25)</f>
        <v>0</v>
      </c>
      <c r="BS25" s="15">
        <f>SUMIFS('BS-KH26-KhanhNga'!O$2:O$51,'BS-KH26-KhanhNga'!$A$2:$A$51,'Consol BS-DTRG'!$A25)</f>
        <v>0</v>
      </c>
      <c r="BT25" s="15">
        <f>SUMIFS('BS-KH26-KhanhNga'!P$2:P$51,'BS-KH26-KhanhNga'!$A$2:$A$51,'Consol BS-DTRG'!$A25)</f>
        <v>0</v>
      </c>
      <c r="BU25" s="15">
        <f>SUMIFS('BS-KH26-KhanhNga'!Q$2:Q$51,'BS-KH26-KhanhNga'!$A$2:$A$51,'Consol BS-DTRG'!$A25)</f>
        <v>0</v>
      </c>
      <c r="BV25" s="15">
        <f>SUMIFS('BS-KH26-KhanhNga'!R$2:R$51,'BS-KH26-KhanhNga'!$A$2:$A$51,'Consol BS-DTRG'!$A25)</f>
        <v>0</v>
      </c>
      <c r="BW25" s="15">
        <f>SUMIFS('BS-KH26-KhanhNga'!S$2:S$51,'BS-KH26-KhanhNga'!$A$2:$A$51,'Consol BS-DTRG'!$A25)</f>
        <v>0</v>
      </c>
      <c r="BX25" s="15">
        <f>SUMIFS('BS-KH26-KhanhNga'!T$2:T$51,'BS-KH26-KhanhNga'!$A$2:$A$51,'Consol BS-DTRG'!$A25)</f>
        <v>0</v>
      </c>
      <c r="BY25" s="15">
        <f>SUMIFS('BS-KH26-KhanhNga'!U$2:U$51,'BS-KH26-KhanhNga'!$A$2:$A$51,'Consol BS-DTRG'!$A25)</f>
        <v>0</v>
      </c>
      <c r="BZ25" s="15">
        <f>SUMIFS('BS-KH26-KhanhNga'!V$2:V$51,'BS-KH26-KhanhNga'!$A$2:$A$51,'Consol BS-DTRG'!$A25)</f>
        <v>0</v>
      </c>
      <c r="CA25" s="15">
        <f>SUMIFS('BS-KH26-KhanhNga'!W$2:W$51,'BS-KH26-KhanhNga'!$A$2:$A$51,'Consol BS-DTRG'!$A25)</f>
        <v>0</v>
      </c>
      <c r="CB25" s="15">
        <f>SUMIFS('BS-KH26-KhanhNga'!X$2:X$51,'BS-KH26-KhanhNga'!$A$2:$A$51,'Consol BS-DTRG'!$A25)</f>
        <v>0</v>
      </c>
      <c r="CD25" s="15">
        <f>SUMIFS('BS-KH26-DaiLoc'!M$2:M$51,'BS-KH26-DaiLoc'!$A$2:$A$51,'Consol BS-DTRG'!$A25)</f>
        <v>0</v>
      </c>
      <c r="CE25" s="15">
        <f>SUMIFS('BS-KH26-DaiLoc'!N$2:N$51,'BS-KH26-DaiLoc'!$A$2:$A$51,'Consol BS-DTRG'!$A25)</f>
        <v>0</v>
      </c>
      <c r="CF25" s="15">
        <f>SUMIFS('BS-KH26-DaiLoc'!O$2:O$51,'BS-KH26-DaiLoc'!$A$2:$A$51,'Consol BS-DTRG'!$A25)</f>
        <v>0</v>
      </c>
      <c r="CG25" s="15">
        <f>SUMIFS('BS-KH26-DaiLoc'!P$2:P$51,'BS-KH26-DaiLoc'!$A$2:$A$51,'Consol BS-DTRG'!$A25)</f>
        <v>0</v>
      </c>
      <c r="CH25" s="15">
        <f>SUMIFS('BS-KH26-DaiLoc'!Q$2:Q$51,'BS-KH26-DaiLoc'!$A$2:$A$51,'Consol BS-DTRG'!$A25)</f>
        <v>0</v>
      </c>
      <c r="CI25" s="15">
        <f>SUMIFS('BS-KH26-DaiLoc'!R$2:R$51,'BS-KH26-DaiLoc'!$A$2:$A$51,'Consol BS-DTRG'!$A25)</f>
        <v>0</v>
      </c>
      <c r="CJ25" s="15">
        <f>SUMIFS('BS-KH26-DaiLoc'!S$2:S$51,'BS-KH26-DaiLoc'!$A$2:$A$51,'Consol BS-DTRG'!$A25)</f>
        <v>0</v>
      </c>
      <c r="CK25" s="15">
        <f>SUMIFS('BS-KH26-DaiLoc'!T$2:T$51,'BS-KH26-DaiLoc'!$A$2:$A$51,'Consol BS-DTRG'!$A25)</f>
        <v>0</v>
      </c>
      <c r="CL25" s="15">
        <f>SUMIFS('BS-KH26-DaiLoc'!U$2:U$51,'BS-KH26-DaiLoc'!$A$2:$A$51,'Consol BS-DTRG'!$A25)</f>
        <v>0</v>
      </c>
      <c r="CM25" s="15">
        <f>SUMIFS('BS-KH26-DaiLoc'!V$2:V$51,'BS-KH26-DaiLoc'!$A$2:$A$51,'Consol BS-DTRG'!$A25)</f>
        <v>0</v>
      </c>
      <c r="CN25" s="15">
        <f>SUMIFS('BS-KH26-DaiLoc'!W$2:W$51,'BS-KH26-DaiLoc'!$A$2:$A$51,'Consol BS-DTRG'!$A25)</f>
        <v>0</v>
      </c>
      <c r="CO25" s="15">
        <f>SUMIFS('BS-KH26-DaiLoc'!X$2:X$51,'BS-KH26-DaiLoc'!$A$2:$A$51,'Consol BS-DTRG'!$A25)</f>
        <v>0</v>
      </c>
      <c r="CQ25" s="15">
        <v>0</v>
      </c>
      <c r="CR25" s="15">
        <f t="shared" si="136"/>
        <v>0</v>
      </c>
      <c r="CS25" s="15">
        <f t="shared" si="136"/>
        <v>0</v>
      </c>
      <c r="CT25" s="15">
        <f t="shared" si="136"/>
        <v>0</v>
      </c>
      <c r="CU25" s="15">
        <f t="shared" si="136"/>
        <v>0</v>
      </c>
      <c r="CV25" s="15">
        <f t="shared" si="136"/>
        <v>0</v>
      </c>
      <c r="CW25" s="15">
        <f t="shared" si="136"/>
        <v>0</v>
      </c>
      <c r="CX25" s="15">
        <f t="shared" si="136"/>
        <v>0</v>
      </c>
      <c r="CY25" s="15">
        <f t="shared" si="136"/>
        <v>0</v>
      </c>
      <c r="CZ25" s="15">
        <f t="shared" si="136"/>
        <v>0</v>
      </c>
      <c r="DA25" s="15">
        <f t="shared" si="136"/>
        <v>0</v>
      </c>
      <c r="DB25" s="15">
        <f t="shared" si="136"/>
        <v>0</v>
      </c>
    </row>
    <row r="26" spans="1:106" collapsed="1">
      <c r="A26" s="1">
        <v>23</v>
      </c>
      <c r="B26" s="611" t="s">
        <v>277</v>
      </c>
      <c r="D26" s="15">
        <f t="shared" ref="D26:O26" si="137">SUM(D27:D29)</f>
        <v>0</v>
      </c>
      <c r="E26" s="15">
        <f t="shared" si="137"/>
        <v>0</v>
      </c>
      <c r="F26" s="15">
        <f t="shared" si="137"/>
        <v>0</v>
      </c>
      <c r="G26" s="15">
        <f t="shared" si="137"/>
        <v>0</v>
      </c>
      <c r="H26" s="15">
        <f t="shared" si="137"/>
        <v>0</v>
      </c>
      <c r="I26" s="15">
        <f t="shared" si="137"/>
        <v>0</v>
      </c>
      <c r="J26" s="15">
        <f t="shared" si="137"/>
        <v>0</v>
      </c>
      <c r="K26" s="15">
        <f t="shared" si="137"/>
        <v>0</v>
      </c>
      <c r="L26" s="15">
        <f t="shared" si="137"/>
        <v>0</v>
      </c>
      <c r="M26" s="15">
        <f t="shared" si="137"/>
        <v>0</v>
      </c>
      <c r="N26" s="15">
        <f t="shared" si="137"/>
        <v>0</v>
      </c>
      <c r="O26" s="15">
        <f t="shared" si="137"/>
        <v>0</v>
      </c>
      <c r="Q26" s="15">
        <f t="shared" ref="Q26:AB26" si="138">SUM(Q27:Q29)</f>
        <v>0</v>
      </c>
      <c r="R26" s="15">
        <f t="shared" si="138"/>
        <v>0</v>
      </c>
      <c r="S26" s="15">
        <f t="shared" si="138"/>
        <v>0</v>
      </c>
      <c r="T26" s="15">
        <f t="shared" si="138"/>
        <v>0</v>
      </c>
      <c r="U26" s="15">
        <f t="shared" si="138"/>
        <v>0</v>
      </c>
      <c r="V26" s="15">
        <f t="shared" si="138"/>
        <v>0</v>
      </c>
      <c r="W26" s="15">
        <f t="shared" si="138"/>
        <v>0</v>
      </c>
      <c r="X26" s="15">
        <f t="shared" si="138"/>
        <v>0</v>
      </c>
      <c r="Y26" s="15">
        <f t="shared" si="138"/>
        <v>0</v>
      </c>
      <c r="Z26" s="15">
        <f t="shared" si="138"/>
        <v>0</v>
      </c>
      <c r="AA26" s="15">
        <f t="shared" si="138"/>
        <v>0</v>
      </c>
      <c r="AB26" s="15">
        <f t="shared" si="138"/>
        <v>0</v>
      </c>
      <c r="AD26" s="646">
        <f t="shared" ref="AD26" si="139">SUM(AD27:AD29)</f>
        <v>0</v>
      </c>
      <c r="AE26" s="15">
        <f t="shared" ref="AE26:AO26" si="140">SUM(AE27:AE29)</f>
        <v>0</v>
      </c>
      <c r="AF26" s="15">
        <f t="shared" si="140"/>
        <v>0</v>
      </c>
      <c r="AG26" s="15">
        <f t="shared" si="140"/>
        <v>0</v>
      </c>
      <c r="AH26" s="15">
        <f t="shared" si="140"/>
        <v>0</v>
      </c>
      <c r="AI26" s="15">
        <f t="shared" si="140"/>
        <v>0</v>
      </c>
      <c r="AJ26" s="15">
        <f t="shared" si="140"/>
        <v>0</v>
      </c>
      <c r="AK26" s="15">
        <f t="shared" si="140"/>
        <v>0</v>
      </c>
      <c r="AL26" s="15">
        <f t="shared" si="140"/>
        <v>0</v>
      </c>
      <c r="AM26" s="15">
        <f t="shared" si="140"/>
        <v>0</v>
      </c>
      <c r="AN26" s="15">
        <f t="shared" si="140"/>
        <v>0</v>
      </c>
      <c r="AO26" s="647">
        <f t="shared" si="140"/>
        <v>0</v>
      </c>
      <c r="AQ26" s="15">
        <f t="shared" ref="AQ26:BB26" si="141">SUM(AQ27:AQ29)</f>
        <v>0</v>
      </c>
      <c r="AR26" s="15">
        <f t="shared" si="141"/>
        <v>0</v>
      </c>
      <c r="AS26" s="15">
        <f t="shared" si="141"/>
        <v>0</v>
      </c>
      <c r="AT26" s="15">
        <f t="shared" si="141"/>
        <v>0</v>
      </c>
      <c r="AU26" s="15">
        <f t="shared" si="141"/>
        <v>0</v>
      </c>
      <c r="AV26" s="15">
        <f t="shared" si="141"/>
        <v>0</v>
      </c>
      <c r="AW26" s="15">
        <f t="shared" si="141"/>
        <v>0</v>
      </c>
      <c r="AX26" s="15">
        <f t="shared" si="141"/>
        <v>0</v>
      </c>
      <c r="AY26" s="15">
        <f t="shared" si="141"/>
        <v>0</v>
      </c>
      <c r="AZ26" s="15">
        <f t="shared" si="141"/>
        <v>0</v>
      </c>
      <c r="BA26" s="15">
        <f t="shared" si="141"/>
        <v>0</v>
      </c>
      <c r="BB26" s="15">
        <f t="shared" si="141"/>
        <v>0</v>
      </c>
      <c r="BD26" s="15">
        <f t="shared" ref="BD26:BO26" si="142">SUM(BD27:BD29)</f>
        <v>0</v>
      </c>
      <c r="BE26" s="15">
        <f t="shared" si="142"/>
        <v>0</v>
      </c>
      <c r="BF26" s="15">
        <f t="shared" si="142"/>
        <v>0</v>
      </c>
      <c r="BG26" s="15">
        <f t="shared" si="142"/>
        <v>0</v>
      </c>
      <c r="BH26" s="15">
        <f t="shared" si="142"/>
        <v>0</v>
      </c>
      <c r="BI26" s="15">
        <f t="shared" si="142"/>
        <v>0</v>
      </c>
      <c r="BJ26" s="15">
        <f t="shared" si="142"/>
        <v>0</v>
      </c>
      <c r="BK26" s="15">
        <f t="shared" si="142"/>
        <v>0</v>
      </c>
      <c r="BL26" s="15">
        <f t="shared" si="142"/>
        <v>0</v>
      </c>
      <c r="BM26" s="15">
        <f t="shared" si="142"/>
        <v>0</v>
      </c>
      <c r="BN26" s="15">
        <f t="shared" si="142"/>
        <v>0</v>
      </c>
      <c r="BO26" s="15">
        <f t="shared" si="142"/>
        <v>0</v>
      </c>
      <c r="BQ26" s="15">
        <f t="shared" ref="BQ26:CB26" si="143">SUM(BQ27:BQ29)</f>
        <v>0</v>
      </c>
      <c r="BR26" s="15">
        <f t="shared" si="143"/>
        <v>0</v>
      </c>
      <c r="BS26" s="15">
        <f t="shared" si="143"/>
        <v>0</v>
      </c>
      <c r="BT26" s="15">
        <f t="shared" si="143"/>
        <v>0</v>
      </c>
      <c r="BU26" s="15">
        <f t="shared" si="143"/>
        <v>0</v>
      </c>
      <c r="BV26" s="15">
        <f t="shared" si="143"/>
        <v>0</v>
      </c>
      <c r="BW26" s="15">
        <f t="shared" si="143"/>
        <v>0</v>
      </c>
      <c r="BX26" s="15">
        <f t="shared" si="143"/>
        <v>0</v>
      </c>
      <c r="BY26" s="15">
        <f t="shared" si="143"/>
        <v>0</v>
      </c>
      <c r="BZ26" s="15">
        <f t="shared" si="143"/>
        <v>0</v>
      </c>
      <c r="CA26" s="15">
        <f t="shared" si="143"/>
        <v>0</v>
      </c>
      <c r="CB26" s="15">
        <f t="shared" si="143"/>
        <v>0</v>
      </c>
      <c r="CD26" s="15">
        <f t="shared" ref="CD26:CO26" si="144">SUM(CD27:CD29)</f>
        <v>0</v>
      </c>
      <c r="CE26" s="15">
        <f t="shared" si="144"/>
        <v>0</v>
      </c>
      <c r="CF26" s="15">
        <f t="shared" si="144"/>
        <v>0</v>
      </c>
      <c r="CG26" s="15">
        <f t="shared" si="144"/>
        <v>0</v>
      </c>
      <c r="CH26" s="15">
        <f t="shared" si="144"/>
        <v>0</v>
      </c>
      <c r="CI26" s="15">
        <f t="shared" si="144"/>
        <v>0</v>
      </c>
      <c r="CJ26" s="15">
        <f t="shared" si="144"/>
        <v>0</v>
      </c>
      <c r="CK26" s="15">
        <f t="shared" si="144"/>
        <v>0</v>
      </c>
      <c r="CL26" s="15">
        <f t="shared" si="144"/>
        <v>0</v>
      </c>
      <c r="CM26" s="15">
        <f t="shared" si="144"/>
        <v>0</v>
      </c>
      <c r="CN26" s="15">
        <f t="shared" si="144"/>
        <v>0</v>
      </c>
      <c r="CO26" s="15">
        <f t="shared" si="144"/>
        <v>0</v>
      </c>
      <c r="CQ26" s="15">
        <f t="shared" ref="CQ26:DB26" si="145">SUM(CQ27:CQ29)</f>
        <v>0</v>
      </c>
      <c r="CR26" s="15">
        <f t="shared" si="145"/>
        <v>0</v>
      </c>
      <c r="CS26" s="15">
        <f t="shared" si="145"/>
        <v>0</v>
      </c>
      <c r="CT26" s="15">
        <f t="shared" si="145"/>
        <v>0</v>
      </c>
      <c r="CU26" s="15">
        <f t="shared" si="145"/>
        <v>0</v>
      </c>
      <c r="CV26" s="15">
        <f t="shared" si="145"/>
        <v>0</v>
      </c>
      <c r="CW26" s="15">
        <f t="shared" si="145"/>
        <v>0</v>
      </c>
      <c r="CX26" s="15">
        <f t="shared" si="145"/>
        <v>0</v>
      </c>
      <c r="CY26" s="15">
        <f t="shared" si="145"/>
        <v>0</v>
      </c>
      <c r="CZ26" s="15">
        <f t="shared" si="145"/>
        <v>0</v>
      </c>
      <c r="DA26" s="15">
        <f t="shared" si="145"/>
        <v>0</v>
      </c>
      <c r="DB26" s="15">
        <f t="shared" si="145"/>
        <v>0</v>
      </c>
    </row>
    <row r="27" spans="1:106" hidden="1" outlineLevel="1">
      <c r="A27" s="633">
        <v>24</v>
      </c>
      <c r="B27" s="612" t="s">
        <v>278</v>
      </c>
      <c r="C27" t="s">
        <v>518</v>
      </c>
      <c r="D27" s="15">
        <f t="shared" ref="D27:D29" si="146">AD27+Q27</f>
        <v>0</v>
      </c>
      <c r="E27" s="15">
        <f t="shared" ref="E27:E29" si="147">AE27+R27</f>
        <v>0</v>
      </c>
      <c r="F27" s="15">
        <f t="shared" ref="F27:F29" si="148">AF27+S27</f>
        <v>0</v>
      </c>
      <c r="G27" s="15">
        <f t="shared" ref="G27:G29" si="149">AG27+T27</f>
        <v>0</v>
      </c>
      <c r="H27" s="15">
        <f t="shared" ref="H27:H29" si="150">AH27+U27</f>
        <v>0</v>
      </c>
      <c r="I27" s="15">
        <f t="shared" ref="I27:I29" si="151">AI27+V27</f>
        <v>0</v>
      </c>
      <c r="J27" s="15">
        <f t="shared" ref="J27:J29" si="152">AJ27+W27</f>
        <v>0</v>
      </c>
      <c r="K27" s="15">
        <f t="shared" ref="K27:K29" si="153">AK27+X27</f>
        <v>0</v>
      </c>
      <c r="L27" s="15">
        <f t="shared" ref="L27:L29" si="154">AL27+Y27</f>
        <v>0</v>
      </c>
      <c r="M27" s="15">
        <f t="shared" ref="M27:M29" si="155">AM27+Z27</f>
        <v>0</v>
      </c>
      <c r="N27" s="15">
        <f t="shared" ref="N27:N29" si="156">AN27+AA27</f>
        <v>0</v>
      </c>
      <c r="O27" s="15">
        <f t="shared" ref="O27:O29" si="157">AO27+AB27</f>
        <v>0</v>
      </c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D27" s="646">
        <f t="shared" ref="AD27:AD29" si="158">AQ27+BD27+BQ27+CD27+CQ27</f>
        <v>0</v>
      </c>
      <c r="AE27" s="15">
        <f t="shared" ref="AE27:AE29" si="159">AR27+BE27+BR27+CE27+CR27</f>
        <v>0</v>
      </c>
      <c r="AF27" s="15">
        <f t="shared" ref="AF27:AF29" si="160">AS27+BF27+BS27+CF27+CS27</f>
        <v>0</v>
      </c>
      <c r="AG27" s="15">
        <f t="shared" ref="AG27:AG29" si="161">AT27+BG27+BT27+CG27+CT27</f>
        <v>0</v>
      </c>
      <c r="AH27" s="15">
        <f t="shared" ref="AH27:AH29" si="162">AU27+BH27+BU27+CH27+CU27</f>
        <v>0</v>
      </c>
      <c r="AI27" s="15">
        <f t="shared" ref="AI27:AI29" si="163">AV27+BI27+BV27+CI27+CV27</f>
        <v>0</v>
      </c>
      <c r="AJ27" s="15">
        <f t="shared" ref="AJ27:AJ29" si="164">AW27+BJ27+BW27+CJ27+CW27</f>
        <v>0</v>
      </c>
      <c r="AK27" s="15">
        <f t="shared" ref="AK27:AK29" si="165">AX27+BK27+BX27+CK27+CX27</f>
        <v>0</v>
      </c>
      <c r="AL27" s="15">
        <f t="shared" ref="AL27:AL29" si="166">AY27+BL27+BY27+CL27+CY27</f>
        <v>0</v>
      </c>
      <c r="AM27" s="15">
        <f t="shared" ref="AM27:AM29" si="167">AZ27+BM27+BZ27+CM27+CZ27</f>
        <v>0</v>
      </c>
      <c r="AN27" s="15">
        <f t="shared" ref="AN27:AN29" si="168">BA27+BN27+CA27+CN27+DA27</f>
        <v>0</v>
      </c>
      <c r="AO27" s="647">
        <f t="shared" ref="AO27:AO29" si="169">BB27+BO27+CB27+CO27+DB27</f>
        <v>0</v>
      </c>
      <c r="AQ27" s="15">
        <f>SUMIFS('BS-KH26-DTR'!D$2:D$116,'BS-KH26-DTR'!$B$2:$B$116,$A27)</f>
        <v>0</v>
      </c>
      <c r="AR27" s="15">
        <f>SUMIFS('BS-KH26-DTR'!E$2:E$116,'BS-KH26-DTR'!$B$2:$B$116,$A27)</f>
        <v>0</v>
      </c>
      <c r="AS27" s="15">
        <f>SUMIFS('BS-KH26-DTR'!F$2:F$116,'BS-KH26-DTR'!$B$2:$B$116,$A27)</f>
        <v>0</v>
      </c>
      <c r="AT27" s="15">
        <f>SUMIFS('BS-KH26-DTR'!G$2:G$116,'BS-KH26-DTR'!$B$2:$B$116,$A27)</f>
        <v>0</v>
      </c>
      <c r="AU27" s="15">
        <f>SUMIFS('BS-KH26-DTR'!H$2:H$116,'BS-KH26-DTR'!$B$2:$B$116,$A27)</f>
        <v>0</v>
      </c>
      <c r="AV27" s="15">
        <f>SUMIFS('BS-KH26-DTR'!I$2:I$116,'BS-KH26-DTR'!$B$2:$B$116,$A27)</f>
        <v>0</v>
      </c>
      <c r="AW27" s="15">
        <f>SUMIFS('BS-KH26-DTR'!J$2:J$116,'BS-KH26-DTR'!$B$2:$B$116,$A27)</f>
        <v>0</v>
      </c>
      <c r="AX27" s="15">
        <f>SUMIFS('BS-KH26-DTR'!K$2:K$116,'BS-KH26-DTR'!$B$2:$B$116,$A27)</f>
        <v>0</v>
      </c>
      <c r="AY27" s="15">
        <f>SUMIFS('BS-KH26-DTR'!L$2:L$116,'BS-KH26-DTR'!$B$2:$B$116,$A27)</f>
        <v>0</v>
      </c>
      <c r="AZ27" s="15">
        <f>SUMIFS('BS-KH26-DTR'!M$2:M$116,'BS-KH26-DTR'!$B$2:$B$116,$A27)</f>
        <v>0</v>
      </c>
      <c r="BA27" s="15">
        <f>SUMIFS('BS-KH26-DTR'!N$2:N$116,'BS-KH26-DTR'!$B$2:$B$116,$A27)</f>
        <v>0</v>
      </c>
      <c r="BB27" s="15">
        <f>SUMIFS('BS-KH26-DTR'!O$2:O$116,'BS-KH26-DTR'!$B$2:$B$116,$A27)</f>
        <v>0</v>
      </c>
      <c r="BD27" s="15">
        <f>SUMIFS('BS-KH26-DongLam'!M$2:M$51,'BS-KH26-DongLam'!$A$2:$A$51,'Consol BS-DTRG'!$A27)</f>
        <v>0</v>
      </c>
      <c r="BE27" s="15">
        <f>SUMIFS('BS-KH26-DongLam'!N$2:N$51,'BS-KH26-DongLam'!$A$2:$A$51,'Consol BS-DTRG'!$A27)</f>
        <v>0</v>
      </c>
      <c r="BF27" s="15">
        <f>SUMIFS('BS-KH26-DongLam'!O$2:O$51,'BS-KH26-DongLam'!$A$2:$A$51,'Consol BS-DTRG'!$A27)</f>
        <v>0</v>
      </c>
      <c r="BG27" s="15">
        <f>SUMIFS('BS-KH26-DongLam'!P$2:P$51,'BS-KH26-DongLam'!$A$2:$A$51,'Consol BS-DTRG'!$A27)</f>
        <v>0</v>
      </c>
      <c r="BH27" s="15">
        <f>SUMIFS('BS-KH26-DongLam'!Q$2:Q$51,'BS-KH26-DongLam'!$A$2:$A$51,'Consol BS-DTRG'!$A27)</f>
        <v>0</v>
      </c>
      <c r="BI27" s="15">
        <f>SUMIFS('BS-KH26-DongLam'!R$2:R$51,'BS-KH26-DongLam'!$A$2:$A$51,'Consol BS-DTRG'!$A27)</f>
        <v>0</v>
      </c>
      <c r="BJ27" s="15">
        <f>SUMIFS('BS-KH26-DongLam'!S$2:S$51,'BS-KH26-DongLam'!$A$2:$A$51,'Consol BS-DTRG'!$A27)</f>
        <v>0</v>
      </c>
      <c r="BK27" s="15">
        <f>SUMIFS('BS-KH26-DongLam'!T$2:T$51,'BS-KH26-DongLam'!$A$2:$A$51,'Consol BS-DTRG'!$A27)</f>
        <v>0</v>
      </c>
      <c r="BL27" s="15">
        <f>SUMIFS('BS-KH26-DongLam'!U$2:U$51,'BS-KH26-DongLam'!$A$2:$A$51,'Consol BS-DTRG'!$A27)</f>
        <v>0</v>
      </c>
      <c r="BM27" s="15">
        <f>SUMIFS('BS-KH26-DongLam'!V$2:V$51,'BS-KH26-DongLam'!$A$2:$A$51,'Consol BS-DTRG'!$A27)</f>
        <v>0</v>
      </c>
      <c r="BN27" s="15">
        <f>SUMIFS('BS-KH26-DongLam'!W$2:W$51,'BS-KH26-DongLam'!$A$2:$A$51,'Consol BS-DTRG'!$A27)</f>
        <v>0</v>
      </c>
      <c r="BO27" s="15">
        <f>SUMIFS('BS-KH26-DongLam'!X$2:X$51,'BS-KH26-DongLam'!$A$2:$A$51,'Consol BS-DTRG'!$A27)</f>
        <v>0</v>
      </c>
      <c r="BQ27" s="15">
        <f>SUMIFS('BS-KH26-KhanhNga'!M$2:M$51,'BS-KH26-KhanhNga'!$A$2:$A$51,'Consol BS-DTRG'!$A27)</f>
        <v>0</v>
      </c>
      <c r="BR27" s="15">
        <f>SUMIFS('BS-KH26-KhanhNga'!N$2:N$51,'BS-KH26-KhanhNga'!$A$2:$A$51,'Consol BS-DTRG'!$A27)</f>
        <v>0</v>
      </c>
      <c r="BS27" s="15">
        <f>SUMIFS('BS-KH26-KhanhNga'!O$2:O$51,'BS-KH26-KhanhNga'!$A$2:$A$51,'Consol BS-DTRG'!$A27)</f>
        <v>0</v>
      </c>
      <c r="BT27" s="15">
        <f>SUMIFS('BS-KH26-KhanhNga'!P$2:P$51,'BS-KH26-KhanhNga'!$A$2:$A$51,'Consol BS-DTRG'!$A27)</f>
        <v>0</v>
      </c>
      <c r="BU27" s="15">
        <f>SUMIFS('BS-KH26-KhanhNga'!Q$2:Q$51,'BS-KH26-KhanhNga'!$A$2:$A$51,'Consol BS-DTRG'!$A27)</f>
        <v>0</v>
      </c>
      <c r="BV27" s="15">
        <f>SUMIFS('BS-KH26-KhanhNga'!R$2:R$51,'BS-KH26-KhanhNga'!$A$2:$A$51,'Consol BS-DTRG'!$A27)</f>
        <v>0</v>
      </c>
      <c r="BW27" s="15">
        <f>SUMIFS('BS-KH26-KhanhNga'!S$2:S$51,'BS-KH26-KhanhNga'!$A$2:$A$51,'Consol BS-DTRG'!$A27)</f>
        <v>0</v>
      </c>
      <c r="BX27" s="15">
        <f>SUMIFS('BS-KH26-KhanhNga'!T$2:T$51,'BS-KH26-KhanhNga'!$A$2:$A$51,'Consol BS-DTRG'!$A27)</f>
        <v>0</v>
      </c>
      <c r="BY27" s="15">
        <f>SUMIFS('BS-KH26-KhanhNga'!U$2:U$51,'BS-KH26-KhanhNga'!$A$2:$A$51,'Consol BS-DTRG'!$A27)</f>
        <v>0</v>
      </c>
      <c r="BZ27" s="15">
        <f>SUMIFS('BS-KH26-KhanhNga'!V$2:V$51,'BS-KH26-KhanhNga'!$A$2:$A$51,'Consol BS-DTRG'!$A27)</f>
        <v>0</v>
      </c>
      <c r="CA27" s="15">
        <f>SUMIFS('BS-KH26-KhanhNga'!W$2:W$51,'BS-KH26-KhanhNga'!$A$2:$A$51,'Consol BS-DTRG'!$A27)</f>
        <v>0</v>
      </c>
      <c r="CB27" s="15">
        <f>SUMIFS('BS-KH26-KhanhNga'!X$2:X$51,'BS-KH26-KhanhNga'!$A$2:$A$51,'Consol BS-DTRG'!$A27)</f>
        <v>0</v>
      </c>
      <c r="CD27" s="15">
        <f>SUMIFS('BS-KH26-DaiLoc'!M$2:M$51,'BS-KH26-DaiLoc'!$A$2:$A$51,'Consol BS-DTRG'!$A27)</f>
        <v>0</v>
      </c>
      <c r="CE27" s="15">
        <f>SUMIFS('BS-KH26-DaiLoc'!N$2:N$51,'BS-KH26-DaiLoc'!$A$2:$A$51,'Consol BS-DTRG'!$A27)</f>
        <v>0</v>
      </c>
      <c r="CF27" s="15">
        <f>SUMIFS('BS-KH26-DaiLoc'!O$2:O$51,'BS-KH26-DaiLoc'!$A$2:$A$51,'Consol BS-DTRG'!$A27)</f>
        <v>0</v>
      </c>
      <c r="CG27" s="15">
        <f>SUMIFS('BS-KH26-DaiLoc'!P$2:P$51,'BS-KH26-DaiLoc'!$A$2:$A$51,'Consol BS-DTRG'!$A27)</f>
        <v>0</v>
      </c>
      <c r="CH27" s="15">
        <f>SUMIFS('BS-KH26-DaiLoc'!Q$2:Q$51,'BS-KH26-DaiLoc'!$A$2:$A$51,'Consol BS-DTRG'!$A27)</f>
        <v>0</v>
      </c>
      <c r="CI27" s="15">
        <f>SUMIFS('BS-KH26-DaiLoc'!R$2:R$51,'BS-KH26-DaiLoc'!$A$2:$A$51,'Consol BS-DTRG'!$A27)</f>
        <v>0</v>
      </c>
      <c r="CJ27" s="15">
        <f>SUMIFS('BS-KH26-DaiLoc'!S$2:S$51,'BS-KH26-DaiLoc'!$A$2:$A$51,'Consol BS-DTRG'!$A27)</f>
        <v>0</v>
      </c>
      <c r="CK27" s="15">
        <f>SUMIFS('BS-KH26-DaiLoc'!T$2:T$51,'BS-KH26-DaiLoc'!$A$2:$A$51,'Consol BS-DTRG'!$A27)</f>
        <v>0</v>
      </c>
      <c r="CL27" s="15">
        <f>SUMIFS('BS-KH26-DaiLoc'!U$2:U$51,'BS-KH26-DaiLoc'!$A$2:$A$51,'Consol BS-DTRG'!$A27)</f>
        <v>0</v>
      </c>
      <c r="CM27" s="15">
        <f>SUMIFS('BS-KH26-DaiLoc'!V$2:V$51,'BS-KH26-DaiLoc'!$A$2:$A$51,'Consol BS-DTRG'!$A27)</f>
        <v>0</v>
      </c>
      <c r="CN27" s="15">
        <f>SUMIFS('BS-KH26-DaiLoc'!W$2:W$51,'BS-KH26-DaiLoc'!$A$2:$A$51,'Consol BS-DTRG'!$A27)</f>
        <v>0</v>
      </c>
      <c r="CO27" s="15">
        <f>SUMIFS('BS-KH26-DaiLoc'!X$2:X$51,'BS-KH26-DaiLoc'!$A$2:$A$51,'Consol BS-DTRG'!$A27)</f>
        <v>0</v>
      </c>
      <c r="CQ27" s="15">
        <v>0</v>
      </c>
      <c r="CR27" s="15">
        <f t="shared" ref="CR27:DB29" si="170">CQ27</f>
        <v>0</v>
      </c>
      <c r="CS27" s="15">
        <f t="shared" si="170"/>
        <v>0</v>
      </c>
      <c r="CT27" s="15">
        <f t="shared" si="170"/>
        <v>0</v>
      </c>
      <c r="CU27" s="15">
        <f t="shared" si="170"/>
        <v>0</v>
      </c>
      <c r="CV27" s="15">
        <f t="shared" si="170"/>
        <v>0</v>
      </c>
      <c r="CW27" s="15">
        <f t="shared" si="170"/>
        <v>0</v>
      </c>
      <c r="CX27" s="15">
        <f t="shared" si="170"/>
        <v>0</v>
      </c>
      <c r="CY27" s="15">
        <f t="shared" si="170"/>
        <v>0</v>
      </c>
      <c r="CZ27" s="15">
        <f t="shared" si="170"/>
        <v>0</v>
      </c>
      <c r="DA27" s="15">
        <f t="shared" si="170"/>
        <v>0</v>
      </c>
      <c r="DB27" s="15">
        <f t="shared" si="170"/>
        <v>0</v>
      </c>
    </row>
    <row r="28" spans="1:106" hidden="1" outlineLevel="1">
      <c r="A28" s="633">
        <v>25</v>
      </c>
      <c r="B28" s="612" t="s">
        <v>279</v>
      </c>
      <c r="C28" t="s">
        <v>518</v>
      </c>
      <c r="D28" s="15">
        <f t="shared" si="146"/>
        <v>0</v>
      </c>
      <c r="E28" s="15">
        <f t="shared" si="147"/>
        <v>0</v>
      </c>
      <c r="F28" s="15">
        <f t="shared" si="148"/>
        <v>0</v>
      </c>
      <c r="G28" s="15">
        <f t="shared" si="149"/>
        <v>0</v>
      </c>
      <c r="H28" s="15">
        <f t="shared" si="150"/>
        <v>0</v>
      </c>
      <c r="I28" s="15">
        <f t="shared" si="151"/>
        <v>0</v>
      </c>
      <c r="J28" s="15">
        <f t="shared" si="152"/>
        <v>0</v>
      </c>
      <c r="K28" s="15">
        <f t="shared" si="153"/>
        <v>0</v>
      </c>
      <c r="L28" s="15">
        <f t="shared" si="154"/>
        <v>0</v>
      </c>
      <c r="M28" s="15">
        <f t="shared" si="155"/>
        <v>0</v>
      </c>
      <c r="N28" s="15">
        <f t="shared" si="156"/>
        <v>0</v>
      </c>
      <c r="O28" s="15">
        <f t="shared" si="157"/>
        <v>0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D28" s="646">
        <f t="shared" si="158"/>
        <v>0</v>
      </c>
      <c r="AE28" s="15">
        <f t="shared" si="159"/>
        <v>0</v>
      </c>
      <c r="AF28" s="15">
        <f t="shared" si="160"/>
        <v>0</v>
      </c>
      <c r="AG28" s="15">
        <f t="shared" si="161"/>
        <v>0</v>
      </c>
      <c r="AH28" s="15">
        <f t="shared" si="162"/>
        <v>0</v>
      </c>
      <c r="AI28" s="15">
        <f t="shared" si="163"/>
        <v>0</v>
      </c>
      <c r="AJ28" s="15">
        <f t="shared" si="164"/>
        <v>0</v>
      </c>
      <c r="AK28" s="15">
        <f t="shared" si="165"/>
        <v>0</v>
      </c>
      <c r="AL28" s="15">
        <f t="shared" si="166"/>
        <v>0</v>
      </c>
      <c r="AM28" s="15">
        <f t="shared" si="167"/>
        <v>0</v>
      </c>
      <c r="AN28" s="15">
        <f t="shared" si="168"/>
        <v>0</v>
      </c>
      <c r="AO28" s="647">
        <f t="shared" si="169"/>
        <v>0</v>
      </c>
      <c r="AQ28" s="15">
        <f>SUMIFS('BS-KH26-DTR'!D$2:D$116,'BS-KH26-DTR'!$B$2:$B$116,$A28)</f>
        <v>0</v>
      </c>
      <c r="AR28" s="15">
        <f>SUMIFS('BS-KH26-DTR'!E$2:E$116,'BS-KH26-DTR'!$B$2:$B$116,$A28)</f>
        <v>0</v>
      </c>
      <c r="AS28" s="15">
        <f>SUMIFS('BS-KH26-DTR'!F$2:F$116,'BS-KH26-DTR'!$B$2:$B$116,$A28)</f>
        <v>0</v>
      </c>
      <c r="AT28" s="15">
        <f>SUMIFS('BS-KH26-DTR'!G$2:G$116,'BS-KH26-DTR'!$B$2:$B$116,$A28)</f>
        <v>0</v>
      </c>
      <c r="AU28" s="15">
        <f>SUMIFS('BS-KH26-DTR'!H$2:H$116,'BS-KH26-DTR'!$B$2:$B$116,$A28)</f>
        <v>0</v>
      </c>
      <c r="AV28" s="15">
        <f>SUMIFS('BS-KH26-DTR'!I$2:I$116,'BS-KH26-DTR'!$B$2:$B$116,$A28)</f>
        <v>0</v>
      </c>
      <c r="AW28" s="15">
        <f>SUMIFS('BS-KH26-DTR'!J$2:J$116,'BS-KH26-DTR'!$B$2:$B$116,$A28)</f>
        <v>0</v>
      </c>
      <c r="AX28" s="15">
        <f>SUMIFS('BS-KH26-DTR'!K$2:K$116,'BS-KH26-DTR'!$B$2:$B$116,$A28)</f>
        <v>0</v>
      </c>
      <c r="AY28" s="15">
        <f>SUMIFS('BS-KH26-DTR'!L$2:L$116,'BS-KH26-DTR'!$B$2:$B$116,$A28)</f>
        <v>0</v>
      </c>
      <c r="AZ28" s="15">
        <f>SUMIFS('BS-KH26-DTR'!M$2:M$116,'BS-KH26-DTR'!$B$2:$B$116,$A28)</f>
        <v>0</v>
      </c>
      <c r="BA28" s="15">
        <f>SUMIFS('BS-KH26-DTR'!N$2:N$116,'BS-KH26-DTR'!$B$2:$B$116,$A28)</f>
        <v>0</v>
      </c>
      <c r="BB28" s="15">
        <f>SUMIFS('BS-KH26-DTR'!O$2:O$116,'BS-KH26-DTR'!$B$2:$B$116,$A28)</f>
        <v>0</v>
      </c>
      <c r="BD28" s="15">
        <f>SUMIFS('BS-KH26-DongLam'!M$2:M$51,'BS-KH26-DongLam'!$A$2:$A$51,'Consol BS-DTRG'!$A28)</f>
        <v>0</v>
      </c>
      <c r="BE28" s="15">
        <f>SUMIFS('BS-KH26-DongLam'!N$2:N$51,'BS-KH26-DongLam'!$A$2:$A$51,'Consol BS-DTRG'!$A28)</f>
        <v>0</v>
      </c>
      <c r="BF28" s="15">
        <f>SUMIFS('BS-KH26-DongLam'!O$2:O$51,'BS-KH26-DongLam'!$A$2:$A$51,'Consol BS-DTRG'!$A28)</f>
        <v>0</v>
      </c>
      <c r="BG28" s="15">
        <f>SUMIFS('BS-KH26-DongLam'!P$2:P$51,'BS-KH26-DongLam'!$A$2:$A$51,'Consol BS-DTRG'!$A28)</f>
        <v>0</v>
      </c>
      <c r="BH28" s="15">
        <f>SUMIFS('BS-KH26-DongLam'!Q$2:Q$51,'BS-KH26-DongLam'!$A$2:$A$51,'Consol BS-DTRG'!$A28)</f>
        <v>0</v>
      </c>
      <c r="BI28" s="15">
        <f>SUMIFS('BS-KH26-DongLam'!R$2:R$51,'BS-KH26-DongLam'!$A$2:$A$51,'Consol BS-DTRG'!$A28)</f>
        <v>0</v>
      </c>
      <c r="BJ28" s="15">
        <f>SUMIFS('BS-KH26-DongLam'!S$2:S$51,'BS-KH26-DongLam'!$A$2:$A$51,'Consol BS-DTRG'!$A28)</f>
        <v>0</v>
      </c>
      <c r="BK28" s="15">
        <f>SUMIFS('BS-KH26-DongLam'!T$2:T$51,'BS-KH26-DongLam'!$A$2:$A$51,'Consol BS-DTRG'!$A28)</f>
        <v>0</v>
      </c>
      <c r="BL28" s="15">
        <f>SUMIFS('BS-KH26-DongLam'!U$2:U$51,'BS-KH26-DongLam'!$A$2:$A$51,'Consol BS-DTRG'!$A28)</f>
        <v>0</v>
      </c>
      <c r="BM28" s="15">
        <f>SUMIFS('BS-KH26-DongLam'!V$2:V$51,'BS-KH26-DongLam'!$A$2:$A$51,'Consol BS-DTRG'!$A28)</f>
        <v>0</v>
      </c>
      <c r="BN28" s="15">
        <f>SUMIFS('BS-KH26-DongLam'!W$2:W$51,'BS-KH26-DongLam'!$A$2:$A$51,'Consol BS-DTRG'!$A28)</f>
        <v>0</v>
      </c>
      <c r="BO28" s="15">
        <f>SUMIFS('BS-KH26-DongLam'!X$2:X$51,'BS-KH26-DongLam'!$A$2:$A$51,'Consol BS-DTRG'!$A28)</f>
        <v>0</v>
      </c>
      <c r="BQ28" s="15">
        <f>SUMIFS('BS-KH26-KhanhNga'!M$2:M$51,'BS-KH26-KhanhNga'!$A$2:$A$51,'Consol BS-DTRG'!$A28)</f>
        <v>0</v>
      </c>
      <c r="BR28" s="15">
        <f>SUMIFS('BS-KH26-KhanhNga'!N$2:N$51,'BS-KH26-KhanhNga'!$A$2:$A$51,'Consol BS-DTRG'!$A28)</f>
        <v>0</v>
      </c>
      <c r="BS28" s="15">
        <f>SUMIFS('BS-KH26-KhanhNga'!O$2:O$51,'BS-KH26-KhanhNga'!$A$2:$A$51,'Consol BS-DTRG'!$A28)</f>
        <v>0</v>
      </c>
      <c r="BT28" s="15">
        <f>SUMIFS('BS-KH26-KhanhNga'!P$2:P$51,'BS-KH26-KhanhNga'!$A$2:$A$51,'Consol BS-DTRG'!$A28)</f>
        <v>0</v>
      </c>
      <c r="BU28" s="15">
        <f>SUMIFS('BS-KH26-KhanhNga'!Q$2:Q$51,'BS-KH26-KhanhNga'!$A$2:$A$51,'Consol BS-DTRG'!$A28)</f>
        <v>0</v>
      </c>
      <c r="BV28" s="15">
        <f>SUMIFS('BS-KH26-KhanhNga'!R$2:R$51,'BS-KH26-KhanhNga'!$A$2:$A$51,'Consol BS-DTRG'!$A28)</f>
        <v>0</v>
      </c>
      <c r="BW28" s="15">
        <f>SUMIFS('BS-KH26-KhanhNga'!S$2:S$51,'BS-KH26-KhanhNga'!$A$2:$A$51,'Consol BS-DTRG'!$A28)</f>
        <v>0</v>
      </c>
      <c r="BX28" s="15">
        <f>SUMIFS('BS-KH26-KhanhNga'!T$2:T$51,'BS-KH26-KhanhNga'!$A$2:$A$51,'Consol BS-DTRG'!$A28)</f>
        <v>0</v>
      </c>
      <c r="BY28" s="15">
        <f>SUMIFS('BS-KH26-KhanhNga'!U$2:U$51,'BS-KH26-KhanhNga'!$A$2:$A$51,'Consol BS-DTRG'!$A28)</f>
        <v>0</v>
      </c>
      <c r="BZ28" s="15">
        <f>SUMIFS('BS-KH26-KhanhNga'!V$2:V$51,'BS-KH26-KhanhNga'!$A$2:$A$51,'Consol BS-DTRG'!$A28)</f>
        <v>0</v>
      </c>
      <c r="CA28" s="15">
        <f>SUMIFS('BS-KH26-KhanhNga'!W$2:W$51,'BS-KH26-KhanhNga'!$A$2:$A$51,'Consol BS-DTRG'!$A28)</f>
        <v>0</v>
      </c>
      <c r="CB28" s="15">
        <f>SUMIFS('BS-KH26-KhanhNga'!X$2:X$51,'BS-KH26-KhanhNga'!$A$2:$A$51,'Consol BS-DTRG'!$A28)</f>
        <v>0</v>
      </c>
      <c r="CD28" s="15">
        <f>SUMIFS('BS-KH26-DaiLoc'!M$2:M$51,'BS-KH26-DaiLoc'!$A$2:$A$51,'Consol BS-DTRG'!$A28)</f>
        <v>0</v>
      </c>
      <c r="CE28" s="15">
        <f>SUMIFS('BS-KH26-DaiLoc'!N$2:N$51,'BS-KH26-DaiLoc'!$A$2:$A$51,'Consol BS-DTRG'!$A28)</f>
        <v>0</v>
      </c>
      <c r="CF28" s="15">
        <f>SUMIFS('BS-KH26-DaiLoc'!O$2:O$51,'BS-KH26-DaiLoc'!$A$2:$A$51,'Consol BS-DTRG'!$A28)</f>
        <v>0</v>
      </c>
      <c r="CG28" s="15">
        <f>SUMIFS('BS-KH26-DaiLoc'!P$2:P$51,'BS-KH26-DaiLoc'!$A$2:$A$51,'Consol BS-DTRG'!$A28)</f>
        <v>0</v>
      </c>
      <c r="CH28" s="15">
        <f>SUMIFS('BS-KH26-DaiLoc'!Q$2:Q$51,'BS-KH26-DaiLoc'!$A$2:$A$51,'Consol BS-DTRG'!$A28)</f>
        <v>0</v>
      </c>
      <c r="CI28" s="15">
        <f>SUMIFS('BS-KH26-DaiLoc'!R$2:R$51,'BS-KH26-DaiLoc'!$A$2:$A$51,'Consol BS-DTRG'!$A28)</f>
        <v>0</v>
      </c>
      <c r="CJ28" s="15">
        <f>SUMIFS('BS-KH26-DaiLoc'!S$2:S$51,'BS-KH26-DaiLoc'!$A$2:$A$51,'Consol BS-DTRG'!$A28)</f>
        <v>0</v>
      </c>
      <c r="CK28" s="15">
        <f>SUMIFS('BS-KH26-DaiLoc'!T$2:T$51,'BS-KH26-DaiLoc'!$A$2:$A$51,'Consol BS-DTRG'!$A28)</f>
        <v>0</v>
      </c>
      <c r="CL28" s="15">
        <f>SUMIFS('BS-KH26-DaiLoc'!U$2:U$51,'BS-KH26-DaiLoc'!$A$2:$A$51,'Consol BS-DTRG'!$A28)</f>
        <v>0</v>
      </c>
      <c r="CM28" s="15">
        <f>SUMIFS('BS-KH26-DaiLoc'!V$2:V$51,'BS-KH26-DaiLoc'!$A$2:$A$51,'Consol BS-DTRG'!$A28)</f>
        <v>0</v>
      </c>
      <c r="CN28" s="15">
        <f>SUMIFS('BS-KH26-DaiLoc'!W$2:W$51,'BS-KH26-DaiLoc'!$A$2:$A$51,'Consol BS-DTRG'!$A28)</f>
        <v>0</v>
      </c>
      <c r="CO28" s="15">
        <f>SUMIFS('BS-KH26-DaiLoc'!X$2:X$51,'BS-KH26-DaiLoc'!$A$2:$A$51,'Consol BS-DTRG'!$A28)</f>
        <v>0</v>
      </c>
      <c r="CQ28" s="15">
        <v>0</v>
      </c>
      <c r="CR28" s="15">
        <f t="shared" si="170"/>
        <v>0</v>
      </c>
      <c r="CS28" s="15">
        <f t="shared" si="170"/>
        <v>0</v>
      </c>
      <c r="CT28" s="15">
        <f t="shared" si="170"/>
        <v>0</v>
      </c>
      <c r="CU28" s="15">
        <f t="shared" si="170"/>
        <v>0</v>
      </c>
      <c r="CV28" s="15">
        <f t="shared" si="170"/>
        <v>0</v>
      </c>
      <c r="CW28" s="15">
        <f t="shared" si="170"/>
        <v>0</v>
      </c>
      <c r="CX28" s="15">
        <f t="shared" si="170"/>
        <v>0</v>
      </c>
      <c r="CY28" s="15">
        <f t="shared" si="170"/>
        <v>0</v>
      </c>
      <c r="CZ28" s="15">
        <f t="shared" si="170"/>
        <v>0</v>
      </c>
      <c r="DA28" s="15">
        <f t="shared" si="170"/>
        <v>0</v>
      </c>
      <c r="DB28" s="15">
        <f t="shared" si="170"/>
        <v>0</v>
      </c>
    </row>
    <row r="29" spans="1:106" hidden="1" outlineLevel="1">
      <c r="A29" s="633">
        <v>26</v>
      </c>
      <c r="B29" s="612" t="s">
        <v>280</v>
      </c>
      <c r="C29" t="s">
        <v>518</v>
      </c>
      <c r="D29" s="15">
        <f t="shared" si="146"/>
        <v>0</v>
      </c>
      <c r="E29" s="15">
        <f t="shared" si="147"/>
        <v>0</v>
      </c>
      <c r="F29" s="15">
        <f t="shared" si="148"/>
        <v>0</v>
      </c>
      <c r="G29" s="15">
        <f t="shared" si="149"/>
        <v>0</v>
      </c>
      <c r="H29" s="15">
        <f t="shared" si="150"/>
        <v>0</v>
      </c>
      <c r="I29" s="15">
        <f t="shared" si="151"/>
        <v>0</v>
      </c>
      <c r="J29" s="15">
        <f t="shared" si="152"/>
        <v>0</v>
      </c>
      <c r="K29" s="15">
        <f t="shared" si="153"/>
        <v>0</v>
      </c>
      <c r="L29" s="15">
        <f t="shared" si="154"/>
        <v>0</v>
      </c>
      <c r="M29" s="15">
        <f t="shared" si="155"/>
        <v>0</v>
      </c>
      <c r="N29" s="15">
        <f t="shared" si="156"/>
        <v>0</v>
      </c>
      <c r="O29" s="15">
        <f t="shared" si="157"/>
        <v>0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D29" s="646">
        <f t="shared" si="158"/>
        <v>0</v>
      </c>
      <c r="AE29" s="15">
        <f t="shared" si="159"/>
        <v>0</v>
      </c>
      <c r="AF29" s="15">
        <f t="shared" si="160"/>
        <v>0</v>
      </c>
      <c r="AG29" s="15">
        <f t="shared" si="161"/>
        <v>0</v>
      </c>
      <c r="AH29" s="15">
        <f t="shared" si="162"/>
        <v>0</v>
      </c>
      <c r="AI29" s="15">
        <f t="shared" si="163"/>
        <v>0</v>
      </c>
      <c r="AJ29" s="15">
        <f t="shared" si="164"/>
        <v>0</v>
      </c>
      <c r="AK29" s="15">
        <f t="shared" si="165"/>
        <v>0</v>
      </c>
      <c r="AL29" s="15">
        <f t="shared" si="166"/>
        <v>0</v>
      </c>
      <c r="AM29" s="15">
        <f t="shared" si="167"/>
        <v>0</v>
      </c>
      <c r="AN29" s="15">
        <f t="shared" si="168"/>
        <v>0</v>
      </c>
      <c r="AO29" s="647">
        <f t="shared" si="169"/>
        <v>0</v>
      </c>
      <c r="AQ29" s="15">
        <f>SUMIFS('BS-KH26-DTR'!D$2:D$116,'BS-KH26-DTR'!$B$2:$B$116,$A29)</f>
        <v>0</v>
      </c>
      <c r="AR29" s="15">
        <f>SUMIFS('BS-KH26-DTR'!E$2:E$116,'BS-KH26-DTR'!$B$2:$B$116,$A29)</f>
        <v>0</v>
      </c>
      <c r="AS29" s="15">
        <f>SUMIFS('BS-KH26-DTR'!F$2:F$116,'BS-KH26-DTR'!$B$2:$B$116,$A29)</f>
        <v>0</v>
      </c>
      <c r="AT29" s="15">
        <f>SUMIFS('BS-KH26-DTR'!G$2:G$116,'BS-KH26-DTR'!$B$2:$B$116,$A29)</f>
        <v>0</v>
      </c>
      <c r="AU29" s="15">
        <f>SUMIFS('BS-KH26-DTR'!H$2:H$116,'BS-KH26-DTR'!$B$2:$B$116,$A29)</f>
        <v>0</v>
      </c>
      <c r="AV29" s="15">
        <f>SUMIFS('BS-KH26-DTR'!I$2:I$116,'BS-KH26-DTR'!$B$2:$B$116,$A29)</f>
        <v>0</v>
      </c>
      <c r="AW29" s="15">
        <f>SUMIFS('BS-KH26-DTR'!J$2:J$116,'BS-KH26-DTR'!$B$2:$B$116,$A29)</f>
        <v>0</v>
      </c>
      <c r="AX29" s="15">
        <f>SUMIFS('BS-KH26-DTR'!K$2:K$116,'BS-KH26-DTR'!$B$2:$B$116,$A29)</f>
        <v>0</v>
      </c>
      <c r="AY29" s="15">
        <f>SUMIFS('BS-KH26-DTR'!L$2:L$116,'BS-KH26-DTR'!$B$2:$B$116,$A29)</f>
        <v>0</v>
      </c>
      <c r="AZ29" s="15">
        <f>SUMIFS('BS-KH26-DTR'!M$2:M$116,'BS-KH26-DTR'!$B$2:$B$116,$A29)</f>
        <v>0</v>
      </c>
      <c r="BA29" s="15">
        <f>SUMIFS('BS-KH26-DTR'!N$2:N$116,'BS-KH26-DTR'!$B$2:$B$116,$A29)</f>
        <v>0</v>
      </c>
      <c r="BB29" s="15">
        <f>SUMIFS('BS-KH26-DTR'!O$2:O$116,'BS-KH26-DTR'!$B$2:$B$116,$A29)</f>
        <v>0</v>
      </c>
      <c r="BD29" s="15">
        <f>SUMIFS('BS-KH26-DongLam'!M$2:M$51,'BS-KH26-DongLam'!$A$2:$A$51,'Consol BS-DTRG'!$A29)</f>
        <v>0</v>
      </c>
      <c r="BE29" s="15">
        <f>SUMIFS('BS-KH26-DongLam'!N$2:N$51,'BS-KH26-DongLam'!$A$2:$A$51,'Consol BS-DTRG'!$A29)</f>
        <v>0</v>
      </c>
      <c r="BF29" s="15">
        <f>SUMIFS('BS-KH26-DongLam'!O$2:O$51,'BS-KH26-DongLam'!$A$2:$A$51,'Consol BS-DTRG'!$A29)</f>
        <v>0</v>
      </c>
      <c r="BG29" s="15">
        <f>SUMIFS('BS-KH26-DongLam'!P$2:P$51,'BS-KH26-DongLam'!$A$2:$A$51,'Consol BS-DTRG'!$A29)</f>
        <v>0</v>
      </c>
      <c r="BH29" s="15">
        <f>SUMIFS('BS-KH26-DongLam'!Q$2:Q$51,'BS-KH26-DongLam'!$A$2:$A$51,'Consol BS-DTRG'!$A29)</f>
        <v>0</v>
      </c>
      <c r="BI29" s="15">
        <f>SUMIFS('BS-KH26-DongLam'!R$2:R$51,'BS-KH26-DongLam'!$A$2:$A$51,'Consol BS-DTRG'!$A29)</f>
        <v>0</v>
      </c>
      <c r="BJ29" s="15">
        <f>SUMIFS('BS-KH26-DongLam'!S$2:S$51,'BS-KH26-DongLam'!$A$2:$A$51,'Consol BS-DTRG'!$A29)</f>
        <v>0</v>
      </c>
      <c r="BK29" s="15">
        <f>SUMIFS('BS-KH26-DongLam'!T$2:T$51,'BS-KH26-DongLam'!$A$2:$A$51,'Consol BS-DTRG'!$A29)</f>
        <v>0</v>
      </c>
      <c r="BL29" s="15">
        <f>SUMIFS('BS-KH26-DongLam'!U$2:U$51,'BS-KH26-DongLam'!$A$2:$A$51,'Consol BS-DTRG'!$A29)</f>
        <v>0</v>
      </c>
      <c r="BM29" s="15">
        <f>SUMIFS('BS-KH26-DongLam'!V$2:V$51,'BS-KH26-DongLam'!$A$2:$A$51,'Consol BS-DTRG'!$A29)</f>
        <v>0</v>
      </c>
      <c r="BN29" s="15">
        <f>SUMIFS('BS-KH26-DongLam'!W$2:W$51,'BS-KH26-DongLam'!$A$2:$A$51,'Consol BS-DTRG'!$A29)</f>
        <v>0</v>
      </c>
      <c r="BO29" s="15">
        <f>SUMIFS('BS-KH26-DongLam'!X$2:X$51,'BS-KH26-DongLam'!$A$2:$A$51,'Consol BS-DTRG'!$A29)</f>
        <v>0</v>
      </c>
      <c r="BQ29" s="15">
        <f>SUMIFS('BS-KH26-KhanhNga'!M$2:M$51,'BS-KH26-KhanhNga'!$A$2:$A$51,'Consol BS-DTRG'!$A29)</f>
        <v>0</v>
      </c>
      <c r="BR29" s="15">
        <f>SUMIFS('BS-KH26-KhanhNga'!N$2:N$51,'BS-KH26-KhanhNga'!$A$2:$A$51,'Consol BS-DTRG'!$A29)</f>
        <v>0</v>
      </c>
      <c r="BS29" s="15">
        <f>SUMIFS('BS-KH26-KhanhNga'!O$2:O$51,'BS-KH26-KhanhNga'!$A$2:$A$51,'Consol BS-DTRG'!$A29)</f>
        <v>0</v>
      </c>
      <c r="BT29" s="15">
        <f>SUMIFS('BS-KH26-KhanhNga'!P$2:P$51,'BS-KH26-KhanhNga'!$A$2:$A$51,'Consol BS-DTRG'!$A29)</f>
        <v>0</v>
      </c>
      <c r="BU29" s="15">
        <f>SUMIFS('BS-KH26-KhanhNga'!Q$2:Q$51,'BS-KH26-KhanhNga'!$A$2:$A$51,'Consol BS-DTRG'!$A29)</f>
        <v>0</v>
      </c>
      <c r="BV29" s="15">
        <f>SUMIFS('BS-KH26-KhanhNga'!R$2:R$51,'BS-KH26-KhanhNga'!$A$2:$A$51,'Consol BS-DTRG'!$A29)</f>
        <v>0</v>
      </c>
      <c r="BW29" s="15">
        <f>SUMIFS('BS-KH26-KhanhNga'!S$2:S$51,'BS-KH26-KhanhNga'!$A$2:$A$51,'Consol BS-DTRG'!$A29)</f>
        <v>0</v>
      </c>
      <c r="BX29" s="15">
        <f>SUMIFS('BS-KH26-KhanhNga'!T$2:T$51,'BS-KH26-KhanhNga'!$A$2:$A$51,'Consol BS-DTRG'!$A29)</f>
        <v>0</v>
      </c>
      <c r="BY29" s="15">
        <f>SUMIFS('BS-KH26-KhanhNga'!U$2:U$51,'BS-KH26-KhanhNga'!$A$2:$A$51,'Consol BS-DTRG'!$A29)</f>
        <v>0</v>
      </c>
      <c r="BZ29" s="15">
        <f>SUMIFS('BS-KH26-KhanhNga'!V$2:V$51,'BS-KH26-KhanhNga'!$A$2:$A$51,'Consol BS-DTRG'!$A29)</f>
        <v>0</v>
      </c>
      <c r="CA29" s="15">
        <f>SUMIFS('BS-KH26-KhanhNga'!W$2:W$51,'BS-KH26-KhanhNga'!$A$2:$A$51,'Consol BS-DTRG'!$A29)</f>
        <v>0</v>
      </c>
      <c r="CB29" s="15">
        <f>SUMIFS('BS-KH26-KhanhNga'!X$2:X$51,'BS-KH26-KhanhNga'!$A$2:$A$51,'Consol BS-DTRG'!$A29)</f>
        <v>0</v>
      </c>
      <c r="CD29" s="15">
        <f>SUMIFS('BS-KH26-DaiLoc'!M$2:M$51,'BS-KH26-DaiLoc'!$A$2:$A$51,'Consol BS-DTRG'!$A29)</f>
        <v>0</v>
      </c>
      <c r="CE29" s="15">
        <f>SUMIFS('BS-KH26-DaiLoc'!N$2:N$51,'BS-KH26-DaiLoc'!$A$2:$A$51,'Consol BS-DTRG'!$A29)</f>
        <v>0</v>
      </c>
      <c r="CF29" s="15">
        <f>SUMIFS('BS-KH26-DaiLoc'!O$2:O$51,'BS-KH26-DaiLoc'!$A$2:$A$51,'Consol BS-DTRG'!$A29)</f>
        <v>0</v>
      </c>
      <c r="CG29" s="15">
        <f>SUMIFS('BS-KH26-DaiLoc'!P$2:P$51,'BS-KH26-DaiLoc'!$A$2:$A$51,'Consol BS-DTRG'!$A29)</f>
        <v>0</v>
      </c>
      <c r="CH29" s="15">
        <f>SUMIFS('BS-KH26-DaiLoc'!Q$2:Q$51,'BS-KH26-DaiLoc'!$A$2:$A$51,'Consol BS-DTRG'!$A29)</f>
        <v>0</v>
      </c>
      <c r="CI29" s="15">
        <f>SUMIFS('BS-KH26-DaiLoc'!R$2:R$51,'BS-KH26-DaiLoc'!$A$2:$A$51,'Consol BS-DTRG'!$A29)</f>
        <v>0</v>
      </c>
      <c r="CJ29" s="15">
        <f>SUMIFS('BS-KH26-DaiLoc'!S$2:S$51,'BS-KH26-DaiLoc'!$A$2:$A$51,'Consol BS-DTRG'!$A29)</f>
        <v>0</v>
      </c>
      <c r="CK29" s="15">
        <f>SUMIFS('BS-KH26-DaiLoc'!T$2:T$51,'BS-KH26-DaiLoc'!$A$2:$A$51,'Consol BS-DTRG'!$A29)</f>
        <v>0</v>
      </c>
      <c r="CL29" s="15">
        <f>SUMIFS('BS-KH26-DaiLoc'!U$2:U$51,'BS-KH26-DaiLoc'!$A$2:$A$51,'Consol BS-DTRG'!$A29)</f>
        <v>0</v>
      </c>
      <c r="CM29" s="15">
        <f>SUMIFS('BS-KH26-DaiLoc'!V$2:V$51,'BS-KH26-DaiLoc'!$A$2:$A$51,'Consol BS-DTRG'!$A29)</f>
        <v>0</v>
      </c>
      <c r="CN29" s="15">
        <f>SUMIFS('BS-KH26-DaiLoc'!W$2:W$51,'BS-KH26-DaiLoc'!$A$2:$A$51,'Consol BS-DTRG'!$A29)</f>
        <v>0</v>
      </c>
      <c r="CO29" s="15">
        <f>SUMIFS('BS-KH26-DaiLoc'!X$2:X$51,'BS-KH26-DaiLoc'!$A$2:$A$51,'Consol BS-DTRG'!$A29)</f>
        <v>0</v>
      </c>
      <c r="CQ29" s="15">
        <v>0</v>
      </c>
      <c r="CR29" s="15">
        <f t="shared" si="170"/>
        <v>0</v>
      </c>
      <c r="CS29" s="15">
        <f t="shared" si="170"/>
        <v>0</v>
      </c>
      <c r="CT29" s="15">
        <f t="shared" si="170"/>
        <v>0</v>
      </c>
      <c r="CU29" s="15">
        <f t="shared" si="170"/>
        <v>0</v>
      </c>
      <c r="CV29" s="15">
        <f t="shared" si="170"/>
        <v>0</v>
      </c>
      <c r="CW29" s="15">
        <f t="shared" si="170"/>
        <v>0</v>
      </c>
      <c r="CX29" s="15">
        <f t="shared" si="170"/>
        <v>0</v>
      </c>
      <c r="CY29" s="15">
        <f t="shared" si="170"/>
        <v>0</v>
      </c>
      <c r="CZ29" s="15">
        <f t="shared" si="170"/>
        <v>0</v>
      </c>
      <c r="DA29" s="15">
        <f t="shared" si="170"/>
        <v>0</v>
      </c>
      <c r="DB29" s="15">
        <f t="shared" si="170"/>
        <v>0</v>
      </c>
    </row>
    <row r="30" spans="1:106" collapsed="1">
      <c r="A30" s="1">
        <v>27</v>
      </c>
      <c r="B30" s="611" t="s">
        <v>281</v>
      </c>
      <c r="D30" s="14">
        <f t="shared" ref="D30:O30" si="171">SUM(D31:D35)</f>
        <v>62681278249</v>
      </c>
      <c r="E30" s="14">
        <f t="shared" si="171"/>
        <v>67681278249</v>
      </c>
      <c r="F30" s="14">
        <f t="shared" si="171"/>
        <v>72681278249</v>
      </c>
      <c r="G30" s="14">
        <f t="shared" si="171"/>
        <v>77681278249</v>
      </c>
      <c r="H30" s="14">
        <f t="shared" si="171"/>
        <v>82681278249</v>
      </c>
      <c r="I30" s="14">
        <f t="shared" si="171"/>
        <v>87681278249</v>
      </c>
      <c r="J30" s="14">
        <f t="shared" si="171"/>
        <v>92681278249.000015</v>
      </c>
      <c r="K30" s="14">
        <f t="shared" si="171"/>
        <v>97681278249.000015</v>
      </c>
      <c r="L30" s="14">
        <f t="shared" si="171"/>
        <v>102681278249.00002</v>
      </c>
      <c r="M30" s="14">
        <f t="shared" si="171"/>
        <v>107681278249.00002</v>
      </c>
      <c r="N30" s="14">
        <f t="shared" si="171"/>
        <v>112681278249.00002</v>
      </c>
      <c r="O30" s="14">
        <f t="shared" si="171"/>
        <v>117681278249.00002</v>
      </c>
      <c r="Q30" s="14">
        <f t="shared" ref="Q30:AB30" si="172">SUM(Q31:Q35)</f>
        <v>0</v>
      </c>
      <c r="R30" s="14">
        <f t="shared" si="172"/>
        <v>0</v>
      </c>
      <c r="S30" s="14">
        <f t="shared" si="172"/>
        <v>0</v>
      </c>
      <c r="T30" s="14">
        <f t="shared" si="172"/>
        <v>0</v>
      </c>
      <c r="U30" s="14">
        <f t="shared" si="172"/>
        <v>0</v>
      </c>
      <c r="V30" s="14">
        <f t="shared" si="172"/>
        <v>0</v>
      </c>
      <c r="W30" s="14">
        <f t="shared" si="172"/>
        <v>0</v>
      </c>
      <c r="X30" s="14">
        <f t="shared" si="172"/>
        <v>0</v>
      </c>
      <c r="Y30" s="14">
        <f t="shared" si="172"/>
        <v>0</v>
      </c>
      <c r="Z30" s="14">
        <f t="shared" si="172"/>
        <v>0</v>
      </c>
      <c r="AA30" s="14">
        <f t="shared" si="172"/>
        <v>0</v>
      </c>
      <c r="AB30" s="14">
        <f t="shared" si="172"/>
        <v>0</v>
      </c>
      <c r="AD30" s="644">
        <f t="shared" ref="AD30" si="173">SUM(AD31:AD35)</f>
        <v>62681278249</v>
      </c>
      <c r="AE30" s="14">
        <f t="shared" ref="AE30:AO30" si="174">SUM(AE31:AE35)</f>
        <v>67681278249</v>
      </c>
      <c r="AF30" s="14">
        <f t="shared" si="174"/>
        <v>72681278249</v>
      </c>
      <c r="AG30" s="14">
        <f t="shared" si="174"/>
        <v>77681278249</v>
      </c>
      <c r="AH30" s="14">
        <f t="shared" si="174"/>
        <v>82681278249</v>
      </c>
      <c r="AI30" s="14">
        <f t="shared" si="174"/>
        <v>87681278249</v>
      </c>
      <c r="AJ30" s="14">
        <f t="shared" si="174"/>
        <v>92681278249.000015</v>
      </c>
      <c r="AK30" s="14">
        <f t="shared" si="174"/>
        <v>97681278249.000015</v>
      </c>
      <c r="AL30" s="14">
        <f t="shared" si="174"/>
        <v>102681278249.00002</v>
      </c>
      <c r="AM30" s="14">
        <f t="shared" si="174"/>
        <v>107681278249.00002</v>
      </c>
      <c r="AN30" s="14">
        <f t="shared" si="174"/>
        <v>112681278249.00002</v>
      </c>
      <c r="AO30" s="645">
        <f t="shared" si="174"/>
        <v>117681278249.00002</v>
      </c>
      <c r="AQ30" s="14">
        <f t="shared" ref="AQ30:BB30" si="175">SUM(AQ31:AQ35)</f>
        <v>58961922827</v>
      </c>
      <c r="AR30" s="14">
        <f t="shared" si="175"/>
        <v>63961922827</v>
      </c>
      <c r="AS30" s="14">
        <f t="shared" si="175"/>
        <v>68961922827</v>
      </c>
      <c r="AT30" s="14">
        <f t="shared" si="175"/>
        <v>73961922827</v>
      </c>
      <c r="AU30" s="14">
        <f t="shared" si="175"/>
        <v>78961922827</v>
      </c>
      <c r="AV30" s="14">
        <f t="shared" si="175"/>
        <v>83961922827</v>
      </c>
      <c r="AW30" s="14">
        <f t="shared" si="175"/>
        <v>88961922827.000015</v>
      </c>
      <c r="AX30" s="14">
        <f t="shared" si="175"/>
        <v>93961922827.000015</v>
      </c>
      <c r="AY30" s="14">
        <f t="shared" si="175"/>
        <v>98961922827.000015</v>
      </c>
      <c r="AZ30" s="14">
        <f t="shared" si="175"/>
        <v>103961922827.00002</v>
      </c>
      <c r="BA30" s="14">
        <f t="shared" si="175"/>
        <v>108961922827.00002</v>
      </c>
      <c r="BB30" s="14">
        <f t="shared" si="175"/>
        <v>113961922827.00002</v>
      </c>
      <c r="BD30" s="14">
        <f t="shared" ref="BD30:BO30" si="176">SUM(BD31:BD35)</f>
        <v>223756327</v>
      </c>
      <c r="BE30" s="14">
        <f t="shared" si="176"/>
        <v>223756327</v>
      </c>
      <c r="BF30" s="14">
        <f t="shared" si="176"/>
        <v>223756327</v>
      </c>
      <c r="BG30" s="14">
        <f t="shared" si="176"/>
        <v>223756327</v>
      </c>
      <c r="BH30" s="14">
        <f t="shared" si="176"/>
        <v>223756327</v>
      </c>
      <c r="BI30" s="14">
        <f t="shared" si="176"/>
        <v>223756327</v>
      </c>
      <c r="BJ30" s="14">
        <f t="shared" si="176"/>
        <v>223756327</v>
      </c>
      <c r="BK30" s="14">
        <f t="shared" si="176"/>
        <v>223756327</v>
      </c>
      <c r="BL30" s="14">
        <f t="shared" si="176"/>
        <v>223756327</v>
      </c>
      <c r="BM30" s="14">
        <f t="shared" si="176"/>
        <v>223756327</v>
      </c>
      <c r="BN30" s="14">
        <f t="shared" si="176"/>
        <v>223756327</v>
      </c>
      <c r="BO30" s="14">
        <f t="shared" si="176"/>
        <v>223756327</v>
      </c>
      <c r="BQ30" s="14">
        <f t="shared" ref="BQ30:CB30" si="177">SUM(BQ31:BQ35)</f>
        <v>1475506166</v>
      </c>
      <c r="BR30" s="14">
        <f t="shared" si="177"/>
        <v>1475506166</v>
      </c>
      <c r="BS30" s="14">
        <f t="shared" si="177"/>
        <v>1475506166</v>
      </c>
      <c r="BT30" s="14">
        <f t="shared" si="177"/>
        <v>1475506166</v>
      </c>
      <c r="BU30" s="14">
        <f t="shared" si="177"/>
        <v>1475506166</v>
      </c>
      <c r="BV30" s="14">
        <f t="shared" si="177"/>
        <v>1475506166</v>
      </c>
      <c r="BW30" s="14">
        <f t="shared" si="177"/>
        <v>1475506166</v>
      </c>
      <c r="BX30" s="14">
        <f t="shared" si="177"/>
        <v>1475506166</v>
      </c>
      <c r="BY30" s="14">
        <f t="shared" si="177"/>
        <v>1475506166</v>
      </c>
      <c r="BZ30" s="14">
        <f t="shared" si="177"/>
        <v>1475506166</v>
      </c>
      <c r="CA30" s="14">
        <f t="shared" si="177"/>
        <v>1475506166</v>
      </c>
      <c r="CB30" s="14">
        <f t="shared" si="177"/>
        <v>1475506166</v>
      </c>
      <c r="CD30" s="14">
        <f t="shared" ref="CD30:CO30" si="178">SUM(CD31:CD35)</f>
        <v>1107901056</v>
      </c>
      <c r="CE30" s="14">
        <f t="shared" si="178"/>
        <v>1107901056</v>
      </c>
      <c r="CF30" s="14">
        <f t="shared" si="178"/>
        <v>1107901056</v>
      </c>
      <c r="CG30" s="14">
        <f t="shared" si="178"/>
        <v>1107901056</v>
      </c>
      <c r="CH30" s="14">
        <f t="shared" si="178"/>
        <v>1107901056</v>
      </c>
      <c r="CI30" s="14">
        <f t="shared" si="178"/>
        <v>1107901056</v>
      </c>
      <c r="CJ30" s="14">
        <f t="shared" si="178"/>
        <v>1107901056</v>
      </c>
      <c r="CK30" s="14">
        <f t="shared" si="178"/>
        <v>1107901056</v>
      </c>
      <c r="CL30" s="14">
        <f t="shared" si="178"/>
        <v>1107901056</v>
      </c>
      <c r="CM30" s="14">
        <f t="shared" si="178"/>
        <v>1107901056</v>
      </c>
      <c r="CN30" s="14">
        <f t="shared" si="178"/>
        <v>1107901056</v>
      </c>
      <c r="CO30" s="14">
        <f t="shared" si="178"/>
        <v>1107901056</v>
      </c>
      <c r="CQ30" s="14">
        <f t="shared" ref="CQ30:DB30" si="179">SUM(CQ31:CQ35)</f>
        <v>912191873</v>
      </c>
      <c r="CR30" s="14">
        <f t="shared" si="179"/>
        <v>912191873</v>
      </c>
      <c r="CS30" s="14">
        <f t="shared" si="179"/>
        <v>912191873</v>
      </c>
      <c r="CT30" s="14">
        <f t="shared" si="179"/>
        <v>912191873</v>
      </c>
      <c r="CU30" s="14">
        <f t="shared" si="179"/>
        <v>912191873</v>
      </c>
      <c r="CV30" s="14">
        <f t="shared" si="179"/>
        <v>912191873</v>
      </c>
      <c r="CW30" s="14">
        <f t="shared" si="179"/>
        <v>912191873</v>
      </c>
      <c r="CX30" s="14">
        <f t="shared" si="179"/>
        <v>912191873</v>
      </c>
      <c r="CY30" s="14">
        <f t="shared" si="179"/>
        <v>912191873</v>
      </c>
      <c r="CZ30" s="14">
        <f t="shared" si="179"/>
        <v>912191873</v>
      </c>
      <c r="DA30" s="14">
        <f t="shared" si="179"/>
        <v>912191873</v>
      </c>
      <c r="DB30" s="14">
        <f t="shared" si="179"/>
        <v>912191873</v>
      </c>
    </row>
    <row r="31" spans="1:106" hidden="1" outlineLevel="1">
      <c r="A31" s="633">
        <v>28</v>
      </c>
      <c r="B31" s="614" t="s">
        <v>282</v>
      </c>
      <c r="C31" t="s">
        <v>518</v>
      </c>
      <c r="D31" s="15">
        <f t="shared" ref="D31:D35" si="180">AD31+Q31</f>
        <v>0</v>
      </c>
      <c r="E31" s="15">
        <f t="shared" ref="E31:E35" si="181">AE31+R31</f>
        <v>0</v>
      </c>
      <c r="F31" s="15">
        <f t="shared" ref="F31:F35" si="182">AF31+S31</f>
        <v>0</v>
      </c>
      <c r="G31" s="15">
        <f t="shared" ref="G31:G35" si="183">AG31+T31</f>
        <v>0</v>
      </c>
      <c r="H31" s="15">
        <f t="shared" ref="H31:H35" si="184">AH31+U31</f>
        <v>0</v>
      </c>
      <c r="I31" s="15">
        <f t="shared" ref="I31:I35" si="185">AI31+V31</f>
        <v>0</v>
      </c>
      <c r="J31" s="15">
        <f t="shared" ref="J31:J35" si="186">AJ31+W31</f>
        <v>0</v>
      </c>
      <c r="K31" s="15">
        <f t="shared" ref="K31:K35" si="187">AK31+X31</f>
        <v>0</v>
      </c>
      <c r="L31" s="15">
        <f t="shared" ref="L31:L35" si="188">AL31+Y31</f>
        <v>0</v>
      </c>
      <c r="M31" s="15">
        <f t="shared" ref="M31:M35" si="189">AM31+Z31</f>
        <v>0</v>
      </c>
      <c r="N31" s="15">
        <f t="shared" ref="N31:N35" si="190">AN31+AA31</f>
        <v>0</v>
      </c>
      <c r="O31" s="15">
        <f t="shared" ref="O31:O35" si="191">AO31+AB31</f>
        <v>0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D31" s="646">
        <f t="shared" ref="AD31:AD35" si="192">AQ31+BD31+BQ31+CD31+CQ31</f>
        <v>0</v>
      </c>
      <c r="AE31" s="15">
        <f t="shared" ref="AE31:AE35" si="193">AR31+BE31+BR31+CE31+CR31</f>
        <v>0</v>
      </c>
      <c r="AF31" s="15">
        <f t="shared" ref="AF31:AF35" si="194">AS31+BF31+BS31+CF31+CS31</f>
        <v>0</v>
      </c>
      <c r="AG31" s="15">
        <f t="shared" ref="AG31:AG35" si="195">AT31+BG31+BT31+CG31+CT31</f>
        <v>0</v>
      </c>
      <c r="AH31" s="15">
        <f t="shared" ref="AH31:AH35" si="196">AU31+BH31+BU31+CH31+CU31</f>
        <v>0</v>
      </c>
      <c r="AI31" s="15">
        <f t="shared" ref="AI31:AI35" si="197">AV31+BI31+BV31+CI31+CV31</f>
        <v>0</v>
      </c>
      <c r="AJ31" s="15">
        <f t="shared" ref="AJ31:AJ35" si="198">AW31+BJ31+BW31+CJ31+CW31</f>
        <v>0</v>
      </c>
      <c r="AK31" s="15">
        <f t="shared" ref="AK31:AK35" si="199">AX31+BK31+BX31+CK31+CX31</f>
        <v>0</v>
      </c>
      <c r="AL31" s="15">
        <f t="shared" ref="AL31:AL35" si="200">AY31+BL31+BY31+CL31+CY31</f>
        <v>0</v>
      </c>
      <c r="AM31" s="15">
        <f t="shared" ref="AM31:AM35" si="201">AZ31+BM31+BZ31+CM31+CZ31</f>
        <v>0</v>
      </c>
      <c r="AN31" s="15">
        <f t="shared" ref="AN31:AN35" si="202">BA31+BN31+CA31+CN31+DA31</f>
        <v>0</v>
      </c>
      <c r="AO31" s="647">
        <f t="shared" ref="AO31:AO35" si="203">BB31+BO31+CB31+CO31+DB31</f>
        <v>0</v>
      </c>
      <c r="AQ31" s="15">
        <f>SUMIFS('BS-KH26-DTR'!D$2:D$116,'BS-KH26-DTR'!$B$2:$B$116,$A31)</f>
        <v>0</v>
      </c>
      <c r="AR31" s="15">
        <f>SUMIFS('BS-KH26-DTR'!E$2:E$116,'BS-KH26-DTR'!$B$2:$B$116,$A31)</f>
        <v>0</v>
      </c>
      <c r="AS31" s="15">
        <f>SUMIFS('BS-KH26-DTR'!F$2:F$116,'BS-KH26-DTR'!$B$2:$B$116,$A31)</f>
        <v>0</v>
      </c>
      <c r="AT31" s="15">
        <f>SUMIFS('BS-KH26-DTR'!G$2:G$116,'BS-KH26-DTR'!$B$2:$B$116,$A31)</f>
        <v>0</v>
      </c>
      <c r="AU31" s="15">
        <f>SUMIFS('BS-KH26-DTR'!H$2:H$116,'BS-KH26-DTR'!$B$2:$B$116,$A31)</f>
        <v>0</v>
      </c>
      <c r="AV31" s="15">
        <f>SUMIFS('BS-KH26-DTR'!I$2:I$116,'BS-KH26-DTR'!$B$2:$B$116,$A31)</f>
        <v>0</v>
      </c>
      <c r="AW31" s="15">
        <f>SUMIFS('BS-KH26-DTR'!J$2:J$116,'BS-KH26-DTR'!$B$2:$B$116,$A31)</f>
        <v>0</v>
      </c>
      <c r="AX31" s="15">
        <f>SUMIFS('BS-KH26-DTR'!K$2:K$116,'BS-KH26-DTR'!$B$2:$B$116,$A31)</f>
        <v>0</v>
      </c>
      <c r="AY31" s="15">
        <f>SUMIFS('BS-KH26-DTR'!L$2:L$116,'BS-KH26-DTR'!$B$2:$B$116,$A31)</f>
        <v>0</v>
      </c>
      <c r="AZ31" s="15">
        <f>SUMIFS('BS-KH26-DTR'!M$2:M$116,'BS-KH26-DTR'!$B$2:$B$116,$A31)</f>
        <v>0</v>
      </c>
      <c r="BA31" s="15">
        <f>SUMIFS('BS-KH26-DTR'!N$2:N$116,'BS-KH26-DTR'!$B$2:$B$116,$A31)</f>
        <v>0</v>
      </c>
      <c r="BB31" s="15">
        <f>SUMIFS('BS-KH26-DTR'!O$2:O$116,'BS-KH26-DTR'!$B$2:$B$116,$A31)</f>
        <v>0</v>
      </c>
      <c r="BD31" s="15">
        <f>SUMIFS('BS-KH26-DongLam'!M$2:M$51,'BS-KH26-DongLam'!$A$2:$A$51,'Consol BS-DTRG'!$A31)</f>
        <v>0</v>
      </c>
      <c r="BE31" s="15">
        <f>SUMIFS('BS-KH26-DongLam'!N$2:N$51,'BS-KH26-DongLam'!$A$2:$A$51,'Consol BS-DTRG'!$A31)</f>
        <v>0</v>
      </c>
      <c r="BF31" s="15">
        <f>SUMIFS('BS-KH26-DongLam'!O$2:O$51,'BS-KH26-DongLam'!$A$2:$A$51,'Consol BS-DTRG'!$A31)</f>
        <v>0</v>
      </c>
      <c r="BG31" s="15">
        <f>SUMIFS('BS-KH26-DongLam'!P$2:P$51,'BS-KH26-DongLam'!$A$2:$A$51,'Consol BS-DTRG'!$A31)</f>
        <v>0</v>
      </c>
      <c r="BH31" s="15">
        <f>SUMIFS('BS-KH26-DongLam'!Q$2:Q$51,'BS-KH26-DongLam'!$A$2:$A$51,'Consol BS-DTRG'!$A31)</f>
        <v>0</v>
      </c>
      <c r="BI31" s="15">
        <f>SUMIFS('BS-KH26-DongLam'!R$2:R$51,'BS-KH26-DongLam'!$A$2:$A$51,'Consol BS-DTRG'!$A31)</f>
        <v>0</v>
      </c>
      <c r="BJ31" s="15">
        <f>SUMIFS('BS-KH26-DongLam'!S$2:S$51,'BS-KH26-DongLam'!$A$2:$A$51,'Consol BS-DTRG'!$A31)</f>
        <v>0</v>
      </c>
      <c r="BK31" s="15">
        <f>SUMIFS('BS-KH26-DongLam'!T$2:T$51,'BS-KH26-DongLam'!$A$2:$A$51,'Consol BS-DTRG'!$A31)</f>
        <v>0</v>
      </c>
      <c r="BL31" s="15">
        <f>SUMIFS('BS-KH26-DongLam'!U$2:U$51,'BS-KH26-DongLam'!$A$2:$A$51,'Consol BS-DTRG'!$A31)</f>
        <v>0</v>
      </c>
      <c r="BM31" s="15">
        <f>SUMIFS('BS-KH26-DongLam'!V$2:V$51,'BS-KH26-DongLam'!$A$2:$A$51,'Consol BS-DTRG'!$A31)</f>
        <v>0</v>
      </c>
      <c r="BN31" s="15">
        <f>SUMIFS('BS-KH26-DongLam'!W$2:W$51,'BS-KH26-DongLam'!$A$2:$A$51,'Consol BS-DTRG'!$A31)</f>
        <v>0</v>
      </c>
      <c r="BO31" s="15">
        <f>SUMIFS('BS-KH26-DongLam'!X$2:X$51,'BS-KH26-DongLam'!$A$2:$A$51,'Consol BS-DTRG'!$A31)</f>
        <v>0</v>
      </c>
      <c r="BQ31" s="15">
        <f>SUMIFS('BS-KH26-KhanhNga'!M$2:M$51,'BS-KH26-KhanhNga'!$A$2:$A$51,'Consol BS-DTRG'!$A31)</f>
        <v>0</v>
      </c>
      <c r="BR31" s="15">
        <f>SUMIFS('BS-KH26-KhanhNga'!N$2:N$51,'BS-KH26-KhanhNga'!$A$2:$A$51,'Consol BS-DTRG'!$A31)</f>
        <v>0</v>
      </c>
      <c r="BS31" s="15">
        <f>SUMIFS('BS-KH26-KhanhNga'!O$2:O$51,'BS-KH26-KhanhNga'!$A$2:$A$51,'Consol BS-DTRG'!$A31)</f>
        <v>0</v>
      </c>
      <c r="BT31" s="15">
        <f>SUMIFS('BS-KH26-KhanhNga'!P$2:P$51,'BS-KH26-KhanhNga'!$A$2:$A$51,'Consol BS-DTRG'!$A31)</f>
        <v>0</v>
      </c>
      <c r="BU31" s="15">
        <f>SUMIFS('BS-KH26-KhanhNga'!Q$2:Q$51,'BS-KH26-KhanhNga'!$A$2:$A$51,'Consol BS-DTRG'!$A31)</f>
        <v>0</v>
      </c>
      <c r="BV31" s="15">
        <f>SUMIFS('BS-KH26-KhanhNga'!R$2:R$51,'BS-KH26-KhanhNga'!$A$2:$A$51,'Consol BS-DTRG'!$A31)</f>
        <v>0</v>
      </c>
      <c r="BW31" s="15">
        <f>SUMIFS('BS-KH26-KhanhNga'!S$2:S$51,'BS-KH26-KhanhNga'!$A$2:$A$51,'Consol BS-DTRG'!$A31)</f>
        <v>0</v>
      </c>
      <c r="BX31" s="15">
        <f>SUMIFS('BS-KH26-KhanhNga'!T$2:T$51,'BS-KH26-KhanhNga'!$A$2:$A$51,'Consol BS-DTRG'!$A31)</f>
        <v>0</v>
      </c>
      <c r="BY31" s="15">
        <f>SUMIFS('BS-KH26-KhanhNga'!U$2:U$51,'BS-KH26-KhanhNga'!$A$2:$A$51,'Consol BS-DTRG'!$A31)</f>
        <v>0</v>
      </c>
      <c r="BZ31" s="15">
        <f>SUMIFS('BS-KH26-KhanhNga'!V$2:V$51,'BS-KH26-KhanhNga'!$A$2:$A$51,'Consol BS-DTRG'!$A31)</f>
        <v>0</v>
      </c>
      <c r="CA31" s="15">
        <f>SUMIFS('BS-KH26-KhanhNga'!W$2:W$51,'BS-KH26-KhanhNga'!$A$2:$A$51,'Consol BS-DTRG'!$A31)</f>
        <v>0</v>
      </c>
      <c r="CB31" s="15">
        <f>SUMIFS('BS-KH26-KhanhNga'!X$2:X$51,'BS-KH26-KhanhNga'!$A$2:$A$51,'Consol BS-DTRG'!$A31)</f>
        <v>0</v>
      </c>
      <c r="CD31" s="15">
        <f>SUMIFS('BS-KH26-DaiLoc'!M$2:M$51,'BS-KH26-DaiLoc'!$A$2:$A$51,'Consol BS-DTRG'!$A31)</f>
        <v>0</v>
      </c>
      <c r="CE31" s="15">
        <f>SUMIFS('BS-KH26-DaiLoc'!N$2:N$51,'BS-KH26-DaiLoc'!$A$2:$A$51,'Consol BS-DTRG'!$A31)</f>
        <v>0</v>
      </c>
      <c r="CF31" s="15">
        <f>SUMIFS('BS-KH26-DaiLoc'!O$2:O$51,'BS-KH26-DaiLoc'!$A$2:$A$51,'Consol BS-DTRG'!$A31)</f>
        <v>0</v>
      </c>
      <c r="CG31" s="15">
        <f>SUMIFS('BS-KH26-DaiLoc'!P$2:P$51,'BS-KH26-DaiLoc'!$A$2:$A$51,'Consol BS-DTRG'!$A31)</f>
        <v>0</v>
      </c>
      <c r="CH31" s="15">
        <f>SUMIFS('BS-KH26-DaiLoc'!Q$2:Q$51,'BS-KH26-DaiLoc'!$A$2:$A$51,'Consol BS-DTRG'!$A31)</f>
        <v>0</v>
      </c>
      <c r="CI31" s="15">
        <f>SUMIFS('BS-KH26-DaiLoc'!R$2:R$51,'BS-KH26-DaiLoc'!$A$2:$A$51,'Consol BS-DTRG'!$A31)</f>
        <v>0</v>
      </c>
      <c r="CJ31" s="15">
        <f>SUMIFS('BS-KH26-DaiLoc'!S$2:S$51,'BS-KH26-DaiLoc'!$A$2:$A$51,'Consol BS-DTRG'!$A31)</f>
        <v>0</v>
      </c>
      <c r="CK31" s="15">
        <f>SUMIFS('BS-KH26-DaiLoc'!T$2:T$51,'BS-KH26-DaiLoc'!$A$2:$A$51,'Consol BS-DTRG'!$A31)</f>
        <v>0</v>
      </c>
      <c r="CL31" s="15">
        <f>SUMIFS('BS-KH26-DaiLoc'!U$2:U$51,'BS-KH26-DaiLoc'!$A$2:$A$51,'Consol BS-DTRG'!$A31)</f>
        <v>0</v>
      </c>
      <c r="CM31" s="15">
        <f>SUMIFS('BS-KH26-DaiLoc'!V$2:V$51,'BS-KH26-DaiLoc'!$A$2:$A$51,'Consol BS-DTRG'!$A31)</f>
        <v>0</v>
      </c>
      <c r="CN31" s="15">
        <f>SUMIFS('BS-KH26-DaiLoc'!W$2:W$51,'BS-KH26-DaiLoc'!$A$2:$A$51,'Consol BS-DTRG'!$A31)</f>
        <v>0</v>
      </c>
      <c r="CO31" s="15">
        <f>SUMIFS('BS-KH26-DaiLoc'!X$2:X$51,'BS-KH26-DaiLoc'!$A$2:$A$51,'Consol BS-DTRG'!$A31)</f>
        <v>0</v>
      </c>
      <c r="CQ31" s="15">
        <v>0</v>
      </c>
      <c r="CR31" s="15">
        <f t="shared" ref="CR31:DB35" si="204">CQ31</f>
        <v>0</v>
      </c>
      <c r="CS31" s="15">
        <f t="shared" si="204"/>
        <v>0</v>
      </c>
      <c r="CT31" s="15">
        <f t="shared" si="204"/>
        <v>0</v>
      </c>
      <c r="CU31" s="15">
        <f t="shared" si="204"/>
        <v>0</v>
      </c>
      <c r="CV31" s="15">
        <f t="shared" si="204"/>
        <v>0</v>
      </c>
      <c r="CW31" s="15">
        <f t="shared" si="204"/>
        <v>0</v>
      </c>
      <c r="CX31" s="15">
        <f t="shared" si="204"/>
        <v>0</v>
      </c>
      <c r="CY31" s="15">
        <f t="shared" si="204"/>
        <v>0</v>
      </c>
      <c r="CZ31" s="15">
        <f t="shared" si="204"/>
        <v>0</v>
      </c>
      <c r="DA31" s="15">
        <f t="shared" si="204"/>
        <v>0</v>
      </c>
      <c r="DB31" s="15">
        <f t="shared" si="204"/>
        <v>0</v>
      </c>
    </row>
    <row r="32" spans="1:106" hidden="1" outlineLevel="1">
      <c r="A32" s="633">
        <v>29</v>
      </c>
      <c r="B32" s="614" t="s">
        <v>283</v>
      </c>
      <c r="C32" t="s">
        <v>518</v>
      </c>
      <c r="D32" s="15">
        <f t="shared" si="180"/>
        <v>40327002681</v>
      </c>
      <c r="E32" s="15">
        <f t="shared" si="181"/>
        <v>45327002681</v>
      </c>
      <c r="F32" s="15">
        <f t="shared" si="182"/>
        <v>50327002681</v>
      </c>
      <c r="G32" s="15">
        <f t="shared" si="183"/>
        <v>55327002681</v>
      </c>
      <c r="H32" s="15">
        <f t="shared" si="184"/>
        <v>60327002681</v>
      </c>
      <c r="I32" s="15">
        <f t="shared" si="185"/>
        <v>65327002681</v>
      </c>
      <c r="J32" s="15">
        <f t="shared" si="186"/>
        <v>70327002681.000015</v>
      </c>
      <c r="K32" s="15">
        <f t="shared" si="187"/>
        <v>75327002681.000015</v>
      </c>
      <c r="L32" s="15">
        <f t="shared" si="188"/>
        <v>80327002681.000015</v>
      </c>
      <c r="M32" s="15">
        <f t="shared" si="189"/>
        <v>85327002681.000015</v>
      </c>
      <c r="N32" s="15">
        <f t="shared" si="190"/>
        <v>90327002681.000015</v>
      </c>
      <c r="O32" s="15">
        <f t="shared" si="191"/>
        <v>95327002681.000015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D32" s="646">
        <f t="shared" si="192"/>
        <v>40327002681</v>
      </c>
      <c r="AE32" s="15">
        <f t="shared" si="193"/>
        <v>45327002681</v>
      </c>
      <c r="AF32" s="15">
        <f t="shared" si="194"/>
        <v>50327002681</v>
      </c>
      <c r="AG32" s="15">
        <f t="shared" si="195"/>
        <v>55327002681</v>
      </c>
      <c r="AH32" s="15">
        <f t="shared" si="196"/>
        <v>60327002681</v>
      </c>
      <c r="AI32" s="15">
        <f t="shared" si="197"/>
        <v>65327002681</v>
      </c>
      <c r="AJ32" s="15">
        <f t="shared" si="198"/>
        <v>70327002681.000015</v>
      </c>
      <c r="AK32" s="15">
        <f t="shared" si="199"/>
        <v>75327002681.000015</v>
      </c>
      <c r="AL32" s="15">
        <f t="shared" si="200"/>
        <v>80327002681.000015</v>
      </c>
      <c r="AM32" s="15">
        <f t="shared" si="201"/>
        <v>85327002681.000015</v>
      </c>
      <c r="AN32" s="15">
        <f t="shared" si="202"/>
        <v>90327002681.000015</v>
      </c>
      <c r="AO32" s="647">
        <f t="shared" si="203"/>
        <v>95327002681.000015</v>
      </c>
      <c r="AQ32" s="15">
        <f>SUMIFS('BS-KH26-DTR'!D$2:D$116,'BS-KH26-DTR'!$B$2:$B$116,$A32)</f>
        <v>39414810808</v>
      </c>
      <c r="AR32" s="15">
        <f>SUMIFS('BS-KH26-DTR'!E$2:E$116,'BS-KH26-DTR'!$B$2:$B$116,$A32)</f>
        <v>44414810808</v>
      </c>
      <c r="AS32" s="15">
        <f>SUMIFS('BS-KH26-DTR'!F$2:F$116,'BS-KH26-DTR'!$B$2:$B$116,$A32)</f>
        <v>49414810808</v>
      </c>
      <c r="AT32" s="15">
        <f>SUMIFS('BS-KH26-DTR'!G$2:G$116,'BS-KH26-DTR'!$B$2:$B$116,$A32)</f>
        <v>54414810808</v>
      </c>
      <c r="AU32" s="15">
        <f>SUMIFS('BS-KH26-DTR'!H$2:H$116,'BS-KH26-DTR'!$B$2:$B$116,$A32)</f>
        <v>59414810808</v>
      </c>
      <c r="AV32" s="15">
        <f>SUMIFS('BS-KH26-DTR'!I$2:I$116,'BS-KH26-DTR'!$B$2:$B$116,$A32)</f>
        <v>64414810808</v>
      </c>
      <c r="AW32" s="15">
        <f>SUMIFS('BS-KH26-DTR'!J$2:J$116,'BS-KH26-DTR'!$B$2:$B$116,$A32)</f>
        <v>69414810808.000015</v>
      </c>
      <c r="AX32" s="15">
        <f>SUMIFS('BS-KH26-DTR'!K$2:K$116,'BS-KH26-DTR'!$B$2:$B$116,$A32)</f>
        <v>74414810808.000015</v>
      </c>
      <c r="AY32" s="15">
        <f>SUMIFS('BS-KH26-DTR'!L$2:L$116,'BS-KH26-DTR'!$B$2:$B$116,$A32)</f>
        <v>79414810808.000015</v>
      </c>
      <c r="AZ32" s="15">
        <f>SUMIFS('BS-KH26-DTR'!M$2:M$116,'BS-KH26-DTR'!$B$2:$B$116,$A32)</f>
        <v>84414810808.000015</v>
      </c>
      <c r="BA32" s="15">
        <f>SUMIFS('BS-KH26-DTR'!N$2:N$116,'BS-KH26-DTR'!$B$2:$B$116,$A32)</f>
        <v>89414810808.000015</v>
      </c>
      <c r="BB32" s="15">
        <f>SUMIFS('BS-KH26-DTR'!O$2:O$116,'BS-KH26-DTR'!$B$2:$B$116,$A32)</f>
        <v>94414810808.000015</v>
      </c>
      <c r="BD32" s="15">
        <f>SUMIFS('BS-KH26-DongLam'!M$2:M$51,'BS-KH26-DongLam'!$A$2:$A$51,'Consol BS-DTRG'!$A32)</f>
        <v>0</v>
      </c>
      <c r="BE32" s="15">
        <f>SUMIFS('BS-KH26-DongLam'!N$2:N$51,'BS-KH26-DongLam'!$A$2:$A$51,'Consol BS-DTRG'!$A32)</f>
        <v>0</v>
      </c>
      <c r="BF32" s="15">
        <f>SUMIFS('BS-KH26-DongLam'!O$2:O$51,'BS-KH26-DongLam'!$A$2:$A$51,'Consol BS-DTRG'!$A32)</f>
        <v>0</v>
      </c>
      <c r="BG32" s="15">
        <f>SUMIFS('BS-KH26-DongLam'!P$2:P$51,'BS-KH26-DongLam'!$A$2:$A$51,'Consol BS-DTRG'!$A32)</f>
        <v>0</v>
      </c>
      <c r="BH32" s="15">
        <f>SUMIFS('BS-KH26-DongLam'!Q$2:Q$51,'BS-KH26-DongLam'!$A$2:$A$51,'Consol BS-DTRG'!$A32)</f>
        <v>0</v>
      </c>
      <c r="BI32" s="15">
        <f>SUMIFS('BS-KH26-DongLam'!R$2:R$51,'BS-KH26-DongLam'!$A$2:$A$51,'Consol BS-DTRG'!$A32)</f>
        <v>0</v>
      </c>
      <c r="BJ32" s="15">
        <f>SUMIFS('BS-KH26-DongLam'!S$2:S$51,'BS-KH26-DongLam'!$A$2:$A$51,'Consol BS-DTRG'!$A32)</f>
        <v>0</v>
      </c>
      <c r="BK32" s="15">
        <f>SUMIFS('BS-KH26-DongLam'!T$2:T$51,'BS-KH26-DongLam'!$A$2:$A$51,'Consol BS-DTRG'!$A32)</f>
        <v>0</v>
      </c>
      <c r="BL32" s="15">
        <f>SUMIFS('BS-KH26-DongLam'!U$2:U$51,'BS-KH26-DongLam'!$A$2:$A$51,'Consol BS-DTRG'!$A32)</f>
        <v>0</v>
      </c>
      <c r="BM32" s="15">
        <f>SUMIFS('BS-KH26-DongLam'!V$2:V$51,'BS-KH26-DongLam'!$A$2:$A$51,'Consol BS-DTRG'!$A32)</f>
        <v>0</v>
      </c>
      <c r="BN32" s="15">
        <f>SUMIFS('BS-KH26-DongLam'!W$2:W$51,'BS-KH26-DongLam'!$A$2:$A$51,'Consol BS-DTRG'!$A32)</f>
        <v>0</v>
      </c>
      <c r="BO32" s="15">
        <f>SUMIFS('BS-KH26-DongLam'!X$2:X$51,'BS-KH26-DongLam'!$A$2:$A$51,'Consol BS-DTRG'!$A32)</f>
        <v>0</v>
      </c>
      <c r="BQ32" s="15">
        <f>SUMIFS('BS-KH26-KhanhNga'!M$2:M$51,'BS-KH26-KhanhNga'!$A$2:$A$51,'Consol BS-DTRG'!$A32)</f>
        <v>0</v>
      </c>
      <c r="BR32" s="15">
        <f>SUMIFS('BS-KH26-KhanhNga'!N$2:N$51,'BS-KH26-KhanhNga'!$A$2:$A$51,'Consol BS-DTRG'!$A32)</f>
        <v>0</v>
      </c>
      <c r="BS32" s="15">
        <f>SUMIFS('BS-KH26-KhanhNga'!O$2:O$51,'BS-KH26-KhanhNga'!$A$2:$A$51,'Consol BS-DTRG'!$A32)</f>
        <v>0</v>
      </c>
      <c r="BT32" s="15">
        <f>SUMIFS('BS-KH26-KhanhNga'!P$2:P$51,'BS-KH26-KhanhNga'!$A$2:$A$51,'Consol BS-DTRG'!$A32)</f>
        <v>0</v>
      </c>
      <c r="BU32" s="15">
        <f>SUMIFS('BS-KH26-KhanhNga'!Q$2:Q$51,'BS-KH26-KhanhNga'!$A$2:$A$51,'Consol BS-DTRG'!$A32)</f>
        <v>0</v>
      </c>
      <c r="BV32" s="15">
        <f>SUMIFS('BS-KH26-KhanhNga'!R$2:R$51,'BS-KH26-KhanhNga'!$A$2:$A$51,'Consol BS-DTRG'!$A32)</f>
        <v>0</v>
      </c>
      <c r="BW32" s="15">
        <f>SUMIFS('BS-KH26-KhanhNga'!S$2:S$51,'BS-KH26-KhanhNga'!$A$2:$A$51,'Consol BS-DTRG'!$A32)</f>
        <v>0</v>
      </c>
      <c r="BX32" s="15">
        <f>SUMIFS('BS-KH26-KhanhNga'!T$2:T$51,'BS-KH26-KhanhNga'!$A$2:$A$51,'Consol BS-DTRG'!$A32)</f>
        <v>0</v>
      </c>
      <c r="BY32" s="15">
        <f>SUMIFS('BS-KH26-KhanhNga'!U$2:U$51,'BS-KH26-KhanhNga'!$A$2:$A$51,'Consol BS-DTRG'!$A32)</f>
        <v>0</v>
      </c>
      <c r="BZ32" s="15">
        <f>SUMIFS('BS-KH26-KhanhNga'!V$2:V$51,'BS-KH26-KhanhNga'!$A$2:$A$51,'Consol BS-DTRG'!$A32)</f>
        <v>0</v>
      </c>
      <c r="CA32" s="15">
        <f>SUMIFS('BS-KH26-KhanhNga'!W$2:W$51,'BS-KH26-KhanhNga'!$A$2:$A$51,'Consol BS-DTRG'!$A32)</f>
        <v>0</v>
      </c>
      <c r="CB32" s="15">
        <f>SUMIFS('BS-KH26-KhanhNga'!X$2:X$51,'BS-KH26-KhanhNga'!$A$2:$A$51,'Consol BS-DTRG'!$A32)</f>
        <v>0</v>
      </c>
      <c r="CD32" s="15">
        <f>SUMIFS('BS-KH26-DaiLoc'!M$2:M$51,'BS-KH26-DaiLoc'!$A$2:$A$51,'Consol BS-DTRG'!$A32)</f>
        <v>0</v>
      </c>
      <c r="CE32" s="15">
        <f>SUMIFS('BS-KH26-DaiLoc'!N$2:N$51,'BS-KH26-DaiLoc'!$A$2:$A$51,'Consol BS-DTRG'!$A32)</f>
        <v>0</v>
      </c>
      <c r="CF32" s="15">
        <f>SUMIFS('BS-KH26-DaiLoc'!O$2:O$51,'BS-KH26-DaiLoc'!$A$2:$A$51,'Consol BS-DTRG'!$A32)</f>
        <v>0</v>
      </c>
      <c r="CG32" s="15">
        <f>SUMIFS('BS-KH26-DaiLoc'!P$2:P$51,'BS-KH26-DaiLoc'!$A$2:$A$51,'Consol BS-DTRG'!$A32)</f>
        <v>0</v>
      </c>
      <c r="CH32" s="15">
        <f>SUMIFS('BS-KH26-DaiLoc'!Q$2:Q$51,'BS-KH26-DaiLoc'!$A$2:$A$51,'Consol BS-DTRG'!$A32)</f>
        <v>0</v>
      </c>
      <c r="CI32" s="15">
        <f>SUMIFS('BS-KH26-DaiLoc'!R$2:R$51,'BS-KH26-DaiLoc'!$A$2:$A$51,'Consol BS-DTRG'!$A32)</f>
        <v>0</v>
      </c>
      <c r="CJ32" s="15">
        <f>SUMIFS('BS-KH26-DaiLoc'!S$2:S$51,'BS-KH26-DaiLoc'!$A$2:$A$51,'Consol BS-DTRG'!$A32)</f>
        <v>0</v>
      </c>
      <c r="CK32" s="15">
        <f>SUMIFS('BS-KH26-DaiLoc'!T$2:T$51,'BS-KH26-DaiLoc'!$A$2:$A$51,'Consol BS-DTRG'!$A32)</f>
        <v>0</v>
      </c>
      <c r="CL32" s="15">
        <f>SUMIFS('BS-KH26-DaiLoc'!U$2:U$51,'BS-KH26-DaiLoc'!$A$2:$A$51,'Consol BS-DTRG'!$A32)</f>
        <v>0</v>
      </c>
      <c r="CM32" s="15">
        <f>SUMIFS('BS-KH26-DaiLoc'!V$2:V$51,'BS-KH26-DaiLoc'!$A$2:$A$51,'Consol BS-DTRG'!$A32)</f>
        <v>0</v>
      </c>
      <c r="CN32" s="15">
        <f>SUMIFS('BS-KH26-DaiLoc'!W$2:W$51,'BS-KH26-DaiLoc'!$A$2:$A$51,'Consol BS-DTRG'!$A32)</f>
        <v>0</v>
      </c>
      <c r="CO32" s="15">
        <f>SUMIFS('BS-KH26-DaiLoc'!X$2:X$51,'BS-KH26-DaiLoc'!$A$2:$A$51,'Consol BS-DTRG'!$A32)</f>
        <v>0</v>
      </c>
      <c r="CQ32" s="15">
        <v>912191873</v>
      </c>
      <c r="CR32" s="15">
        <f t="shared" si="204"/>
        <v>912191873</v>
      </c>
      <c r="CS32" s="15">
        <f t="shared" si="204"/>
        <v>912191873</v>
      </c>
      <c r="CT32" s="15">
        <f t="shared" si="204"/>
        <v>912191873</v>
      </c>
      <c r="CU32" s="15">
        <f t="shared" si="204"/>
        <v>912191873</v>
      </c>
      <c r="CV32" s="15">
        <f t="shared" si="204"/>
        <v>912191873</v>
      </c>
      <c r="CW32" s="15">
        <f t="shared" si="204"/>
        <v>912191873</v>
      </c>
      <c r="CX32" s="15">
        <f t="shared" si="204"/>
        <v>912191873</v>
      </c>
      <c r="CY32" s="15">
        <f t="shared" si="204"/>
        <v>912191873</v>
      </c>
      <c r="CZ32" s="15">
        <f t="shared" si="204"/>
        <v>912191873</v>
      </c>
      <c r="DA32" s="15">
        <f t="shared" si="204"/>
        <v>912191873</v>
      </c>
      <c r="DB32" s="15">
        <f t="shared" si="204"/>
        <v>912191873</v>
      </c>
    </row>
    <row r="33" spans="1:106" hidden="1" outlineLevel="1">
      <c r="A33" s="633">
        <v>30</v>
      </c>
      <c r="B33" s="614" t="s">
        <v>284</v>
      </c>
      <c r="C33" t="s">
        <v>518</v>
      </c>
      <c r="D33" s="15">
        <f t="shared" si="180"/>
        <v>0</v>
      </c>
      <c r="E33" s="15">
        <f t="shared" si="181"/>
        <v>0</v>
      </c>
      <c r="F33" s="15">
        <f t="shared" si="182"/>
        <v>0</v>
      </c>
      <c r="G33" s="15">
        <f t="shared" si="183"/>
        <v>0</v>
      </c>
      <c r="H33" s="15">
        <f t="shared" si="184"/>
        <v>0</v>
      </c>
      <c r="I33" s="15">
        <f t="shared" si="185"/>
        <v>0</v>
      </c>
      <c r="J33" s="15">
        <f t="shared" si="186"/>
        <v>0</v>
      </c>
      <c r="K33" s="15">
        <f t="shared" si="187"/>
        <v>0</v>
      </c>
      <c r="L33" s="15">
        <f t="shared" si="188"/>
        <v>0</v>
      </c>
      <c r="M33" s="15">
        <f t="shared" si="189"/>
        <v>0</v>
      </c>
      <c r="N33" s="15">
        <f t="shared" si="190"/>
        <v>0</v>
      </c>
      <c r="O33" s="15">
        <f t="shared" si="191"/>
        <v>0</v>
      </c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D33" s="646">
        <f t="shared" si="192"/>
        <v>0</v>
      </c>
      <c r="AE33" s="15">
        <f t="shared" si="193"/>
        <v>0</v>
      </c>
      <c r="AF33" s="15">
        <f t="shared" si="194"/>
        <v>0</v>
      </c>
      <c r="AG33" s="15">
        <f t="shared" si="195"/>
        <v>0</v>
      </c>
      <c r="AH33" s="15">
        <f t="shared" si="196"/>
        <v>0</v>
      </c>
      <c r="AI33" s="15">
        <f t="shared" si="197"/>
        <v>0</v>
      </c>
      <c r="AJ33" s="15">
        <f t="shared" si="198"/>
        <v>0</v>
      </c>
      <c r="AK33" s="15">
        <f t="shared" si="199"/>
        <v>0</v>
      </c>
      <c r="AL33" s="15">
        <f t="shared" si="200"/>
        <v>0</v>
      </c>
      <c r="AM33" s="15">
        <f t="shared" si="201"/>
        <v>0</v>
      </c>
      <c r="AN33" s="15">
        <f t="shared" si="202"/>
        <v>0</v>
      </c>
      <c r="AO33" s="647">
        <f t="shared" si="203"/>
        <v>0</v>
      </c>
      <c r="AQ33" s="15">
        <f>SUMIFS('BS-KH26-DTR'!D$2:D$116,'BS-KH26-DTR'!$B$2:$B$116,$A33)</f>
        <v>0</v>
      </c>
      <c r="AR33" s="15">
        <f>SUMIFS('BS-KH26-DTR'!E$2:E$116,'BS-KH26-DTR'!$B$2:$B$116,$A33)</f>
        <v>0</v>
      </c>
      <c r="AS33" s="15">
        <f>SUMIFS('BS-KH26-DTR'!F$2:F$116,'BS-KH26-DTR'!$B$2:$B$116,$A33)</f>
        <v>0</v>
      </c>
      <c r="AT33" s="15">
        <f>SUMIFS('BS-KH26-DTR'!G$2:G$116,'BS-KH26-DTR'!$B$2:$B$116,$A33)</f>
        <v>0</v>
      </c>
      <c r="AU33" s="15">
        <f>SUMIFS('BS-KH26-DTR'!H$2:H$116,'BS-KH26-DTR'!$B$2:$B$116,$A33)</f>
        <v>0</v>
      </c>
      <c r="AV33" s="15">
        <f>SUMIFS('BS-KH26-DTR'!I$2:I$116,'BS-KH26-DTR'!$B$2:$B$116,$A33)</f>
        <v>0</v>
      </c>
      <c r="AW33" s="15">
        <f>SUMIFS('BS-KH26-DTR'!J$2:J$116,'BS-KH26-DTR'!$B$2:$B$116,$A33)</f>
        <v>0</v>
      </c>
      <c r="AX33" s="15">
        <f>SUMIFS('BS-KH26-DTR'!K$2:K$116,'BS-KH26-DTR'!$B$2:$B$116,$A33)</f>
        <v>0</v>
      </c>
      <c r="AY33" s="15">
        <f>SUMIFS('BS-KH26-DTR'!L$2:L$116,'BS-KH26-DTR'!$B$2:$B$116,$A33)</f>
        <v>0</v>
      </c>
      <c r="AZ33" s="15">
        <f>SUMIFS('BS-KH26-DTR'!M$2:M$116,'BS-KH26-DTR'!$B$2:$B$116,$A33)</f>
        <v>0</v>
      </c>
      <c r="BA33" s="15">
        <f>SUMIFS('BS-KH26-DTR'!N$2:N$116,'BS-KH26-DTR'!$B$2:$B$116,$A33)</f>
        <v>0</v>
      </c>
      <c r="BB33" s="15">
        <f>SUMIFS('BS-KH26-DTR'!O$2:O$116,'BS-KH26-DTR'!$B$2:$B$116,$A33)</f>
        <v>0</v>
      </c>
      <c r="BD33" s="15">
        <f>SUMIFS('BS-KH26-DongLam'!M$2:M$51,'BS-KH26-DongLam'!$A$2:$A$51,'Consol BS-DTRG'!$A33)</f>
        <v>0</v>
      </c>
      <c r="BE33" s="15">
        <f>SUMIFS('BS-KH26-DongLam'!N$2:N$51,'BS-KH26-DongLam'!$A$2:$A$51,'Consol BS-DTRG'!$A33)</f>
        <v>0</v>
      </c>
      <c r="BF33" s="15">
        <f>SUMIFS('BS-KH26-DongLam'!O$2:O$51,'BS-KH26-DongLam'!$A$2:$A$51,'Consol BS-DTRG'!$A33)</f>
        <v>0</v>
      </c>
      <c r="BG33" s="15">
        <f>SUMIFS('BS-KH26-DongLam'!P$2:P$51,'BS-KH26-DongLam'!$A$2:$A$51,'Consol BS-DTRG'!$A33)</f>
        <v>0</v>
      </c>
      <c r="BH33" s="15">
        <f>SUMIFS('BS-KH26-DongLam'!Q$2:Q$51,'BS-KH26-DongLam'!$A$2:$A$51,'Consol BS-DTRG'!$A33)</f>
        <v>0</v>
      </c>
      <c r="BI33" s="15">
        <f>SUMIFS('BS-KH26-DongLam'!R$2:R$51,'BS-KH26-DongLam'!$A$2:$A$51,'Consol BS-DTRG'!$A33)</f>
        <v>0</v>
      </c>
      <c r="BJ33" s="15">
        <f>SUMIFS('BS-KH26-DongLam'!S$2:S$51,'BS-KH26-DongLam'!$A$2:$A$51,'Consol BS-DTRG'!$A33)</f>
        <v>0</v>
      </c>
      <c r="BK33" s="15">
        <f>SUMIFS('BS-KH26-DongLam'!T$2:T$51,'BS-KH26-DongLam'!$A$2:$A$51,'Consol BS-DTRG'!$A33)</f>
        <v>0</v>
      </c>
      <c r="BL33" s="15">
        <f>SUMIFS('BS-KH26-DongLam'!U$2:U$51,'BS-KH26-DongLam'!$A$2:$A$51,'Consol BS-DTRG'!$A33)</f>
        <v>0</v>
      </c>
      <c r="BM33" s="15">
        <f>SUMIFS('BS-KH26-DongLam'!V$2:V$51,'BS-KH26-DongLam'!$A$2:$A$51,'Consol BS-DTRG'!$A33)</f>
        <v>0</v>
      </c>
      <c r="BN33" s="15">
        <f>SUMIFS('BS-KH26-DongLam'!W$2:W$51,'BS-KH26-DongLam'!$A$2:$A$51,'Consol BS-DTRG'!$A33)</f>
        <v>0</v>
      </c>
      <c r="BO33" s="15">
        <f>SUMIFS('BS-KH26-DongLam'!X$2:X$51,'BS-KH26-DongLam'!$A$2:$A$51,'Consol BS-DTRG'!$A33)</f>
        <v>0</v>
      </c>
      <c r="BQ33" s="15">
        <f>SUMIFS('BS-KH26-KhanhNga'!M$2:M$51,'BS-KH26-KhanhNga'!$A$2:$A$51,'Consol BS-DTRG'!$A33)</f>
        <v>0</v>
      </c>
      <c r="BR33" s="15">
        <f>SUMIFS('BS-KH26-KhanhNga'!N$2:N$51,'BS-KH26-KhanhNga'!$A$2:$A$51,'Consol BS-DTRG'!$A33)</f>
        <v>0</v>
      </c>
      <c r="BS33" s="15">
        <f>SUMIFS('BS-KH26-KhanhNga'!O$2:O$51,'BS-KH26-KhanhNga'!$A$2:$A$51,'Consol BS-DTRG'!$A33)</f>
        <v>0</v>
      </c>
      <c r="BT33" s="15">
        <f>SUMIFS('BS-KH26-KhanhNga'!P$2:P$51,'BS-KH26-KhanhNga'!$A$2:$A$51,'Consol BS-DTRG'!$A33)</f>
        <v>0</v>
      </c>
      <c r="BU33" s="15">
        <f>SUMIFS('BS-KH26-KhanhNga'!Q$2:Q$51,'BS-KH26-KhanhNga'!$A$2:$A$51,'Consol BS-DTRG'!$A33)</f>
        <v>0</v>
      </c>
      <c r="BV33" s="15">
        <f>SUMIFS('BS-KH26-KhanhNga'!R$2:R$51,'BS-KH26-KhanhNga'!$A$2:$A$51,'Consol BS-DTRG'!$A33)</f>
        <v>0</v>
      </c>
      <c r="BW33" s="15">
        <f>SUMIFS('BS-KH26-KhanhNga'!S$2:S$51,'BS-KH26-KhanhNga'!$A$2:$A$51,'Consol BS-DTRG'!$A33)</f>
        <v>0</v>
      </c>
      <c r="BX33" s="15">
        <f>SUMIFS('BS-KH26-KhanhNga'!T$2:T$51,'BS-KH26-KhanhNga'!$A$2:$A$51,'Consol BS-DTRG'!$A33)</f>
        <v>0</v>
      </c>
      <c r="BY33" s="15">
        <f>SUMIFS('BS-KH26-KhanhNga'!U$2:U$51,'BS-KH26-KhanhNga'!$A$2:$A$51,'Consol BS-DTRG'!$A33)</f>
        <v>0</v>
      </c>
      <c r="BZ33" s="15">
        <f>SUMIFS('BS-KH26-KhanhNga'!V$2:V$51,'BS-KH26-KhanhNga'!$A$2:$A$51,'Consol BS-DTRG'!$A33)</f>
        <v>0</v>
      </c>
      <c r="CA33" s="15">
        <f>SUMIFS('BS-KH26-KhanhNga'!W$2:W$51,'BS-KH26-KhanhNga'!$A$2:$A$51,'Consol BS-DTRG'!$A33)</f>
        <v>0</v>
      </c>
      <c r="CB33" s="15">
        <f>SUMIFS('BS-KH26-KhanhNga'!X$2:X$51,'BS-KH26-KhanhNga'!$A$2:$A$51,'Consol BS-DTRG'!$A33)</f>
        <v>0</v>
      </c>
      <c r="CD33" s="15">
        <f>SUMIFS('BS-KH26-DaiLoc'!M$2:M$51,'BS-KH26-DaiLoc'!$A$2:$A$51,'Consol BS-DTRG'!$A33)</f>
        <v>0</v>
      </c>
      <c r="CE33" s="15">
        <f>SUMIFS('BS-KH26-DaiLoc'!N$2:N$51,'BS-KH26-DaiLoc'!$A$2:$A$51,'Consol BS-DTRG'!$A33)</f>
        <v>0</v>
      </c>
      <c r="CF33" s="15">
        <f>SUMIFS('BS-KH26-DaiLoc'!O$2:O$51,'BS-KH26-DaiLoc'!$A$2:$A$51,'Consol BS-DTRG'!$A33)</f>
        <v>0</v>
      </c>
      <c r="CG33" s="15">
        <f>SUMIFS('BS-KH26-DaiLoc'!P$2:P$51,'BS-KH26-DaiLoc'!$A$2:$A$51,'Consol BS-DTRG'!$A33)</f>
        <v>0</v>
      </c>
      <c r="CH33" s="15">
        <f>SUMIFS('BS-KH26-DaiLoc'!Q$2:Q$51,'BS-KH26-DaiLoc'!$A$2:$A$51,'Consol BS-DTRG'!$A33)</f>
        <v>0</v>
      </c>
      <c r="CI33" s="15">
        <f>SUMIFS('BS-KH26-DaiLoc'!R$2:R$51,'BS-KH26-DaiLoc'!$A$2:$A$51,'Consol BS-DTRG'!$A33)</f>
        <v>0</v>
      </c>
      <c r="CJ33" s="15">
        <f>SUMIFS('BS-KH26-DaiLoc'!S$2:S$51,'BS-KH26-DaiLoc'!$A$2:$A$51,'Consol BS-DTRG'!$A33)</f>
        <v>0</v>
      </c>
      <c r="CK33" s="15">
        <f>SUMIFS('BS-KH26-DaiLoc'!T$2:T$51,'BS-KH26-DaiLoc'!$A$2:$A$51,'Consol BS-DTRG'!$A33)</f>
        <v>0</v>
      </c>
      <c r="CL33" s="15">
        <f>SUMIFS('BS-KH26-DaiLoc'!U$2:U$51,'BS-KH26-DaiLoc'!$A$2:$A$51,'Consol BS-DTRG'!$A33)</f>
        <v>0</v>
      </c>
      <c r="CM33" s="15">
        <f>SUMIFS('BS-KH26-DaiLoc'!V$2:V$51,'BS-KH26-DaiLoc'!$A$2:$A$51,'Consol BS-DTRG'!$A33)</f>
        <v>0</v>
      </c>
      <c r="CN33" s="15">
        <f>SUMIFS('BS-KH26-DaiLoc'!W$2:W$51,'BS-KH26-DaiLoc'!$A$2:$A$51,'Consol BS-DTRG'!$A33)</f>
        <v>0</v>
      </c>
      <c r="CO33" s="15">
        <f>SUMIFS('BS-KH26-DaiLoc'!X$2:X$51,'BS-KH26-DaiLoc'!$A$2:$A$51,'Consol BS-DTRG'!$A33)</f>
        <v>0</v>
      </c>
      <c r="CQ33" s="15">
        <v>0</v>
      </c>
      <c r="CR33" s="15">
        <f t="shared" si="204"/>
        <v>0</v>
      </c>
      <c r="CS33" s="15">
        <f t="shared" si="204"/>
        <v>0</v>
      </c>
      <c r="CT33" s="15">
        <f t="shared" si="204"/>
        <v>0</v>
      </c>
      <c r="CU33" s="15">
        <f t="shared" si="204"/>
        <v>0</v>
      </c>
      <c r="CV33" s="15">
        <f t="shared" si="204"/>
        <v>0</v>
      </c>
      <c r="CW33" s="15">
        <f t="shared" si="204"/>
        <v>0</v>
      </c>
      <c r="CX33" s="15">
        <f t="shared" si="204"/>
        <v>0</v>
      </c>
      <c r="CY33" s="15">
        <f t="shared" si="204"/>
        <v>0</v>
      </c>
      <c r="CZ33" s="15">
        <f t="shared" si="204"/>
        <v>0</v>
      </c>
      <c r="DA33" s="15">
        <f t="shared" si="204"/>
        <v>0</v>
      </c>
      <c r="DB33" s="15">
        <f t="shared" si="204"/>
        <v>0</v>
      </c>
    </row>
    <row r="34" spans="1:106" hidden="1" outlineLevel="1">
      <c r="A34" s="633">
        <v>31</v>
      </c>
      <c r="B34" s="614" t="s">
        <v>285</v>
      </c>
      <c r="C34" t="s">
        <v>518</v>
      </c>
      <c r="D34" s="15">
        <f t="shared" si="180"/>
        <v>0</v>
      </c>
      <c r="E34" s="15">
        <f t="shared" si="181"/>
        <v>0</v>
      </c>
      <c r="F34" s="15">
        <f t="shared" si="182"/>
        <v>0</v>
      </c>
      <c r="G34" s="15">
        <f t="shared" si="183"/>
        <v>0</v>
      </c>
      <c r="H34" s="15">
        <f t="shared" si="184"/>
        <v>0</v>
      </c>
      <c r="I34" s="15">
        <f t="shared" si="185"/>
        <v>0</v>
      </c>
      <c r="J34" s="15">
        <f t="shared" si="186"/>
        <v>0</v>
      </c>
      <c r="K34" s="15">
        <f t="shared" si="187"/>
        <v>0</v>
      </c>
      <c r="L34" s="15">
        <f t="shared" si="188"/>
        <v>0</v>
      </c>
      <c r="M34" s="15">
        <f t="shared" si="189"/>
        <v>0</v>
      </c>
      <c r="N34" s="15">
        <f t="shared" si="190"/>
        <v>0</v>
      </c>
      <c r="O34" s="15">
        <f t="shared" si="191"/>
        <v>0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D34" s="646">
        <f t="shared" si="192"/>
        <v>0</v>
      </c>
      <c r="AE34" s="15">
        <f t="shared" si="193"/>
        <v>0</v>
      </c>
      <c r="AF34" s="15">
        <f t="shared" si="194"/>
        <v>0</v>
      </c>
      <c r="AG34" s="15">
        <f t="shared" si="195"/>
        <v>0</v>
      </c>
      <c r="AH34" s="15">
        <f t="shared" si="196"/>
        <v>0</v>
      </c>
      <c r="AI34" s="15">
        <f t="shared" si="197"/>
        <v>0</v>
      </c>
      <c r="AJ34" s="15">
        <f t="shared" si="198"/>
        <v>0</v>
      </c>
      <c r="AK34" s="15">
        <f t="shared" si="199"/>
        <v>0</v>
      </c>
      <c r="AL34" s="15">
        <f t="shared" si="200"/>
        <v>0</v>
      </c>
      <c r="AM34" s="15">
        <f t="shared" si="201"/>
        <v>0</v>
      </c>
      <c r="AN34" s="15">
        <f t="shared" si="202"/>
        <v>0</v>
      </c>
      <c r="AO34" s="647">
        <f t="shared" si="203"/>
        <v>0</v>
      </c>
      <c r="AQ34" s="15">
        <f>SUMIFS('BS-KH26-DTR'!D$2:D$116,'BS-KH26-DTR'!$B$2:$B$116,$A34)</f>
        <v>0</v>
      </c>
      <c r="AR34" s="15">
        <f>SUMIFS('BS-KH26-DTR'!E$2:E$116,'BS-KH26-DTR'!$B$2:$B$116,$A34)</f>
        <v>0</v>
      </c>
      <c r="AS34" s="15">
        <f>SUMIFS('BS-KH26-DTR'!F$2:F$116,'BS-KH26-DTR'!$B$2:$B$116,$A34)</f>
        <v>0</v>
      </c>
      <c r="AT34" s="15">
        <f>SUMIFS('BS-KH26-DTR'!G$2:G$116,'BS-KH26-DTR'!$B$2:$B$116,$A34)</f>
        <v>0</v>
      </c>
      <c r="AU34" s="15">
        <f>SUMIFS('BS-KH26-DTR'!H$2:H$116,'BS-KH26-DTR'!$B$2:$B$116,$A34)</f>
        <v>0</v>
      </c>
      <c r="AV34" s="15">
        <f>SUMIFS('BS-KH26-DTR'!I$2:I$116,'BS-KH26-DTR'!$B$2:$B$116,$A34)</f>
        <v>0</v>
      </c>
      <c r="AW34" s="15">
        <f>SUMIFS('BS-KH26-DTR'!J$2:J$116,'BS-KH26-DTR'!$B$2:$B$116,$A34)</f>
        <v>0</v>
      </c>
      <c r="AX34" s="15">
        <f>SUMIFS('BS-KH26-DTR'!K$2:K$116,'BS-KH26-DTR'!$B$2:$B$116,$A34)</f>
        <v>0</v>
      </c>
      <c r="AY34" s="15">
        <f>SUMIFS('BS-KH26-DTR'!L$2:L$116,'BS-KH26-DTR'!$B$2:$B$116,$A34)</f>
        <v>0</v>
      </c>
      <c r="AZ34" s="15">
        <f>SUMIFS('BS-KH26-DTR'!M$2:M$116,'BS-KH26-DTR'!$B$2:$B$116,$A34)</f>
        <v>0</v>
      </c>
      <c r="BA34" s="15">
        <f>SUMIFS('BS-KH26-DTR'!N$2:N$116,'BS-KH26-DTR'!$B$2:$B$116,$A34)</f>
        <v>0</v>
      </c>
      <c r="BB34" s="15">
        <f>SUMIFS('BS-KH26-DTR'!O$2:O$116,'BS-KH26-DTR'!$B$2:$B$116,$A34)</f>
        <v>0</v>
      </c>
      <c r="BD34" s="15">
        <f>SUMIFS('BS-KH26-DongLam'!M$2:M$51,'BS-KH26-DongLam'!$A$2:$A$51,'Consol BS-DTRG'!$A34)</f>
        <v>0</v>
      </c>
      <c r="BE34" s="15">
        <f>SUMIFS('BS-KH26-DongLam'!N$2:N$51,'BS-KH26-DongLam'!$A$2:$A$51,'Consol BS-DTRG'!$A34)</f>
        <v>0</v>
      </c>
      <c r="BF34" s="15">
        <f>SUMIFS('BS-KH26-DongLam'!O$2:O$51,'BS-KH26-DongLam'!$A$2:$A$51,'Consol BS-DTRG'!$A34)</f>
        <v>0</v>
      </c>
      <c r="BG34" s="15">
        <f>SUMIFS('BS-KH26-DongLam'!P$2:P$51,'BS-KH26-DongLam'!$A$2:$A$51,'Consol BS-DTRG'!$A34)</f>
        <v>0</v>
      </c>
      <c r="BH34" s="15">
        <f>SUMIFS('BS-KH26-DongLam'!Q$2:Q$51,'BS-KH26-DongLam'!$A$2:$A$51,'Consol BS-DTRG'!$A34)</f>
        <v>0</v>
      </c>
      <c r="BI34" s="15">
        <f>SUMIFS('BS-KH26-DongLam'!R$2:R$51,'BS-KH26-DongLam'!$A$2:$A$51,'Consol BS-DTRG'!$A34)</f>
        <v>0</v>
      </c>
      <c r="BJ34" s="15">
        <f>SUMIFS('BS-KH26-DongLam'!S$2:S$51,'BS-KH26-DongLam'!$A$2:$A$51,'Consol BS-DTRG'!$A34)</f>
        <v>0</v>
      </c>
      <c r="BK34" s="15">
        <f>SUMIFS('BS-KH26-DongLam'!T$2:T$51,'BS-KH26-DongLam'!$A$2:$A$51,'Consol BS-DTRG'!$A34)</f>
        <v>0</v>
      </c>
      <c r="BL34" s="15">
        <f>SUMIFS('BS-KH26-DongLam'!U$2:U$51,'BS-KH26-DongLam'!$A$2:$A$51,'Consol BS-DTRG'!$A34)</f>
        <v>0</v>
      </c>
      <c r="BM34" s="15">
        <f>SUMIFS('BS-KH26-DongLam'!V$2:V$51,'BS-KH26-DongLam'!$A$2:$A$51,'Consol BS-DTRG'!$A34)</f>
        <v>0</v>
      </c>
      <c r="BN34" s="15">
        <f>SUMIFS('BS-KH26-DongLam'!W$2:W$51,'BS-KH26-DongLam'!$A$2:$A$51,'Consol BS-DTRG'!$A34)</f>
        <v>0</v>
      </c>
      <c r="BO34" s="15">
        <f>SUMIFS('BS-KH26-DongLam'!X$2:X$51,'BS-KH26-DongLam'!$A$2:$A$51,'Consol BS-DTRG'!$A34)</f>
        <v>0</v>
      </c>
      <c r="BQ34" s="15">
        <f>SUMIFS('BS-KH26-KhanhNga'!M$2:M$51,'BS-KH26-KhanhNga'!$A$2:$A$51,'Consol BS-DTRG'!$A34)</f>
        <v>0</v>
      </c>
      <c r="BR34" s="15">
        <f>SUMIFS('BS-KH26-KhanhNga'!N$2:N$51,'BS-KH26-KhanhNga'!$A$2:$A$51,'Consol BS-DTRG'!$A34)</f>
        <v>0</v>
      </c>
      <c r="BS34" s="15">
        <f>SUMIFS('BS-KH26-KhanhNga'!O$2:O$51,'BS-KH26-KhanhNga'!$A$2:$A$51,'Consol BS-DTRG'!$A34)</f>
        <v>0</v>
      </c>
      <c r="BT34" s="15">
        <f>SUMIFS('BS-KH26-KhanhNga'!P$2:P$51,'BS-KH26-KhanhNga'!$A$2:$A$51,'Consol BS-DTRG'!$A34)</f>
        <v>0</v>
      </c>
      <c r="BU34" s="15">
        <f>SUMIFS('BS-KH26-KhanhNga'!Q$2:Q$51,'BS-KH26-KhanhNga'!$A$2:$A$51,'Consol BS-DTRG'!$A34)</f>
        <v>0</v>
      </c>
      <c r="BV34" s="15">
        <f>SUMIFS('BS-KH26-KhanhNga'!R$2:R$51,'BS-KH26-KhanhNga'!$A$2:$A$51,'Consol BS-DTRG'!$A34)</f>
        <v>0</v>
      </c>
      <c r="BW34" s="15">
        <f>SUMIFS('BS-KH26-KhanhNga'!S$2:S$51,'BS-KH26-KhanhNga'!$A$2:$A$51,'Consol BS-DTRG'!$A34)</f>
        <v>0</v>
      </c>
      <c r="BX34" s="15">
        <f>SUMIFS('BS-KH26-KhanhNga'!T$2:T$51,'BS-KH26-KhanhNga'!$A$2:$A$51,'Consol BS-DTRG'!$A34)</f>
        <v>0</v>
      </c>
      <c r="BY34" s="15">
        <f>SUMIFS('BS-KH26-KhanhNga'!U$2:U$51,'BS-KH26-KhanhNga'!$A$2:$A$51,'Consol BS-DTRG'!$A34)</f>
        <v>0</v>
      </c>
      <c r="BZ34" s="15">
        <f>SUMIFS('BS-KH26-KhanhNga'!V$2:V$51,'BS-KH26-KhanhNga'!$A$2:$A$51,'Consol BS-DTRG'!$A34)</f>
        <v>0</v>
      </c>
      <c r="CA34" s="15">
        <f>SUMIFS('BS-KH26-KhanhNga'!W$2:W$51,'BS-KH26-KhanhNga'!$A$2:$A$51,'Consol BS-DTRG'!$A34)</f>
        <v>0</v>
      </c>
      <c r="CB34" s="15">
        <f>SUMIFS('BS-KH26-KhanhNga'!X$2:X$51,'BS-KH26-KhanhNga'!$A$2:$A$51,'Consol BS-DTRG'!$A34)</f>
        <v>0</v>
      </c>
      <c r="CD34" s="15">
        <f>SUMIFS('BS-KH26-DaiLoc'!M$2:M$51,'BS-KH26-DaiLoc'!$A$2:$A$51,'Consol BS-DTRG'!$A34)</f>
        <v>0</v>
      </c>
      <c r="CE34" s="15">
        <f>SUMIFS('BS-KH26-DaiLoc'!N$2:N$51,'BS-KH26-DaiLoc'!$A$2:$A$51,'Consol BS-DTRG'!$A34)</f>
        <v>0</v>
      </c>
      <c r="CF34" s="15">
        <f>SUMIFS('BS-KH26-DaiLoc'!O$2:O$51,'BS-KH26-DaiLoc'!$A$2:$A$51,'Consol BS-DTRG'!$A34)</f>
        <v>0</v>
      </c>
      <c r="CG34" s="15">
        <f>SUMIFS('BS-KH26-DaiLoc'!P$2:P$51,'BS-KH26-DaiLoc'!$A$2:$A$51,'Consol BS-DTRG'!$A34)</f>
        <v>0</v>
      </c>
      <c r="CH34" s="15">
        <f>SUMIFS('BS-KH26-DaiLoc'!Q$2:Q$51,'BS-KH26-DaiLoc'!$A$2:$A$51,'Consol BS-DTRG'!$A34)</f>
        <v>0</v>
      </c>
      <c r="CI34" s="15">
        <f>SUMIFS('BS-KH26-DaiLoc'!R$2:R$51,'BS-KH26-DaiLoc'!$A$2:$A$51,'Consol BS-DTRG'!$A34)</f>
        <v>0</v>
      </c>
      <c r="CJ34" s="15">
        <f>SUMIFS('BS-KH26-DaiLoc'!S$2:S$51,'BS-KH26-DaiLoc'!$A$2:$A$51,'Consol BS-DTRG'!$A34)</f>
        <v>0</v>
      </c>
      <c r="CK34" s="15">
        <f>SUMIFS('BS-KH26-DaiLoc'!T$2:T$51,'BS-KH26-DaiLoc'!$A$2:$A$51,'Consol BS-DTRG'!$A34)</f>
        <v>0</v>
      </c>
      <c r="CL34" s="15">
        <f>SUMIFS('BS-KH26-DaiLoc'!U$2:U$51,'BS-KH26-DaiLoc'!$A$2:$A$51,'Consol BS-DTRG'!$A34)</f>
        <v>0</v>
      </c>
      <c r="CM34" s="15">
        <f>SUMIFS('BS-KH26-DaiLoc'!V$2:V$51,'BS-KH26-DaiLoc'!$A$2:$A$51,'Consol BS-DTRG'!$A34)</f>
        <v>0</v>
      </c>
      <c r="CN34" s="15">
        <f>SUMIFS('BS-KH26-DaiLoc'!W$2:W$51,'BS-KH26-DaiLoc'!$A$2:$A$51,'Consol BS-DTRG'!$A34)</f>
        <v>0</v>
      </c>
      <c r="CO34" s="15">
        <f>SUMIFS('BS-KH26-DaiLoc'!X$2:X$51,'BS-KH26-DaiLoc'!$A$2:$A$51,'Consol BS-DTRG'!$A34)</f>
        <v>0</v>
      </c>
      <c r="CQ34" s="15">
        <v>0</v>
      </c>
      <c r="CR34" s="15">
        <f t="shared" si="204"/>
        <v>0</v>
      </c>
      <c r="CS34" s="15">
        <f t="shared" si="204"/>
        <v>0</v>
      </c>
      <c r="CT34" s="15">
        <f t="shared" si="204"/>
        <v>0</v>
      </c>
      <c r="CU34" s="15">
        <f t="shared" si="204"/>
        <v>0</v>
      </c>
      <c r="CV34" s="15">
        <f t="shared" si="204"/>
        <v>0</v>
      </c>
      <c r="CW34" s="15">
        <f t="shared" si="204"/>
        <v>0</v>
      </c>
      <c r="CX34" s="15">
        <f t="shared" si="204"/>
        <v>0</v>
      </c>
      <c r="CY34" s="15">
        <f t="shared" si="204"/>
        <v>0</v>
      </c>
      <c r="CZ34" s="15">
        <f t="shared" si="204"/>
        <v>0</v>
      </c>
      <c r="DA34" s="15">
        <f t="shared" si="204"/>
        <v>0</v>
      </c>
      <c r="DB34" s="15">
        <f t="shared" si="204"/>
        <v>0</v>
      </c>
    </row>
    <row r="35" spans="1:106" hidden="1" outlineLevel="1">
      <c r="A35" s="633">
        <v>32</v>
      </c>
      <c r="B35" s="614" t="s">
        <v>286</v>
      </c>
      <c r="C35" t="s">
        <v>518</v>
      </c>
      <c r="D35" s="15">
        <f t="shared" si="180"/>
        <v>22354275568</v>
      </c>
      <c r="E35" s="15">
        <f t="shared" si="181"/>
        <v>22354275568</v>
      </c>
      <c r="F35" s="15">
        <f t="shared" si="182"/>
        <v>22354275568</v>
      </c>
      <c r="G35" s="15">
        <f t="shared" si="183"/>
        <v>22354275568</v>
      </c>
      <c r="H35" s="15">
        <f t="shared" si="184"/>
        <v>22354275568</v>
      </c>
      <c r="I35" s="15">
        <f t="shared" si="185"/>
        <v>22354275568</v>
      </c>
      <c r="J35" s="15">
        <f t="shared" si="186"/>
        <v>22354275568</v>
      </c>
      <c r="K35" s="15">
        <f t="shared" si="187"/>
        <v>22354275568</v>
      </c>
      <c r="L35" s="15">
        <f t="shared" si="188"/>
        <v>22354275568</v>
      </c>
      <c r="M35" s="15">
        <f t="shared" si="189"/>
        <v>22354275568</v>
      </c>
      <c r="N35" s="15">
        <f t="shared" si="190"/>
        <v>22354275568</v>
      </c>
      <c r="O35" s="15">
        <f t="shared" si="191"/>
        <v>22354275568</v>
      </c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D35" s="646">
        <f t="shared" si="192"/>
        <v>22354275568</v>
      </c>
      <c r="AE35" s="15">
        <f t="shared" si="193"/>
        <v>22354275568</v>
      </c>
      <c r="AF35" s="15">
        <f t="shared" si="194"/>
        <v>22354275568</v>
      </c>
      <c r="AG35" s="15">
        <f t="shared" si="195"/>
        <v>22354275568</v>
      </c>
      <c r="AH35" s="15">
        <f t="shared" si="196"/>
        <v>22354275568</v>
      </c>
      <c r="AI35" s="15">
        <f t="shared" si="197"/>
        <v>22354275568</v>
      </c>
      <c r="AJ35" s="15">
        <f t="shared" si="198"/>
        <v>22354275568</v>
      </c>
      <c r="AK35" s="15">
        <f t="shared" si="199"/>
        <v>22354275568</v>
      </c>
      <c r="AL35" s="15">
        <f t="shared" si="200"/>
        <v>22354275568</v>
      </c>
      <c r="AM35" s="15">
        <f t="shared" si="201"/>
        <v>22354275568</v>
      </c>
      <c r="AN35" s="15">
        <f t="shared" si="202"/>
        <v>22354275568</v>
      </c>
      <c r="AO35" s="647">
        <f t="shared" si="203"/>
        <v>22354275568</v>
      </c>
      <c r="AQ35" s="15">
        <f>SUMIFS('BS-KH26-DTR'!D$2:D$116,'BS-KH26-DTR'!$B$2:$B$116,$A35)</f>
        <v>19547112019</v>
      </c>
      <c r="AR35" s="15">
        <f>SUMIFS('BS-KH26-DTR'!E$2:E$116,'BS-KH26-DTR'!$B$2:$B$116,$A35)</f>
        <v>19547112019</v>
      </c>
      <c r="AS35" s="15">
        <f>SUMIFS('BS-KH26-DTR'!F$2:F$116,'BS-KH26-DTR'!$B$2:$B$116,$A35)</f>
        <v>19547112019</v>
      </c>
      <c r="AT35" s="15">
        <f>SUMIFS('BS-KH26-DTR'!G$2:G$116,'BS-KH26-DTR'!$B$2:$B$116,$A35)</f>
        <v>19547112019</v>
      </c>
      <c r="AU35" s="15">
        <f>SUMIFS('BS-KH26-DTR'!H$2:H$116,'BS-KH26-DTR'!$B$2:$B$116,$A35)</f>
        <v>19547112019</v>
      </c>
      <c r="AV35" s="15">
        <f>SUMIFS('BS-KH26-DTR'!I$2:I$116,'BS-KH26-DTR'!$B$2:$B$116,$A35)</f>
        <v>19547112019</v>
      </c>
      <c r="AW35" s="15">
        <f>SUMIFS('BS-KH26-DTR'!J$2:J$116,'BS-KH26-DTR'!$B$2:$B$116,$A35)</f>
        <v>19547112019</v>
      </c>
      <c r="AX35" s="15">
        <f>SUMIFS('BS-KH26-DTR'!K$2:K$116,'BS-KH26-DTR'!$B$2:$B$116,$A35)</f>
        <v>19547112019</v>
      </c>
      <c r="AY35" s="15">
        <f>SUMIFS('BS-KH26-DTR'!L$2:L$116,'BS-KH26-DTR'!$B$2:$B$116,$A35)</f>
        <v>19547112019</v>
      </c>
      <c r="AZ35" s="15">
        <f>SUMIFS('BS-KH26-DTR'!M$2:M$116,'BS-KH26-DTR'!$B$2:$B$116,$A35)</f>
        <v>19547112019</v>
      </c>
      <c r="BA35" s="15">
        <f>SUMIFS('BS-KH26-DTR'!N$2:N$116,'BS-KH26-DTR'!$B$2:$B$116,$A35)</f>
        <v>19547112019</v>
      </c>
      <c r="BB35" s="15">
        <f>SUMIFS('BS-KH26-DTR'!O$2:O$116,'BS-KH26-DTR'!$B$2:$B$116,$A35)</f>
        <v>19547112019</v>
      </c>
      <c r="BD35" s="15">
        <f>SUMIFS('BS-KH26-DongLam'!M$2:M$51,'BS-KH26-DongLam'!$A$2:$A$51,'Consol BS-DTRG'!$A35)</f>
        <v>223756327</v>
      </c>
      <c r="BE35" s="15">
        <f>SUMIFS('BS-KH26-DongLam'!N$2:N$51,'BS-KH26-DongLam'!$A$2:$A$51,'Consol BS-DTRG'!$A35)</f>
        <v>223756327</v>
      </c>
      <c r="BF35" s="15">
        <f>SUMIFS('BS-KH26-DongLam'!O$2:O$51,'BS-KH26-DongLam'!$A$2:$A$51,'Consol BS-DTRG'!$A35)</f>
        <v>223756327</v>
      </c>
      <c r="BG35" s="15">
        <f>SUMIFS('BS-KH26-DongLam'!P$2:P$51,'BS-KH26-DongLam'!$A$2:$A$51,'Consol BS-DTRG'!$A35)</f>
        <v>223756327</v>
      </c>
      <c r="BH35" s="15">
        <f>SUMIFS('BS-KH26-DongLam'!Q$2:Q$51,'BS-KH26-DongLam'!$A$2:$A$51,'Consol BS-DTRG'!$A35)</f>
        <v>223756327</v>
      </c>
      <c r="BI35" s="15">
        <f>SUMIFS('BS-KH26-DongLam'!R$2:R$51,'BS-KH26-DongLam'!$A$2:$A$51,'Consol BS-DTRG'!$A35)</f>
        <v>223756327</v>
      </c>
      <c r="BJ35" s="15">
        <f>SUMIFS('BS-KH26-DongLam'!S$2:S$51,'BS-KH26-DongLam'!$A$2:$A$51,'Consol BS-DTRG'!$A35)</f>
        <v>223756327</v>
      </c>
      <c r="BK35" s="15">
        <f>SUMIFS('BS-KH26-DongLam'!T$2:T$51,'BS-KH26-DongLam'!$A$2:$A$51,'Consol BS-DTRG'!$A35)</f>
        <v>223756327</v>
      </c>
      <c r="BL35" s="15">
        <f>SUMIFS('BS-KH26-DongLam'!U$2:U$51,'BS-KH26-DongLam'!$A$2:$A$51,'Consol BS-DTRG'!$A35)</f>
        <v>223756327</v>
      </c>
      <c r="BM35" s="15">
        <f>SUMIFS('BS-KH26-DongLam'!V$2:V$51,'BS-KH26-DongLam'!$A$2:$A$51,'Consol BS-DTRG'!$A35)</f>
        <v>223756327</v>
      </c>
      <c r="BN35" s="15">
        <f>SUMIFS('BS-KH26-DongLam'!W$2:W$51,'BS-KH26-DongLam'!$A$2:$A$51,'Consol BS-DTRG'!$A35)</f>
        <v>223756327</v>
      </c>
      <c r="BO35" s="15">
        <f>SUMIFS('BS-KH26-DongLam'!X$2:X$51,'BS-KH26-DongLam'!$A$2:$A$51,'Consol BS-DTRG'!$A35)</f>
        <v>223756327</v>
      </c>
      <c r="BQ35" s="15">
        <f>SUMIFS('BS-KH26-KhanhNga'!M$2:M$51,'BS-KH26-KhanhNga'!$A$2:$A$51,'Consol BS-DTRG'!$A35)</f>
        <v>1475506166</v>
      </c>
      <c r="BR35" s="15">
        <f>SUMIFS('BS-KH26-KhanhNga'!N$2:N$51,'BS-KH26-KhanhNga'!$A$2:$A$51,'Consol BS-DTRG'!$A35)</f>
        <v>1475506166</v>
      </c>
      <c r="BS35" s="15">
        <f>SUMIFS('BS-KH26-KhanhNga'!O$2:O$51,'BS-KH26-KhanhNga'!$A$2:$A$51,'Consol BS-DTRG'!$A35)</f>
        <v>1475506166</v>
      </c>
      <c r="BT35" s="15">
        <f>SUMIFS('BS-KH26-KhanhNga'!P$2:P$51,'BS-KH26-KhanhNga'!$A$2:$A$51,'Consol BS-DTRG'!$A35)</f>
        <v>1475506166</v>
      </c>
      <c r="BU35" s="15">
        <f>SUMIFS('BS-KH26-KhanhNga'!Q$2:Q$51,'BS-KH26-KhanhNga'!$A$2:$A$51,'Consol BS-DTRG'!$A35)</f>
        <v>1475506166</v>
      </c>
      <c r="BV35" s="15">
        <f>SUMIFS('BS-KH26-KhanhNga'!R$2:R$51,'BS-KH26-KhanhNga'!$A$2:$A$51,'Consol BS-DTRG'!$A35)</f>
        <v>1475506166</v>
      </c>
      <c r="BW35" s="15">
        <f>SUMIFS('BS-KH26-KhanhNga'!S$2:S$51,'BS-KH26-KhanhNga'!$A$2:$A$51,'Consol BS-DTRG'!$A35)</f>
        <v>1475506166</v>
      </c>
      <c r="BX35" s="15">
        <f>SUMIFS('BS-KH26-KhanhNga'!T$2:T$51,'BS-KH26-KhanhNga'!$A$2:$A$51,'Consol BS-DTRG'!$A35)</f>
        <v>1475506166</v>
      </c>
      <c r="BY35" s="15">
        <f>SUMIFS('BS-KH26-KhanhNga'!U$2:U$51,'BS-KH26-KhanhNga'!$A$2:$A$51,'Consol BS-DTRG'!$A35)</f>
        <v>1475506166</v>
      </c>
      <c r="BZ35" s="15">
        <f>SUMIFS('BS-KH26-KhanhNga'!V$2:V$51,'BS-KH26-KhanhNga'!$A$2:$A$51,'Consol BS-DTRG'!$A35)</f>
        <v>1475506166</v>
      </c>
      <c r="CA35" s="15">
        <f>SUMIFS('BS-KH26-KhanhNga'!W$2:W$51,'BS-KH26-KhanhNga'!$A$2:$A$51,'Consol BS-DTRG'!$A35)</f>
        <v>1475506166</v>
      </c>
      <c r="CB35" s="15">
        <f>SUMIFS('BS-KH26-KhanhNga'!X$2:X$51,'BS-KH26-KhanhNga'!$A$2:$A$51,'Consol BS-DTRG'!$A35)</f>
        <v>1475506166</v>
      </c>
      <c r="CD35" s="15">
        <f>SUMIFS('BS-KH26-DaiLoc'!M$2:M$51,'BS-KH26-DaiLoc'!$A$2:$A$51,'Consol BS-DTRG'!$A35)</f>
        <v>1107901056</v>
      </c>
      <c r="CE35" s="15">
        <f>SUMIFS('BS-KH26-DaiLoc'!N$2:N$51,'BS-KH26-DaiLoc'!$A$2:$A$51,'Consol BS-DTRG'!$A35)</f>
        <v>1107901056</v>
      </c>
      <c r="CF35" s="15">
        <f>SUMIFS('BS-KH26-DaiLoc'!O$2:O$51,'BS-KH26-DaiLoc'!$A$2:$A$51,'Consol BS-DTRG'!$A35)</f>
        <v>1107901056</v>
      </c>
      <c r="CG35" s="15">
        <f>SUMIFS('BS-KH26-DaiLoc'!P$2:P$51,'BS-KH26-DaiLoc'!$A$2:$A$51,'Consol BS-DTRG'!$A35)</f>
        <v>1107901056</v>
      </c>
      <c r="CH35" s="15">
        <f>SUMIFS('BS-KH26-DaiLoc'!Q$2:Q$51,'BS-KH26-DaiLoc'!$A$2:$A$51,'Consol BS-DTRG'!$A35)</f>
        <v>1107901056</v>
      </c>
      <c r="CI35" s="15">
        <f>SUMIFS('BS-KH26-DaiLoc'!R$2:R$51,'BS-KH26-DaiLoc'!$A$2:$A$51,'Consol BS-DTRG'!$A35)</f>
        <v>1107901056</v>
      </c>
      <c r="CJ35" s="15">
        <f>SUMIFS('BS-KH26-DaiLoc'!S$2:S$51,'BS-KH26-DaiLoc'!$A$2:$A$51,'Consol BS-DTRG'!$A35)</f>
        <v>1107901056</v>
      </c>
      <c r="CK35" s="15">
        <f>SUMIFS('BS-KH26-DaiLoc'!T$2:T$51,'BS-KH26-DaiLoc'!$A$2:$A$51,'Consol BS-DTRG'!$A35)</f>
        <v>1107901056</v>
      </c>
      <c r="CL35" s="15">
        <f>SUMIFS('BS-KH26-DaiLoc'!U$2:U$51,'BS-KH26-DaiLoc'!$A$2:$A$51,'Consol BS-DTRG'!$A35)</f>
        <v>1107901056</v>
      </c>
      <c r="CM35" s="15">
        <f>SUMIFS('BS-KH26-DaiLoc'!V$2:V$51,'BS-KH26-DaiLoc'!$A$2:$A$51,'Consol BS-DTRG'!$A35)</f>
        <v>1107901056</v>
      </c>
      <c r="CN35" s="15">
        <f>SUMIFS('BS-KH26-DaiLoc'!W$2:W$51,'BS-KH26-DaiLoc'!$A$2:$A$51,'Consol BS-DTRG'!$A35)</f>
        <v>1107901056</v>
      </c>
      <c r="CO35" s="15">
        <f>SUMIFS('BS-KH26-DaiLoc'!X$2:X$51,'BS-KH26-DaiLoc'!$A$2:$A$51,'Consol BS-DTRG'!$A35)</f>
        <v>1107901056</v>
      </c>
      <c r="CQ35" s="15">
        <v>0</v>
      </c>
      <c r="CR35" s="15">
        <f t="shared" si="204"/>
        <v>0</v>
      </c>
      <c r="CS35" s="15">
        <f t="shared" si="204"/>
        <v>0</v>
      </c>
      <c r="CT35" s="15">
        <f t="shared" si="204"/>
        <v>0</v>
      </c>
      <c r="CU35" s="15">
        <f t="shared" si="204"/>
        <v>0</v>
      </c>
      <c r="CV35" s="15">
        <f t="shared" si="204"/>
        <v>0</v>
      </c>
      <c r="CW35" s="15">
        <f t="shared" si="204"/>
        <v>0</v>
      </c>
      <c r="CX35" s="15">
        <f t="shared" si="204"/>
        <v>0</v>
      </c>
      <c r="CY35" s="15">
        <f t="shared" si="204"/>
        <v>0</v>
      </c>
      <c r="CZ35" s="15">
        <f t="shared" si="204"/>
        <v>0</v>
      </c>
      <c r="DA35" s="15">
        <f t="shared" si="204"/>
        <v>0</v>
      </c>
      <c r="DB35" s="15">
        <f t="shared" si="204"/>
        <v>0</v>
      </c>
    </row>
    <row r="36" spans="1:106" collapsed="1">
      <c r="A36" s="634">
        <v>33</v>
      </c>
      <c r="B36" s="616" t="s">
        <v>287</v>
      </c>
      <c r="D36" s="639">
        <f t="shared" ref="D36:O36" si="205">D37+D44+D54+D63+D66+D69+D76</f>
        <v>814643892888.76636</v>
      </c>
      <c r="E36" s="639">
        <f t="shared" si="205"/>
        <v>822876651917.6897</v>
      </c>
      <c r="F36" s="639">
        <f t="shared" si="205"/>
        <v>821744089065.19788</v>
      </c>
      <c r="G36" s="639">
        <f t="shared" si="205"/>
        <v>832163315275.20801</v>
      </c>
      <c r="H36" s="639">
        <f t="shared" si="205"/>
        <v>845723884429.21802</v>
      </c>
      <c r="I36" s="639">
        <f t="shared" si="205"/>
        <v>839005558445.22803</v>
      </c>
      <c r="J36" s="639">
        <f t="shared" si="205"/>
        <v>832287232461.23816</v>
      </c>
      <c r="K36" s="639">
        <f t="shared" si="205"/>
        <v>825568906477.24817</v>
      </c>
      <c r="L36" s="639">
        <f t="shared" si="205"/>
        <v>822696410493.25818</v>
      </c>
      <c r="M36" s="639">
        <f t="shared" si="205"/>
        <v>815947903965.15698</v>
      </c>
      <c r="N36" s="639">
        <f t="shared" si="205"/>
        <v>810672397437.05603</v>
      </c>
      <c r="O36" s="639">
        <f t="shared" si="205"/>
        <v>967903727019.95483</v>
      </c>
      <c r="Q36" s="639">
        <f t="shared" ref="Q36:AB36" si="206">Q37+Q44+Q54+Q63+Q66+Q69+Q76</f>
        <v>0</v>
      </c>
      <c r="R36" s="639">
        <f t="shared" si="206"/>
        <v>0</v>
      </c>
      <c r="S36" s="639">
        <f t="shared" si="206"/>
        <v>0</v>
      </c>
      <c r="T36" s="639">
        <f t="shared" si="206"/>
        <v>0</v>
      </c>
      <c r="U36" s="639">
        <f t="shared" si="206"/>
        <v>0</v>
      </c>
      <c r="V36" s="639">
        <f t="shared" si="206"/>
        <v>0</v>
      </c>
      <c r="W36" s="639">
        <f t="shared" si="206"/>
        <v>0</v>
      </c>
      <c r="X36" s="639">
        <f t="shared" si="206"/>
        <v>0</v>
      </c>
      <c r="Y36" s="639">
        <f t="shared" si="206"/>
        <v>0</v>
      </c>
      <c r="Z36" s="639">
        <f t="shared" si="206"/>
        <v>0</v>
      </c>
      <c r="AA36" s="639">
        <f t="shared" si="206"/>
        <v>0</v>
      </c>
      <c r="AB36" s="639">
        <f t="shared" si="206"/>
        <v>0</v>
      </c>
      <c r="AD36" s="642">
        <f t="shared" ref="AD36" si="207">AD37+AD44+AD54+AD63+AD66+AD69+AD76</f>
        <v>814643892888.76636</v>
      </c>
      <c r="AE36" s="639">
        <f t="shared" ref="AE36:AO36" si="208">AE37+AE44+AE54+AE63+AE66+AE69+AE76</f>
        <v>822876651917.6897</v>
      </c>
      <c r="AF36" s="639">
        <f t="shared" si="208"/>
        <v>821744089065.19788</v>
      </c>
      <c r="AG36" s="639">
        <f t="shared" si="208"/>
        <v>832163315275.20801</v>
      </c>
      <c r="AH36" s="639">
        <f t="shared" si="208"/>
        <v>845723884429.21802</v>
      </c>
      <c r="AI36" s="639">
        <f t="shared" si="208"/>
        <v>839005558445.22803</v>
      </c>
      <c r="AJ36" s="639">
        <f t="shared" si="208"/>
        <v>832287232461.23816</v>
      </c>
      <c r="AK36" s="639">
        <f t="shared" si="208"/>
        <v>825568906477.24817</v>
      </c>
      <c r="AL36" s="639">
        <f t="shared" si="208"/>
        <v>822696410493.25818</v>
      </c>
      <c r="AM36" s="639">
        <f t="shared" si="208"/>
        <v>815947903965.15698</v>
      </c>
      <c r="AN36" s="639">
        <f t="shared" si="208"/>
        <v>810672397437.05603</v>
      </c>
      <c r="AO36" s="643">
        <f t="shared" si="208"/>
        <v>967903727019.95483</v>
      </c>
      <c r="AQ36" s="639">
        <f t="shared" ref="AQ36:BB36" si="209">AQ37+AQ44+AQ54+AQ63+AQ66+AQ69+AQ76</f>
        <v>760596933271.8866</v>
      </c>
      <c r="AR36" s="639">
        <f t="shared" si="209"/>
        <v>768481316696.16577</v>
      </c>
      <c r="AS36" s="639">
        <f t="shared" si="209"/>
        <v>767758015463.24487</v>
      </c>
      <c r="AT36" s="639">
        <f t="shared" si="209"/>
        <v>777603497952.32397</v>
      </c>
      <c r="AU36" s="639">
        <f t="shared" si="209"/>
        <v>791914323385.4032</v>
      </c>
      <c r="AV36" s="639">
        <f t="shared" si="209"/>
        <v>785946253680.48242</v>
      </c>
      <c r="AW36" s="639">
        <f t="shared" si="209"/>
        <v>779978183975.56165</v>
      </c>
      <c r="AX36" s="639">
        <f t="shared" si="209"/>
        <v>774010114270.64087</v>
      </c>
      <c r="AY36" s="639">
        <f t="shared" si="209"/>
        <v>771887874565.72009</v>
      </c>
      <c r="AZ36" s="639">
        <f t="shared" si="209"/>
        <v>765906985427.79907</v>
      </c>
      <c r="BA36" s="639">
        <f t="shared" si="209"/>
        <v>761399096289.87842</v>
      </c>
      <c r="BB36" s="639">
        <f t="shared" si="209"/>
        <v>919391932151.95752</v>
      </c>
      <c r="BD36" s="639">
        <f t="shared" ref="BD36:BO36" si="210">BD37+BD44+BD54+BD63+BD66+BD69+BD76</f>
        <v>23858569760.283333</v>
      </c>
      <c r="BE36" s="639">
        <f t="shared" si="210"/>
        <v>24691805816.788887</v>
      </c>
      <c r="BF36" s="639">
        <f t="shared" si="210"/>
        <v>24772875206.627777</v>
      </c>
      <c r="BG36" s="639">
        <f t="shared" si="210"/>
        <v>25838958485.355553</v>
      </c>
      <c r="BH36" s="639">
        <f t="shared" si="210"/>
        <v>25581041764.083332</v>
      </c>
      <c r="BI36" s="639">
        <f t="shared" si="210"/>
        <v>25323125042.811111</v>
      </c>
      <c r="BJ36" s="639">
        <f t="shared" si="210"/>
        <v>25065208321.538887</v>
      </c>
      <c r="BK36" s="639">
        <f t="shared" si="210"/>
        <v>24807291600.266663</v>
      </c>
      <c r="BL36" s="639">
        <f t="shared" si="210"/>
        <v>24549374878.994442</v>
      </c>
      <c r="BM36" s="639">
        <f t="shared" si="210"/>
        <v>24291458157.722221</v>
      </c>
      <c r="BN36" s="639">
        <f t="shared" si="210"/>
        <v>24033541436.449997</v>
      </c>
      <c r="BO36" s="639">
        <f t="shared" si="210"/>
        <v>23781735826.177773</v>
      </c>
      <c r="BQ36" s="639">
        <f t="shared" ref="BQ36:CB36" si="211">BQ37+BQ44+BQ54+BQ63+BQ66+BQ69+BQ76</f>
        <v>8611850287.3513184</v>
      </c>
      <c r="BR36" s="639">
        <f t="shared" si="211"/>
        <v>8507117913.7702255</v>
      </c>
      <c r="BS36" s="639">
        <f t="shared" si="211"/>
        <v>8394351346.6407452</v>
      </c>
      <c r="BT36" s="639">
        <f t="shared" si="211"/>
        <v>8279576231.1241684</v>
      </c>
      <c r="BU36" s="639">
        <f t="shared" si="211"/>
        <v>8164801115.6075907</v>
      </c>
      <c r="BV36" s="639">
        <f t="shared" si="211"/>
        <v>8050026000.0910139</v>
      </c>
      <c r="BW36" s="639">
        <f t="shared" si="211"/>
        <v>7935250884.5744371</v>
      </c>
      <c r="BX36" s="639">
        <f t="shared" si="211"/>
        <v>7820475769.0578594</v>
      </c>
      <c r="BY36" s="639">
        <f t="shared" si="211"/>
        <v>7705700653.5412827</v>
      </c>
      <c r="BZ36" s="639">
        <f t="shared" si="211"/>
        <v>7590925538.0247059</v>
      </c>
      <c r="CA36" s="639">
        <f t="shared" si="211"/>
        <v>7476150422.5081282</v>
      </c>
      <c r="CB36" s="639">
        <f t="shared" si="211"/>
        <v>7361375306.9915514</v>
      </c>
      <c r="CD36" s="639">
        <f t="shared" ref="CD36:CO36" si="212">CD37+CD44+CD54+CD63+CD66+CD69+CD76</f>
        <v>21563196707.245266</v>
      </c>
      <c r="CE36" s="639">
        <f t="shared" si="212"/>
        <v>21183068628.964912</v>
      </c>
      <c r="CF36" s="639">
        <f t="shared" si="212"/>
        <v>20805504186.684559</v>
      </c>
      <c r="CG36" s="639">
        <f t="shared" si="212"/>
        <v>20427939744.404205</v>
      </c>
      <c r="CH36" s="639">
        <f t="shared" si="212"/>
        <v>20050375302.123852</v>
      </c>
      <c r="CI36" s="639">
        <f t="shared" si="212"/>
        <v>19672810859.843498</v>
      </c>
      <c r="CJ36" s="639">
        <f t="shared" si="212"/>
        <v>19295246417.563145</v>
      </c>
      <c r="CK36" s="639">
        <f t="shared" si="212"/>
        <v>18917681975.282787</v>
      </c>
      <c r="CL36" s="639">
        <f t="shared" si="212"/>
        <v>18540117533.00243</v>
      </c>
      <c r="CM36" s="639">
        <f t="shared" si="212"/>
        <v>18145191979.610962</v>
      </c>
      <c r="CN36" s="639">
        <f t="shared" si="212"/>
        <v>17750266426.219494</v>
      </c>
      <c r="CO36" s="639">
        <f t="shared" si="212"/>
        <v>17355340872.828026</v>
      </c>
      <c r="CQ36" s="639">
        <f t="shared" ref="CQ36:DB36" si="213">CQ37+CQ44+CQ54+CQ63+CQ66+CQ69+CQ76</f>
        <v>13342862</v>
      </c>
      <c r="CR36" s="639">
        <f t="shared" si="213"/>
        <v>13342862</v>
      </c>
      <c r="CS36" s="639">
        <f t="shared" si="213"/>
        <v>13342862</v>
      </c>
      <c r="CT36" s="639">
        <f t="shared" si="213"/>
        <v>13342862</v>
      </c>
      <c r="CU36" s="639">
        <f t="shared" si="213"/>
        <v>13342862</v>
      </c>
      <c r="CV36" s="639">
        <f t="shared" si="213"/>
        <v>13342862</v>
      </c>
      <c r="CW36" s="639">
        <f t="shared" si="213"/>
        <v>13342862</v>
      </c>
      <c r="CX36" s="639">
        <f t="shared" si="213"/>
        <v>13342862</v>
      </c>
      <c r="CY36" s="639">
        <f t="shared" si="213"/>
        <v>13342862</v>
      </c>
      <c r="CZ36" s="639">
        <f t="shared" si="213"/>
        <v>13342862</v>
      </c>
      <c r="DA36" s="639">
        <f t="shared" si="213"/>
        <v>13342862</v>
      </c>
      <c r="DB36" s="639">
        <f t="shared" si="213"/>
        <v>13342862</v>
      </c>
    </row>
    <row r="37" spans="1:106">
      <c r="A37" s="1">
        <v>34</v>
      </c>
      <c r="B37" s="611" t="s">
        <v>288</v>
      </c>
      <c r="D37" s="14">
        <f t="shared" ref="D37:O37" si="214">SUM(D38:D43)</f>
        <v>5600000000</v>
      </c>
      <c r="E37" s="14">
        <f t="shared" si="214"/>
        <v>5600000000</v>
      </c>
      <c r="F37" s="14">
        <f t="shared" si="214"/>
        <v>5600000000</v>
      </c>
      <c r="G37" s="14">
        <f t="shared" si="214"/>
        <v>5600000000</v>
      </c>
      <c r="H37" s="14">
        <f t="shared" si="214"/>
        <v>5600000000</v>
      </c>
      <c r="I37" s="14">
        <f t="shared" si="214"/>
        <v>5600000000</v>
      </c>
      <c r="J37" s="14">
        <f t="shared" si="214"/>
        <v>5600000000</v>
      </c>
      <c r="K37" s="14">
        <f t="shared" si="214"/>
        <v>5600000000</v>
      </c>
      <c r="L37" s="14">
        <f t="shared" si="214"/>
        <v>5600000000</v>
      </c>
      <c r="M37" s="14">
        <f t="shared" si="214"/>
        <v>5600000000</v>
      </c>
      <c r="N37" s="14">
        <f t="shared" si="214"/>
        <v>5600000000</v>
      </c>
      <c r="O37" s="14">
        <f t="shared" si="214"/>
        <v>5600000000</v>
      </c>
      <c r="Q37" s="14">
        <f t="shared" ref="Q37:AB37" si="215">SUM(Q38:Q43)</f>
        <v>0</v>
      </c>
      <c r="R37" s="14">
        <f t="shared" si="215"/>
        <v>0</v>
      </c>
      <c r="S37" s="14">
        <f t="shared" si="215"/>
        <v>0</v>
      </c>
      <c r="T37" s="14">
        <f t="shared" si="215"/>
        <v>0</v>
      </c>
      <c r="U37" s="14">
        <f t="shared" si="215"/>
        <v>0</v>
      </c>
      <c r="V37" s="14">
        <f t="shared" si="215"/>
        <v>0</v>
      </c>
      <c r="W37" s="14">
        <f t="shared" si="215"/>
        <v>0</v>
      </c>
      <c r="X37" s="14">
        <f t="shared" si="215"/>
        <v>0</v>
      </c>
      <c r="Y37" s="14">
        <f t="shared" si="215"/>
        <v>0</v>
      </c>
      <c r="Z37" s="14">
        <f t="shared" si="215"/>
        <v>0</v>
      </c>
      <c r="AA37" s="14">
        <f t="shared" si="215"/>
        <v>0</v>
      </c>
      <c r="AB37" s="14">
        <f t="shared" si="215"/>
        <v>0</v>
      </c>
      <c r="AD37" s="644">
        <f t="shared" ref="AD37" si="216">SUM(AD38:AD43)</f>
        <v>5600000000</v>
      </c>
      <c r="AE37" s="14">
        <f t="shared" ref="AE37:AO37" si="217">SUM(AE38:AE43)</f>
        <v>5600000000</v>
      </c>
      <c r="AF37" s="14">
        <f t="shared" si="217"/>
        <v>5600000000</v>
      </c>
      <c r="AG37" s="14">
        <f t="shared" si="217"/>
        <v>5600000000</v>
      </c>
      <c r="AH37" s="14">
        <f t="shared" si="217"/>
        <v>5600000000</v>
      </c>
      <c r="AI37" s="14">
        <f t="shared" si="217"/>
        <v>5600000000</v>
      </c>
      <c r="AJ37" s="14">
        <f t="shared" si="217"/>
        <v>5600000000</v>
      </c>
      <c r="AK37" s="14">
        <f t="shared" si="217"/>
        <v>5600000000</v>
      </c>
      <c r="AL37" s="14">
        <f t="shared" si="217"/>
        <v>5600000000</v>
      </c>
      <c r="AM37" s="14">
        <f t="shared" si="217"/>
        <v>5600000000</v>
      </c>
      <c r="AN37" s="14">
        <f t="shared" si="217"/>
        <v>5600000000</v>
      </c>
      <c r="AO37" s="645">
        <f t="shared" si="217"/>
        <v>5600000000</v>
      </c>
      <c r="AQ37" s="14">
        <f t="shared" ref="AQ37:BB37" si="218">SUM(AQ38:AQ43)</f>
        <v>5600000000</v>
      </c>
      <c r="AR37" s="14">
        <f t="shared" si="218"/>
        <v>5600000000</v>
      </c>
      <c r="AS37" s="14">
        <f t="shared" si="218"/>
        <v>5600000000</v>
      </c>
      <c r="AT37" s="14">
        <f t="shared" si="218"/>
        <v>5600000000</v>
      </c>
      <c r="AU37" s="14">
        <f t="shared" si="218"/>
        <v>5600000000</v>
      </c>
      <c r="AV37" s="14">
        <f t="shared" si="218"/>
        <v>5600000000</v>
      </c>
      <c r="AW37" s="14">
        <f t="shared" si="218"/>
        <v>5600000000</v>
      </c>
      <c r="AX37" s="14">
        <f t="shared" si="218"/>
        <v>5600000000</v>
      </c>
      <c r="AY37" s="14">
        <f t="shared" si="218"/>
        <v>5600000000</v>
      </c>
      <c r="AZ37" s="14">
        <f t="shared" si="218"/>
        <v>5600000000</v>
      </c>
      <c r="BA37" s="14">
        <f t="shared" si="218"/>
        <v>5600000000</v>
      </c>
      <c r="BB37" s="14">
        <f t="shared" si="218"/>
        <v>5600000000</v>
      </c>
      <c r="BD37" s="14">
        <f t="shared" ref="BD37:BO37" si="219">SUM(BD38:BD43)</f>
        <v>0</v>
      </c>
      <c r="BE37" s="14">
        <f t="shared" si="219"/>
        <v>0</v>
      </c>
      <c r="BF37" s="14">
        <f t="shared" si="219"/>
        <v>0</v>
      </c>
      <c r="BG37" s="14">
        <f t="shared" si="219"/>
        <v>0</v>
      </c>
      <c r="BH37" s="14">
        <f t="shared" si="219"/>
        <v>0</v>
      </c>
      <c r="BI37" s="14">
        <f t="shared" si="219"/>
        <v>0</v>
      </c>
      <c r="BJ37" s="14">
        <f t="shared" si="219"/>
        <v>0</v>
      </c>
      <c r="BK37" s="14">
        <f t="shared" si="219"/>
        <v>0</v>
      </c>
      <c r="BL37" s="14">
        <f t="shared" si="219"/>
        <v>0</v>
      </c>
      <c r="BM37" s="14">
        <f t="shared" si="219"/>
        <v>0</v>
      </c>
      <c r="BN37" s="14">
        <f t="shared" si="219"/>
        <v>0</v>
      </c>
      <c r="BO37" s="14">
        <f t="shared" si="219"/>
        <v>0</v>
      </c>
      <c r="BQ37" s="14">
        <f t="shared" ref="BQ37:CB37" si="220">SUM(BQ38:BQ43)</f>
        <v>0</v>
      </c>
      <c r="BR37" s="14">
        <f t="shared" si="220"/>
        <v>0</v>
      </c>
      <c r="BS37" s="14">
        <f t="shared" si="220"/>
        <v>0</v>
      </c>
      <c r="BT37" s="14">
        <f t="shared" si="220"/>
        <v>0</v>
      </c>
      <c r="BU37" s="14">
        <f t="shared" si="220"/>
        <v>0</v>
      </c>
      <c r="BV37" s="14">
        <f t="shared" si="220"/>
        <v>0</v>
      </c>
      <c r="BW37" s="14">
        <f t="shared" si="220"/>
        <v>0</v>
      </c>
      <c r="BX37" s="14">
        <f t="shared" si="220"/>
        <v>0</v>
      </c>
      <c r="BY37" s="14">
        <f t="shared" si="220"/>
        <v>0</v>
      </c>
      <c r="BZ37" s="14">
        <f t="shared" si="220"/>
        <v>0</v>
      </c>
      <c r="CA37" s="14">
        <f t="shared" si="220"/>
        <v>0</v>
      </c>
      <c r="CB37" s="14">
        <f t="shared" si="220"/>
        <v>0</v>
      </c>
      <c r="CD37" s="14">
        <f t="shared" ref="CD37:CO37" si="221">SUM(CD38:CD43)</f>
        <v>0</v>
      </c>
      <c r="CE37" s="14">
        <f t="shared" si="221"/>
        <v>0</v>
      </c>
      <c r="CF37" s="14">
        <f t="shared" si="221"/>
        <v>0</v>
      </c>
      <c r="CG37" s="14">
        <f t="shared" si="221"/>
        <v>0</v>
      </c>
      <c r="CH37" s="14">
        <f t="shared" si="221"/>
        <v>0</v>
      </c>
      <c r="CI37" s="14">
        <f t="shared" si="221"/>
        <v>0</v>
      </c>
      <c r="CJ37" s="14">
        <f t="shared" si="221"/>
        <v>0</v>
      </c>
      <c r="CK37" s="14">
        <f t="shared" si="221"/>
        <v>0</v>
      </c>
      <c r="CL37" s="14">
        <f t="shared" si="221"/>
        <v>0</v>
      </c>
      <c r="CM37" s="14">
        <f t="shared" si="221"/>
        <v>0</v>
      </c>
      <c r="CN37" s="14">
        <f t="shared" si="221"/>
        <v>0</v>
      </c>
      <c r="CO37" s="14">
        <f t="shared" si="221"/>
        <v>0</v>
      </c>
      <c r="CQ37" s="14">
        <f t="shared" ref="CQ37:DB37" si="222">SUM(CQ38:CQ43)</f>
        <v>0</v>
      </c>
      <c r="CR37" s="14">
        <f t="shared" si="222"/>
        <v>0</v>
      </c>
      <c r="CS37" s="14">
        <f t="shared" si="222"/>
        <v>0</v>
      </c>
      <c r="CT37" s="14">
        <f t="shared" si="222"/>
        <v>0</v>
      </c>
      <c r="CU37" s="14">
        <f t="shared" si="222"/>
        <v>0</v>
      </c>
      <c r="CV37" s="14">
        <f t="shared" si="222"/>
        <v>0</v>
      </c>
      <c r="CW37" s="14">
        <f t="shared" si="222"/>
        <v>0</v>
      </c>
      <c r="CX37" s="14">
        <f t="shared" si="222"/>
        <v>0</v>
      </c>
      <c r="CY37" s="14">
        <f t="shared" si="222"/>
        <v>0</v>
      </c>
      <c r="CZ37" s="14">
        <f t="shared" si="222"/>
        <v>0</v>
      </c>
      <c r="DA37" s="14">
        <f t="shared" si="222"/>
        <v>0</v>
      </c>
      <c r="DB37" s="14">
        <f t="shared" si="222"/>
        <v>0</v>
      </c>
    </row>
    <row r="38" spans="1:106" hidden="1" outlineLevel="1">
      <c r="A38" s="633">
        <v>35</v>
      </c>
      <c r="B38" s="612" t="s">
        <v>289</v>
      </c>
      <c r="C38" t="s">
        <v>518</v>
      </c>
      <c r="D38" s="15">
        <f t="shared" ref="D38:D43" si="223">AD38+Q38</f>
        <v>0</v>
      </c>
      <c r="E38" s="15">
        <f t="shared" ref="E38:E43" si="224">AE38+R38</f>
        <v>0</v>
      </c>
      <c r="F38" s="15">
        <f t="shared" ref="F38:F43" si="225">AF38+S38</f>
        <v>0</v>
      </c>
      <c r="G38" s="15">
        <f t="shared" ref="G38:G43" si="226">AG38+T38</f>
        <v>0</v>
      </c>
      <c r="H38" s="15">
        <f t="shared" ref="H38:H43" si="227">AH38+U38</f>
        <v>0</v>
      </c>
      <c r="I38" s="15">
        <f t="shared" ref="I38:I43" si="228">AI38+V38</f>
        <v>0</v>
      </c>
      <c r="J38" s="15">
        <f t="shared" ref="J38:J43" si="229">AJ38+W38</f>
        <v>0</v>
      </c>
      <c r="K38" s="15">
        <f t="shared" ref="K38:K43" si="230">AK38+X38</f>
        <v>0</v>
      </c>
      <c r="L38" s="15">
        <f t="shared" ref="L38:L43" si="231">AL38+Y38</f>
        <v>0</v>
      </c>
      <c r="M38" s="15">
        <f t="shared" ref="M38:M43" si="232">AM38+Z38</f>
        <v>0</v>
      </c>
      <c r="N38" s="15">
        <f t="shared" ref="N38:N43" si="233">AN38+AA38</f>
        <v>0</v>
      </c>
      <c r="O38" s="15">
        <f t="shared" ref="O38:O43" si="234">AO38+AB38</f>
        <v>0</v>
      </c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D38" s="646">
        <f t="shared" ref="AD38:AD43" si="235">AQ38+BD38+BQ38+CD38+CQ38</f>
        <v>0</v>
      </c>
      <c r="AE38" s="15">
        <f t="shared" ref="AE38:AE43" si="236">AR38+BE38+BR38+CE38+CR38</f>
        <v>0</v>
      </c>
      <c r="AF38" s="15">
        <f t="shared" ref="AF38:AF43" si="237">AS38+BF38+BS38+CF38+CS38</f>
        <v>0</v>
      </c>
      <c r="AG38" s="15">
        <f t="shared" ref="AG38:AG43" si="238">AT38+BG38+BT38+CG38+CT38</f>
        <v>0</v>
      </c>
      <c r="AH38" s="15">
        <f t="shared" ref="AH38:AH43" si="239">AU38+BH38+BU38+CH38+CU38</f>
        <v>0</v>
      </c>
      <c r="AI38" s="15">
        <f t="shared" ref="AI38:AI43" si="240">AV38+BI38+BV38+CI38+CV38</f>
        <v>0</v>
      </c>
      <c r="AJ38" s="15">
        <f t="shared" ref="AJ38:AJ43" si="241">AW38+BJ38+BW38+CJ38+CW38</f>
        <v>0</v>
      </c>
      <c r="AK38" s="15">
        <f t="shared" ref="AK38:AK43" si="242">AX38+BK38+BX38+CK38+CX38</f>
        <v>0</v>
      </c>
      <c r="AL38" s="15">
        <f t="shared" ref="AL38:AL43" si="243">AY38+BL38+BY38+CL38+CY38</f>
        <v>0</v>
      </c>
      <c r="AM38" s="15">
        <f t="shared" ref="AM38:AM43" si="244">AZ38+BM38+BZ38+CM38+CZ38</f>
        <v>0</v>
      </c>
      <c r="AN38" s="15">
        <f t="shared" ref="AN38:AN43" si="245">BA38+BN38+CA38+CN38+DA38</f>
        <v>0</v>
      </c>
      <c r="AO38" s="647">
        <f t="shared" ref="AO38:AO43" si="246">BB38+BO38+CB38+CO38+DB38</f>
        <v>0</v>
      </c>
      <c r="AQ38" s="15">
        <f>SUMIFS('BS-KH26-DTR'!D$2:D$116,'BS-KH26-DTR'!$B$2:$B$116,$A38)</f>
        <v>0</v>
      </c>
      <c r="AR38" s="15">
        <f>SUMIFS('BS-KH26-DTR'!E$2:E$116,'BS-KH26-DTR'!$B$2:$B$116,$A38)</f>
        <v>0</v>
      </c>
      <c r="AS38" s="15">
        <f>SUMIFS('BS-KH26-DTR'!F$2:F$116,'BS-KH26-DTR'!$B$2:$B$116,$A38)</f>
        <v>0</v>
      </c>
      <c r="AT38" s="15">
        <f>SUMIFS('BS-KH26-DTR'!G$2:G$116,'BS-KH26-DTR'!$B$2:$B$116,$A38)</f>
        <v>0</v>
      </c>
      <c r="AU38" s="15">
        <f>SUMIFS('BS-KH26-DTR'!H$2:H$116,'BS-KH26-DTR'!$B$2:$B$116,$A38)</f>
        <v>0</v>
      </c>
      <c r="AV38" s="15">
        <f>SUMIFS('BS-KH26-DTR'!I$2:I$116,'BS-KH26-DTR'!$B$2:$B$116,$A38)</f>
        <v>0</v>
      </c>
      <c r="AW38" s="15">
        <f>SUMIFS('BS-KH26-DTR'!J$2:J$116,'BS-KH26-DTR'!$B$2:$B$116,$A38)</f>
        <v>0</v>
      </c>
      <c r="AX38" s="15">
        <f>SUMIFS('BS-KH26-DTR'!K$2:K$116,'BS-KH26-DTR'!$B$2:$B$116,$A38)</f>
        <v>0</v>
      </c>
      <c r="AY38" s="15">
        <f>SUMIFS('BS-KH26-DTR'!L$2:L$116,'BS-KH26-DTR'!$B$2:$B$116,$A38)</f>
        <v>0</v>
      </c>
      <c r="AZ38" s="15">
        <f>SUMIFS('BS-KH26-DTR'!M$2:M$116,'BS-KH26-DTR'!$B$2:$B$116,$A38)</f>
        <v>0</v>
      </c>
      <c r="BA38" s="15">
        <f>SUMIFS('BS-KH26-DTR'!N$2:N$116,'BS-KH26-DTR'!$B$2:$B$116,$A38)</f>
        <v>0</v>
      </c>
      <c r="BB38" s="15">
        <f>SUMIFS('BS-KH26-DTR'!O$2:O$116,'BS-KH26-DTR'!$B$2:$B$116,$A38)</f>
        <v>0</v>
      </c>
      <c r="BD38" s="15">
        <f>SUMIFS('BS-KH26-DongLam'!M$2:M$51,'BS-KH26-DongLam'!$A$2:$A$51,'Consol BS-DTRG'!$A38)</f>
        <v>0</v>
      </c>
      <c r="BE38" s="15">
        <f>SUMIFS('BS-KH26-DongLam'!N$2:N$51,'BS-KH26-DongLam'!$A$2:$A$51,'Consol BS-DTRG'!$A38)</f>
        <v>0</v>
      </c>
      <c r="BF38" s="15">
        <f>SUMIFS('BS-KH26-DongLam'!O$2:O$51,'BS-KH26-DongLam'!$A$2:$A$51,'Consol BS-DTRG'!$A38)</f>
        <v>0</v>
      </c>
      <c r="BG38" s="15">
        <f>SUMIFS('BS-KH26-DongLam'!P$2:P$51,'BS-KH26-DongLam'!$A$2:$A$51,'Consol BS-DTRG'!$A38)</f>
        <v>0</v>
      </c>
      <c r="BH38" s="15">
        <f>SUMIFS('BS-KH26-DongLam'!Q$2:Q$51,'BS-KH26-DongLam'!$A$2:$A$51,'Consol BS-DTRG'!$A38)</f>
        <v>0</v>
      </c>
      <c r="BI38" s="15">
        <f>SUMIFS('BS-KH26-DongLam'!R$2:R$51,'BS-KH26-DongLam'!$A$2:$A$51,'Consol BS-DTRG'!$A38)</f>
        <v>0</v>
      </c>
      <c r="BJ38" s="15">
        <f>SUMIFS('BS-KH26-DongLam'!S$2:S$51,'BS-KH26-DongLam'!$A$2:$A$51,'Consol BS-DTRG'!$A38)</f>
        <v>0</v>
      </c>
      <c r="BK38" s="15">
        <f>SUMIFS('BS-KH26-DongLam'!T$2:T$51,'BS-KH26-DongLam'!$A$2:$A$51,'Consol BS-DTRG'!$A38)</f>
        <v>0</v>
      </c>
      <c r="BL38" s="15">
        <f>SUMIFS('BS-KH26-DongLam'!U$2:U$51,'BS-KH26-DongLam'!$A$2:$A$51,'Consol BS-DTRG'!$A38)</f>
        <v>0</v>
      </c>
      <c r="BM38" s="15">
        <f>SUMIFS('BS-KH26-DongLam'!V$2:V$51,'BS-KH26-DongLam'!$A$2:$A$51,'Consol BS-DTRG'!$A38)</f>
        <v>0</v>
      </c>
      <c r="BN38" s="15">
        <f>SUMIFS('BS-KH26-DongLam'!W$2:W$51,'BS-KH26-DongLam'!$A$2:$A$51,'Consol BS-DTRG'!$A38)</f>
        <v>0</v>
      </c>
      <c r="BO38" s="15">
        <f>SUMIFS('BS-KH26-DongLam'!X$2:X$51,'BS-KH26-DongLam'!$A$2:$A$51,'Consol BS-DTRG'!$A38)</f>
        <v>0</v>
      </c>
      <c r="BQ38" s="15">
        <f>SUMIFS('BS-KH26-KhanhNga'!M$2:M$51,'BS-KH26-KhanhNga'!$A$2:$A$51,'Consol BS-DTRG'!$A38)</f>
        <v>0</v>
      </c>
      <c r="BR38" s="15">
        <f>SUMIFS('BS-KH26-KhanhNga'!N$2:N$51,'BS-KH26-KhanhNga'!$A$2:$A$51,'Consol BS-DTRG'!$A38)</f>
        <v>0</v>
      </c>
      <c r="BS38" s="15">
        <f>SUMIFS('BS-KH26-KhanhNga'!O$2:O$51,'BS-KH26-KhanhNga'!$A$2:$A$51,'Consol BS-DTRG'!$A38)</f>
        <v>0</v>
      </c>
      <c r="BT38" s="15">
        <f>SUMIFS('BS-KH26-KhanhNga'!P$2:P$51,'BS-KH26-KhanhNga'!$A$2:$A$51,'Consol BS-DTRG'!$A38)</f>
        <v>0</v>
      </c>
      <c r="BU38" s="15">
        <f>SUMIFS('BS-KH26-KhanhNga'!Q$2:Q$51,'BS-KH26-KhanhNga'!$A$2:$A$51,'Consol BS-DTRG'!$A38)</f>
        <v>0</v>
      </c>
      <c r="BV38" s="15">
        <f>SUMIFS('BS-KH26-KhanhNga'!R$2:R$51,'BS-KH26-KhanhNga'!$A$2:$A$51,'Consol BS-DTRG'!$A38)</f>
        <v>0</v>
      </c>
      <c r="BW38" s="15">
        <f>SUMIFS('BS-KH26-KhanhNga'!S$2:S$51,'BS-KH26-KhanhNga'!$A$2:$A$51,'Consol BS-DTRG'!$A38)</f>
        <v>0</v>
      </c>
      <c r="BX38" s="15">
        <f>SUMIFS('BS-KH26-KhanhNga'!T$2:T$51,'BS-KH26-KhanhNga'!$A$2:$A$51,'Consol BS-DTRG'!$A38)</f>
        <v>0</v>
      </c>
      <c r="BY38" s="15">
        <f>SUMIFS('BS-KH26-KhanhNga'!U$2:U$51,'BS-KH26-KhanhNga'!$A$2:$A$51,'Consol BS-DTRG'!$A38)</f>
        <v>0</v>
      </c>
      <c r="BZ38" s="15">
        <f>SUMIFS('BS-KH26-KhanhNga'!V$2:V$51,'BS-KH26-KhanhNga'!$A$2:$A$51,'Consol BS-DTRG'!$A38)</f>
        <v>0</v>
      </c>
      <c r="CA38" s="15">
        <f>SUMIFS('BS-KH26-KhanhNga'!W$2:W$51,'BS-KH26-KhanhNga'!$A$2:$A$51,'Consol BS-DTRG'!$A38)</f>
        <v>0</v>
      </c>
      <c r="CB38" s="15">
        <f>SUMIFS('BS-KH26-KhanhNga'!X$2:X$51,'BS-KH26-KhanhNga'!$A$2:$A$51,'Consol BS-DTRG'!$A38)</f>
        <v>0</v>
      </c>
      <c r="CD38" s="15">
        <f>SUMIFS('BS-KH26-DaiLoc'!M$2:M$51,'BS-KH26-DaiLoc'!$A$2:$A$51,'Consol BS-DTRG'!$A38)</f>
        <v>0</v>
      </c>
      <c r="CE38" s="15">
        <f>SUMIFS('BS-KH26-DaiLoc'!N$2:N$51,'BS-KH26-DaiLoc'!$A$2:$A$51,'Consol BS-DTRG'!$A38)</f>
        <v>0</v>
      </c>
      <c r="CF38" s="15">
        <f>SUMIFS('BS-KH26-DaiLoc'!O$2:O$51,'BS-KH26-DaiLoc'!$A$2:$A$51,'Consol BS-DTRG'!$A38)</f>
        <v>0</v>
      </c>
      <c r="CG38" s="15">
        <f>SUMIFS('BS-KH26-DaiLoc'!P$2:P$51,'BS-KH26-DaiLoc'!$A$2:$A$51,'Consol BS-DTRG'!$A38)</f>
        <v>0</v>
      </c>
      <c r="CH38" s="15">
        <f>SUMIFS('BS-KH26-DaiLoc'!Q$2:Q$51,'BS-KH26-DaiLoc'!$A$2:$A$51,'Consol BS-DTRG'!$A38)</f>
        <v>0</v>
      </c>
      <c r="CI38" s="15">
        <f>SUMIFS('BS-KH26-DaiLoc'!R$2:R$51,'BS-KH26-DaiLoc'!$A$2:$A$51,'Consol BS-DTRG'!$A38)</f>
        <v>0</v>
      </c>
      <c r="CJ38" s="15">
        <f>SUMIFS('BS-KH26-DaiLoc'!S$2:S$51,'BS-KH26-DaiLoc'!$A$2:$A$51,'Consol BS-DTRG'!$A38)</f>
        <v>0</v>
      </c>
      <c r="CK38" s="15">
        <f>SUMIFS('BS-KH26-DaiLoc'!T$2:T$51,'BS-KH26-DaiLoc'!$A$2:$A$51,'Consol BS-DTRG'!$A38)</f>
        <v>0</v>
      </c>
      <c r="CL38" s="15">
        <f>SUMIFS('BS-KH26-DaiLoc'!U$2:U$51,'BS-KH26-DaiLoc'!$A$2:$A$51,'Consol BS-DTRG'!$A38)</f>
        <v>0</v>
      </c>
      <c r="CM38" s="15">
        <f>SUMIFS('BS-KH26-DaiLoc'!V$2:V$51,'BS-KH26-DaiLoc'!$A$2:$A$51,'Consol BS-DTRG'!$A38)</f>
        <v>0</v>
      </c>
      <c r="CN38" s="15">
        <f>SUMIFS('BS-KH26-DaiLoc'!W$2:W$51,'BS-KH26-DaiLoc'!$A$2:$A$51,'Consol BS-DTRG'!$A38)</f>
        <v>0</v>
      </c>
      <c r="CO38" s="15">
        <f>SUMIFS('BS-KH26-DaiLoc'!X$2:X$51,'BS-KH26-DaiLoc'!$A$2:$A$51,'Consol BS-DTRG'!$A38)</f>
        <v>0</v>
      </c>
      <c r="CQ38" s="15">
        <v>0</v>
      </c>
      <c r="CR38" s="15">
        <f t="shared" ref="CR38:DB43" si="247">CQ38</f>
        <v>0</v>
      </c>
      <c r="CS38" s="15">
        <f t="shared" si="247"/>
        <v>0</v>
      </c>
      <c r="CT38" s="15">
        <f t="shared" si="247"/>
        <v>0</v>
      </c>
      <c r="CU38" s="15">
        <f t="shared" si="247"/>
        <v>0</v>
      </c>
      <c r="CV38" s="15">
        <f t="shared" si="247"/>
        <v>0</v>
      </c>
      <c r="CW38" s="15">
        <f t="shared" si="247"/>
        <v>0</v>
      </c>
      <c r="CX38" s="15">
        <f t="shared" si="247"/>
        <v>0</v>
      </c>
      <c r="CY38" s="15">
        <f t="shared" si="247"/>
        <v>0</v>
      </c>
      <c r="CZ38" s="15">
        <f t="shared" si="247"/>
        <v>0</v>
      </c>
      <c r="DA38" s="15">
        <f t="shared" si="247"/>
        <v>0</v>
      </c>
      <c r="DB38" s="15">
        <f t="shared" si="247"/>
        <v>0</v>
      </c>
    </row>
    <row r="39" spans="1:106" hidden="1" outlineLevel="1">
      <c r="A39" s="633">
        <v>36</v>
      </c>
      <c r="B39" s="612" t="s">
        <v>290</v>
      </c>
      <c r="C39" t="s">
        <v>518</v>
      </c>
      <c r="D39" s="15">
        <f t="shared" si="223"/>
        <v>0</v>
      </c>
      <c r="E39" s="15">
        <f t="shared" si="224"/>
        <v>0</v>
      </c>
      <c r="F39" s="15">
        <f t="shared" si="225"/>
        <v>0</v>
      </c>
      <c r="G39" s="15">
        <f t="shared" si="226"/>
        <v>0</v>
      </c>
      <c r="H39" s="15">
        <f t="shared" si="227"/>
        <v>0</v>
      </c>
      <c r="I39" s="15">
        <f t="shared" si="228"/>
        <v>0</v>
      </c>
      <c r="J39" s="15">
        <f t="shared" si="229"/>
        <v>0</v>
      </c>
      <c r="K39" s="15">
        <f t="shared" si="230"/>
        <v>0</v>
      </c>
      <c r="L39" s="15">
        <f t="shared" si="231"/>
        <v>0</v>
      </c>
      <c r="M39" s="15">
        <f t="shared" si="232"/>
        <v>0</v>
      </c>
      <c r="N39" s="15">
        <f t="shared" si="233"/>
        <v>0</v>
      </c>
      <c r="O39" s="15">
        <f t="shared" si="234"/>
        <v>0</v>
      </c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D39" s="646">
        <f t="shared" si="235"/>
        <v>0</v>
      </c>
      <c r="AE39" s="15">
        <f t="shared" si="236"/>
        <v>0</v>
      </c>
      <c r="AF39" s="15">
        <f t="shared" si="237"/>
        <v>0</v>
      </c>
      <c r="AG39" s="15">
        <f t="shared" si="238"/>
        <v>0</v>
      </c>
      <c r="AH39" s="15">
        <f t="shared" si="239"/>
        <v>0</v>
      </c>
      <c r="AI39" s="15">
        <f t="shared" si="240"/>
        <v>0</v>
      </c>
      <c r="AJ39" s="15">
        <f t="shared" si="241"/>
        <v>0</v>
      </c>
      <c r="AK39" s="15">
        <f t="shared" si="242"/>
        <v>0</v>
      </c>
      <c r="AL39" s="15">
        <f t="shared" si="243"/>
        <v>0</v>
      </c>
      <c r="AM39" s="15">
        <f t="shared" si="244"/>
        <v>0</v>
      </c>
      <c r="AN39" s="15">
        <f t="shared" si="245"/>
        <v>0</v>
      </c>
      <c r="AO39" s="647">
        <f t="shared" si="246"/>
        <v>0</v>
      </c>
      <c r="AQ39" s="15">
        <f>SUMIFS('BS-KH26-DTR'!D$2:D$116,'BS-KH26-DTR'!$B$2:$B$116,$A39)</f>
        <v>0</v>
      </c>
      <c r="AR39" s="15">
        <f>SUMIFS('BS-KH26-DTR'!E$2:E$116,'BS-KH26-DTR'!$B$2:$B$116,$A39)</f>
        <v>0</v>
      </c>
      <c r="AS39" s="15">
        <f>SUMIFS('BS-KH26-DTR'!F$2:F$116,'BS-KH26-DTR'!$B$2:$B$116,$A39)</f>
        <v>0</v>
      </c>
      <c r="AT39" s="15">
        <f>SUMIFS('BS-KH26-DTR'!G$2:G$116,'BS-KH26-DTR'!$B$2:$B$116,$A39)</f>
        <v>0</v>
      </c>
      <c r="AU39" s="15">
        <f>SUMIFS('BS-KH26-DTR'!H$2:H$116,'BS-KH26-DTR'!$B$2:$B$116,$A39)</f>
        <v>0</v>
      </c>
      <c r="AV39" s="15">
        <f>SUMIFS('BS-KH26-DTR'!I$2:I$116,'BS-KH26-DTR'!$B$2:$B$116,$A39)</f>
        <v>0</v>
      </c>
      <c r="AW39" s="15">
        <f>SUMIFS('BS-KH26-DTR'!J$2:J$116,'BS-KH26-DTR'!$B$2:$B$116,$A39)</f>
        <v>0</v>
      </c>
      <c r="AX39" s="15">
        <f>SUMIFS('BS-KH26-DTR'!K$2:K$116,'BS-KH26-DTR'!$B$2:$B$116,$A39)</f>
        <v>0</v>
      </c>
      <c r="AY39" s="15">
        <f>SUMIFS('BS-KH26-DTR'!L$2:L$116,'BS-KH26-DTR'!$B$2:$B$116,$A39)</f>
        <v>0</v>
      </c>
      <c r="AZ39" s="15">
        <f>SUMIFS('BS-KH26-DTR'!M$2:M$116,'BS-KH26-DTR'!$B$2:$B$116,$A39)</f>
        <v>0</v>
      </c>
      <c r="BA39" s="15">
        <f>SUMIFS('BS-KH26-DTR'!N$2:N$116,'BS-KH26-DTR'!$B$2:$B$116,$A39)</f>
        <v>0</v>
      </c>
      <c r="BB39" s="15">
        <f>SUMIFS('BS-KH26-DTR'!O$2:O$116,'BS-KH26-DTR'!$B$2:$B$116,$A39)</f>
        <v>0</v>
      </c>
      <c r="BD39" s="15">
        <f>SUMIFS('BS-KH26-DongLam'!M$2:M$51,'BS-KH26-DongLam'!$A$2:$A$51,'Consol BS-DTRG'!$A39)</f>
        <v>0</v>
      </c>
      <c r="BE39" s="15">
        <f>SUMIFS('BS-KH26-DongLam'!N$2:N$51,'BS-KH26-DongLam'!$A$2:$A$51,'Consol BS-DTRG'!$A39)</f>
        <v>0</v>
      </c>
      <c r="BF39" s="15">
        <f>SUMIFS('BS-KH26-DongLam'!O$2:O$51,'BS-KH26-DongLam'!$A$2:$A$51,'Consol BS-DTRG'!$A39)</f>
        <v>0</v>
      </c>
      <c r="BG39" s="15">
        <f>SUMIFS('BS-KH26-DongLam'!P$2:P$51,'BS-KH26-DongLam'!$A$2:$A$51,'Consol BS-DTRG'!$A39)</f>
        <v>0</v>
      </c>
      <c r="BH39" s="15">
        <f>SUMIFS('BS-KH26-DongLam'!Q$2:Q$51,'BS-KH26-DongLam'!$A$2:$A$51,'Consol BS-DTRG'!$A39)</f>
        <v>0</v>
      </c>
      <c r="BI39" s="15">
        <f>SUMIFS('BS-KH26-DongLam'!R$2:R$51,'BS-KH26-DongLam'!$A$2:$A$51,'Consol BS-DTRG'!$A39)</f>
        <v>0</v>
      </c>
      <c r="BJ39" s="15">
        <f>SUMIFS('BS-KH26-DongLam'!S$2:S$51,'BS-KH26-DongLam'!$A$2:$A$51,'Consol BS-DTRG'!$A39)</f>
        <v>0</v>
      </c>
      <c r="BK39" s="15">
        <f>SUMIFS('BS-KH26-DongLam'!T$2:T$51,'BS-KH26-DongLam'!$A$2:$A$51,'Consol BS-DTRG'!$A39)</f>
        <v>0</v>
      </c>
      <c r="BL39" s="15">
        <f>SUMIFS('BS-KH26-DongLam'!U$2:U$51,'BS-KH26-DongLam'!$A$2:$A$51,'Consol BS-DTRG'!$A39)</f>
        <v>0</v>
      </c>
      <c r="BM39" s="15">
        <f>SUMIFS('BS-KH26-DongLam'!V$2:V$51,'BS-KH26-DongLam'!$A$2:$A$51,'Consol BS-DTRG'!$A39)</f>
        <v>0</v>
      </c>
      <c r="BN39" s="15">
        <f>SUMIFS('BS-KH26-DongLam'!W$2:W$51,'BS-KH26-DongLam'!$A$2:$A$51,'Consol BS-DTRG'!$A39)</f>
        <v>0</v>
      </c>
      <c r="BO39" s="15">
        <f>SUMIFS('BS-KH26-DongLam'!X$2:X$51,'BS-KH26-DongLam'!$A$2:$A$51,'Consol BS-DTRG'!$A39)</f>
        <v>0</v>
      </c>
      <c r="BQ39" s="15">
        <f>SUMIFS('BS-KH26-KhanhNga'!M$2:M$51,'BS-KH26-KhanhNga'!$A$2:$A$51,'Consol BS-DTRG'!$A39)</f>
        <v>0</v>
      </c>
      <c r="BR39" s="15">
        <f>SUMIFS('BS-KH26-KhanhNga'!N$2:N$51,'BS-KH26-KhanhNga'!$A$2:$A$51,'Consol BS-DTRG'!$A39)</f>
        <v>0</v>
      </c>
      <c r="BS39" s="15">
        <f>SUMIFS('BS-KH26-KhanhNga'!O$2:O$51,'BS-KH26-KhanhNga'!$A$2:$A$51,'Consol BS-DTRG'!$A39)</f>
        <v>0</v>
      </c>
      <c r="BT39" s="15">
        <f>SUMIFS('BS-KH26-KhanhNga'!P$2:P$51,'BS-KH26-KhanhNga'!$A$2:$A$51,'Consol BS-DTRG'!$A39)</f>
        <v>0</v>
      </c>
      <c r="BU39" s="15">
        <f>SUMIFS('BS-KH26-KhanhNga'!Q$2:Q$51,'BS-KH26-KhanhNga'!$A$2:$A$51,'Consol BS-DTRG'!$A39)</f>
        <v>0</v>
      </c>
      <c r="BV39" s="15">
        <f>SUMIFS('BS-KH26-KhanhNga'!R$2:R$51,'BS-KH26-KhanhNga'!$A$2:$A$51,'Consol BS-DTRG'!$A39)</f>
        <v>0</v>
      </c>
      <c r="BW39" s="15">
        <f>SUMIFS('BS-KH26-KhanhNga'!S$2:S$51,'BS-KH26-KhanhNga'!$A$2:$A$51,'Consol BS-DTRG'!$A39)</f>
        <v>0</v>
      </c>
      <c r="BX39" s="15">
        <f>SUMIFS('BS-KH26-KhanhNga'!T$2:T$51,'BS-KH26-KhanhNga'!$A$2:$A$51,'Consol BS-DTRG'!$A39)</f>
        <v>0</v>
      </c>
      <c r="BY39" s="15">
        <f>SUMIFS('BS-KH26-KhanhNga'!U$2:U$51,'BS-KH26-KhanhNga'!$A$2:$A$51,'Consol BS-DTRG'!$A39)</f>
        <v>0</v>
      </c>
      <c r="BZ39" s="15">
        <f>SUMIFS('BS-KH26-KhanhNga'!V$2:V$51,'BS-KH26-KhanhNga'!$A$2:$A$51,'Consol BS-DTRG'!$A39)</f>
        <v>0</v>
      </c>
      <c r="CA39" s="15">
        <f>SUMIFS('BS-KH26-KhanhNga'!W$2:W$51,'BS-KH26-KhanhNga'!$A$2:$A$51,'Consol BS-DTRG'!$A39)</f>
        <v>0</v>
      </c>
      <c r="CB39" s="15">
        <f>SUMIFS('BS-KH26-KhanhNga'!X$2:X$51,'BS-KH26-KhanhNga'!$A$2:$A$51,'Consol BS-DTRG'!$A39)</f>
        <v>0</v>
      </c>
      <c r="CD39" s="15">
        <f>SUMIFS('BS-KH26-DaiLoc'!M$2:M$51,'BS-KH26-DaiLoc'!$A$2:$A$51,'Consol BS-DTRG'!$A39)</f>
        <v>0</v>
      </c>
      <c r="CE39" s="15">
        <f>SUMIFS('BS-KH26-DaiLoc'!N$2:N$51,'BS-KH26-DaiLoc'!$A$2:$A$51,'Consol BS-DTRG'!$A39)</f>
        <v>0</v>
      </c>
      <c r="CF39" s="15">
        <f>SUMIFS('BS-KH26-DaiLoc'!O$2:O$51,'BS-KH26-DaiLoc'!$A$2:$A$51,'Consol BS-DTRG'!$A39)</f>
        <v>0</v>
      </c>
      <c r="CG39" s="15">
        <f>SUMIFS('BS-KH26-DaiLoc'!P$2:P$51,'BS-KH26-DaiLoc'!$A$2:$A$51,'Consol BS-DTRG'!$A39)</f>
        <v>0</v>
      </c>
      <c r="CH39" s="15">
        <f>SUMIFS('BS-KH26-DaiLoc'!Q$2:Q$51,'BS-KH26-DaiLoc'!$A$2:$A$51,'Consol BS-DTRG'!$A39)</f>
        <v>0</v>
      </c>
      <c r="CI39" s="15">
        <f>SUMIFS('BS-KH26-DaiLoc'!R$2:R$51,'BS-KH26-DaiLoc'!$A$2:$A$51,'Consol BS-DTRG'!$A39)</f>
        <v>0</v>
      </c>
      <c r="CJ39" s="15">
        <f>SUMIFS('BS-KH26-DaiLoc'!S$2:S$51,'BS-KH26-DaiLoc'!$A$2:$A$51,'Consol BS-DTRG'!$A39)</f>
        <v>0</v>
      </c>
      <c r="CK39" s="15">
        <f>SUMIFS('BS-KH26-DaiLoc'!T$2:T$51,'BS-KH26-DaiLoc'!$A$2:$A$51,'Consol BS-DTRG'!$A39)</f>
        <v>0</v>
      </c>
      <c r="CL39" s="15">
        <f>SUMIFS('BS-KH26-DaiLoc'!U$2:U$51,'BS-KH26-DaiLoc'!$A$2:$A$51,'Consol BS-DTRG'!$A39)</f>
        <v>0</v>
      </c>
      <c r="CM39" s="15">
        <f>SUMIFS('BS-KH26-DaiLoc'!V$2:V$51,'BS-KH26-DaiLoc'!$A$2:$A$51,'Consol BS-DTRG'!$A39)</f>
        <v>0</v>
      </c>
      <c r="CN39" s="15">
        <f>SUMIFS('BS-KH26-DaiLoc'!W$2:W$51,'BS-KH26-DaiLoc'!$A$2:$A$51,'Consol BS-DTRG'!$A39)</f>
        <v>0</v>
      </c>
      <c r="CO39" s="15">
        <f>SUMIFS('BS-KH26-DaiLoc'!X$2:X$51,'BS-KH26-DaiLoc'!$A$2:$A$51,'Consol BS-DTRG'!$A39)</f>
        <v>0</v>
      </c>
      <c r="CQ39" s="15">
        <v>0</v>
      </c>
      <c r="CR39" s="15">
        <f t="shared" si="247"/>
        <v>0</v>
      </c>
      <c r="CS39" s="15">
        <f t="shared" si="247"/>
        <v>0</v>
      </c>
      <c r="CT39" s="15">
        <f t="shared" si="247"/>
        <v>0</v>
      </c>
      <c r="CU39" s="15">
        <f t="shared" si="247"/>
        <v>0</v>
      </c>
      <c r="CV39" s="15">
        <f t="shared" si="247"/>
        <v>0</v>
      </c>
      <c r="CW39" s="15">
        <f t="shared" si="247"/>
        <v>0</v>
      </c>
      <c r="CX39" s="15">
        <f t="shared" si="247"/>
        <v>0</v>
      </c>
      <c r="CY39" s="15">
        <f t="shared" si="247"/>
        <v>0</v>
      </c>
      <c r="CZ39" s="15">
        <f t="shared" si="247"/>
        <v>0</v>
      </c>
      <c r="DA39" s="15">
        <f t="shared" si="247"/>
        <v>0</v>
      </c>
      <c r="DB39" s="15">
        <f t="shared" si="247"/>
        <v>0</v>
      </c>
    </row>
    <row r="40" spans="1:106" hidden="1" outlineLevel="1">
      <c r="A40" s="633">
        <v>37</v>
      </c>
      <c r="B40" s="612" t="s">
        <v>291</v>
      </c>
      <c r="C40" t="s">
        <v>518</v>
      </c>
      <c r="D40" s="15">
        <f t="shared" si="223"/>
        <v>0</v>
      </c>
      <c r="E40" s="15">
        <f t="shared" si="224"/>
        <v>0</v>
      </c>
      <c r="F40" s="15">
        <f t="shared" si="225"/>
        <v>0</v>
      </c>
      <c r="G40" s="15">
        <f t="shared" si="226"/>
        <v>0</v>
      </c>
      <c r="H40" s="15">
        <f t="shared" si="227"/>
        <v>0</v>
      </c>
      <c r="I40" s="15">
        <f t="shared" si="228"/>
        <v>0</v>
      </c>
      <c r="J40" s="15">
        <f t="shared" si="229"/>
        <v>0</v>
      </c>
      <c r="K40" s="15">
        <f t="shared" si="230"/>
        <v>0</v>
      </c>
      <c r="L40" s="15">
        <f t="shared" si="231"/>
        <v>0</v>
      </c>
      <c r="M40" s="15">
        <f t="shared" si="232"/>
        <v>0</v>
      </c>
      <c r="N40" s="15">
        <f t="shared" si="233"/>
        <v>0</v>
      </c>
      <c r="O40" s="15">
        <f t="shared" si="234"/>
        <v>0</v>
      </c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D40" s="646">
        <f t="shared" si="235"/>
        <v>0</v>
      </c>
      <c r="AE40" s="15">
        <f t="shared" si="236"/>
        <v>0</v>
      </c>
      <c r="AF40" s="15">
        <f t="shared" si="237"/>
        <v>0</v>
      </c>
      <c r="AG40" s="15">
        <f t="shared" si="238"/>
        <v>0</v>
      </c>
      <c r="AH40" s="15">
        <f t="shared" si="239"/>
        <v>0</v>
      </c>
      <c r="AI40" s="15">
        <f t="shared" si="240"/>
        <v>0</v>
      </c>
      <c r="AJ40" s="15">
        <f t="shared" si="241"/>
        <v>0</v>
      </c>
      <c r="AK40" s="15">
        <f t="shared" si="242"/>
        <v>0</v>
      </c>
      <c r="AL40" s="15">
        <f t="shared" si="243"/>
        <v>0</v>
      </c>
      <c r="AM40" s="15">
        <f t="shared" si="244"/>
        <v>0</v>
      </c>
      <c r="AN40" s="15">
        <f t="shared" si="245"/>
        <v>0</v>
      </c>
      <c r="AO40" s="647">
        <f t="shared" si="246"/>
        <v>0</v>
      </c>
      <c r="AQ40" s="15">
        <f>SUMIFS('BS-KH26-DTR'!D$2:D$116,'BS-KH26-DTR'!$B$2:$B$116,$A40)</f>
        <v>0</v>
      </c>
      <c r="AR40" s="15">
        <f>SUMIFS('BS-KH26-DTR'!E$2:E$116,'BS-KH26-DTR'!$B$2:$B$116,$A40)</f>
        <v>0</v>
      </c>
      <c r="AS40" s="15">
        <f>SUMIFS('BS-KH26-DTR'!F$2:F$116,'BS-KH26-DTR'!$B$2:$B$116,$A40)</f>
        <v>0</v>
      </c>
      <c r="AT40" s="15">
        <f>SUMIFS('BS-KH26-DTR'!G$2:G$116,'BS-KH26-DTR'!$B$2:$B$116,$A40)</f>
        <v>0</v>
      </c>
      <c r="AU40" s="15">
        <f>SUMIFS('BS-KH26-DTR'!H$2:H$116,'BS-KH26-DTR'!$B$2:$B$116,$A40)</f>
        <v>0</v>
      </c>
      <c r="AV40" s="15">
        <f>SUMIFS('BS-KH26-DTR'!I$2:I$116,'BS-KH26-DTR'!$B$2:$B$116,$A40)</f>
        <v>0</v>
      </c>
      <c r="AW40" s="15">
        <f>SUMIFS('BS-KH26-DTR'!J$2:J$116,'BS-KH26-DTR'!$B$2:$B$116,$A40)</f>
        <v>0</v>
      </c>
      <c r="AX40" s="15">
        <f>SUMIFS('BS-KH26-DTR'!K$2:K$116,'BS-KH26-DTR'!$B$2:$B$116,$A40)</f>
        <v>0</v>
      </c>
      <c r="AY40" s="15">
        <f>SUMIFS('BS-KH26-DTR'!L$2:L$116,'BS-KH26-DTR'!$B$2:$B$116,$A40)</f>
        <v>0</v>
      </c>
      <c r="AZ40" s="15">
        <f>SUMIFS('BS-KH26-DTR'!M$2:M$116,'BS-KH26-DTR'!$B$2:$B$116,$A40)</f>
        <v>0</v>
      </c>
      <c r="BA40" s="15">
        <f>SUMIFS('BS-KH26-DTR'!N$2:N$116,'BS-KH26-DTR'!$B$2:$B$116,$A40)</f>
        <v>0</v>
      </c>
      <c r="BB40" s="15">
        <f>SUMIFS('BS-KH26-DTR'!O$2:O$116,'BS-KH26-DTR'!$B$2:$B$116,$A40)</f>
        <v>0</v>
      </c>
      <c r="BD40" s="15">
        <f>SUMIFS('BS-KH26-DongLam'!M$2:M$51,'BS-KH26-DongLam'!$A$2:$A$51,'Consol BS-DTRG'!$A40)</f>
        <v>0</v>
      </c>
      <c r="BE40" s="15">
        <f>SUMIFS('BS-KH26-DongLam'!N$2:N$51,'BS-KH26-DongLam'!$A$2:$A$51,'Consol BS-DTRG'!$A40)</f>
        <v>0</v>
      </c>
      <c r="BF40" s="15">
        <f>SUMIFS('BS-KH26-DongLam'!O$2:O$51,'BS-KH26-DongLam'!$A$2:$A$51,'Consol BS-DTRG'!$A40)</f>
        <v>0</v>
      </c>
      <c r="BG40" s="15">
        <f>SUMIFS('BS-KH26-DongLam'!P$2:P$51,'BS-KH26-DongLam'!$A$2:$A$51,'Consol BS-DTRG'!$A40)</f>
        <v>0</v>
      </c>
      <c r="BH40" s="15">
        <f>SUMIFS('BS-KH26-DongLam'!Q$2:Q$51,'BS-KH26-DongLam'!$A$2:$A$51,'Consol BS-DTRG'!$A40)</f>
        <v>0</v>
      </c>
      <c r="BI40" s="15">
        <f>SUMIFS('BS-KH26-DongLam'!R$2:R$51,'BS-KH26-DongLam'!$A$2:$A$51,'Consol BS-DTRG'!$A40)</f>
        <v>0</v>
      </c>
      <c r="BJ40" s="15">
        <f>SUMIFS('BS-KH26-DongLam'!S$2:S$51,'BS-KH26-DongLam'!$A$2:$A$51,'Consol BS-DTRG'!$A40)</f>
        <v>0</v>
      </c>
      <c r="BK40" s="15">
        <f>SUMIFS('BS-KH26-DongLam'!T$2:T$51,'BS-KH26-DongLam'!$A$2:$A$51,'Consol BS-DTRG'!$A40)</f>
        <v>0</v>
      </c>
      <c r="BL40" s="15">
        <f>SUMIFS('BS-KH26-DongLam'!U$2:U$51,'BS-KH26-DongLam'!$A$2:$A$51,'Consol BS-DTRG'!$A40)</f>
        <v>0</v>
      </c>
      <c r="BM40" s="15">
        <f>SUMIFS('BS-KH26-DongLam'!V$2:V$51,'BS-KH26-DongLam'!$A$2:$A$51,'Consol BS-DTRG'!$A40)</f>
        <v>0</v>
      </c>
      <c r="BN40" s="15">
        <f>SUMIFS('BS-KH26-DongLam'!W$2:W$51,'BS-KH26-DongLam'!$A$2:$A$51,'Consol BS-DTRG'!$A40)</f>
        <v>0</v>
      </c>
      <c r="BO40" s="15">
        <f>SUMIFS('BS-KH26-DongLam'!X$2:X$51,'BS-KH26-DongLam'!$A$2:$A$51,'Consol BS-DTRG'!$A40)</f>
        <v>0</v>
      </c>
      <c r="BQ40" s="15">
        <f>SUMIFS('BS-KH26-KhanhNga'!M$2:M$51,'BS-KH26-KhanhNga'!$A$2:$A$51,'Consol BS-DTRG'!$A40)</f>
        <v>0</v>
      </c>
      <c r="BR40" s="15">
        <f>SUMIFS('BS-KH26-KhanhNga'!N$2:N$51,'BS-KH26-KhanhNga'!$A$2:$A$51,'Consol BS-DTRG'!$A40)</f>
        <v>0</v>
      </c>
      <c r="BS40" s="15">
        <f>SUMIFS('BS-KH26-KhanhNga'!O$2:O$51,'BS-KH26-KhanhNga'!$A$2:$A$51,'Consol BS-DTRG'!$A40)</f>
        <v>0</v>
      </c>
      <c r="BT40" s="15">
        <f>SUMIFS('BS-KH26-KhanhNga'!P$2:P$51,'BS-KH26-KhanhNga'!$A$2:$A$51,'Consol BS-DTRG'!$A40)</f>
        <v>0</v>
      </c>
      <c r="BU40" s="15">
        <f>SUMIFS('BS-KH26-KhanhNga'!Q$2:Q$51,'BS-KH26-KhanhNga'!$A$2:$A$51,'Consol BS-DTRG'!$A40)</f>
        <v>0</v>
      </c>
      <c r="BV40" s="15">
        <f>SUMIFS('BS-KH26-KhanhNga'!R$2:R$51,'BS-KH26-KhanhNga'!$A$2:$A$51,'Consol BS-DTRG'!$A40)</f>
        <v>0</v>
      </c>
      <c r="BW40" s="15">
        <f>SUMIFS('BS-KH26-KhanhNga'!S$2:S$51,'BS-KH26-KhanhNga'!$A$2:$A$51,'Consol BS-DTRG'!$A40)</f>
        <v>0</v>
      </c>
      <c r="BX40" s="15">
        <f>SUMIFS('BS-KH26-KhanhNga'!T$2:T$51,'BS-KH26-KhanhNga'!$A$2:$A$51,'Consol BS-DTRG'!$A40)</f>
        <v>0</v>
      </c>
      <c r="BY40" s="15">
        <f>SUMIFS('BS-KH26-KhanhNga'!U$2:U$51,'BS-KH26-KhanhNga'!$A$2:$A$51,'Consol BS-DTRG'!$A40)</f>
        <v>0</v>
      </c>
      <c r="BZ40" s="15">
        <f>SUMIFS('BS-KH26-KhanhNga'!V$2:V$51,'BS-KH26-KhanhNga'!$A$2:$A$51,'Consol BS-DTRG'!$A40)</f>
        <v>0</v>
      </c>
      <c r="CA40" s="15">
        <f>SUMIFS('BS-KH26-KhanhNga'!W$2:W$51,'BS-KH26-KhanhNga'!$A$2:$A$51,'Consol BS-DTRG'!$A40)</f>
        <v>0</v>
      </c>
      <c r="CB40" s="15">
        <f>SUMIFS('BS-KH26-KhanhNga'!X$2:X$51,'BS-KH26-KhanhNga'!$A$2:$A$51,'Consol BS-DTRG'!$A40)</f>
        <v>0</v>
      </c>
      <c r="CD40" s="15">
        <f>SUMIFS('BS-KH26-DaiLoc'!M$2:M$51,'BS-KH26-DaiLoc'!$A$2:$A$51,'Consol BS-DTRG'!$A40)</f>
        <v>0</v>
      </c>
      <c r="CE40" s="15">
        <f>SUMIFS('BS-KH26-DaiLoc'!N$2:N$51,'BS-KH26-DaiLoc'!$A$2:$A$51,'Consol BS-DTRG'!$A40)</f>
        <v>0</v>
      </c>
      <c r="CF40" s="15">
        <f>SUMIFS('BS-KH26-DaiLoc'!O$2:O$51,'BS-KH26-DaiLoc'!$A$2:$A$51,'Consol BS-DTRG'!$A40)</f>
        <v>0</v>
      </c>
      <c r="CG40" s="15">
        <f>SUMIFS('BS-KH26-DaiLoc'!P$2:P$51,'BS-KH26-DaiLoc'!$A$2:$A$51,'Consol BS-DTRG'!$A40)</f>
        <v>0</v>
      </c>
      <c r="CH40" s="15">
        <f>SUMIFS('BS-KH26-DaiLoc'!Q$2:Q$51,'BS-KH26-DaiLoc'!$A$2:$A$51,'Consol BS-DTRG'!$A40)</f>
        <v>0</v>
      </c>
      <c r="CI40" s="15">
        <f>SUMIFS('BS-KH26-DaiLoc'!R$2:R$51,'BS-KH26-DaiLoc'!$A$2:$A$51,'Consol BS-DTRG'!$A40)</f>
        <v>0</v>
      </c>
      <c r="CJ40" s="15">
        <f>SUMIFS('BS-KH26-DaiLoc'!S$2:S$51,'BS-KH26-DaiLoc'!$A$2:$A$51,'Consol BS-DTRG'!$A40)</f>
        <v>0</v>
      </c>
      <c r="CK40" s="15">
        <f>SUMIFS('BS-KH26-DaiLoc'!T$2:T$51,'BS-KH26-DaiLoc'!$A$2:$A$51,'Consol BS-DTRG'!$A40)</f>
        <v>0</v>
      </c>
      <c r="CL40" s="15">
        <f>SUMIFS('BS-KH26-DaiLoc'!U$2:U$51,'BS-KH26-DaiLoc'!$A$2:$A$51,'Consol BS-DTRG'!$A40)</f>
        <v>0</v>
      </c>
      <c r="CM40" s="15">
        <f>SUMIFS('BS-KH26-DaiLoc'!V$2:V$51,'BS-KH26-DaiLoc'!$A$2:$A$51,'Consol BS-DTRG'!$A40)</f>
        <v>0</v>
      </c>
      <c r="CN40" s="15">
        <f>SUMIFS('BS-KH26-DaiLoc'!W$2:W$51,'BS-KH26-DaiLoc'!$A$2:$A$51,'Consol BS-DTRG'!$A40)</f>
        <v>0</v>
      </c>
      <c r="CO40" s="15">
        <f>SUMIFS('BS-KH26-DaiLoc'!X$2:X$51,'BS-KH26-DaiLoc'!$A$2:$A$51,'Consol BS-DTRG'!$A40)</f>
        <v>0</v>
      </c>
      <c r="CQ40" s="15">
        <v>0</v>
      </c>
      <c r="CR40" s="15">
        <f t="shared" si="247"/>
        <v>0</v>
      </c>
      <c r="CS40" s="15">
        <f t="shared" si="247"/>
        <v>0</v>
      </c>
      <c r="CT40" s="15">
        <f t="shared" si="247"/>
        <v>0</v>
      </c>
      <c r="CU40" s="15">
        <f t="shared" si="247"/>
        <v>0</v>
      </c>
      <c r="CV40" s="15">
        <f t="shared" si="247"/>
        <v>0</v>
      </c>
      <c r="CW40" s="15">
        <f t="shared" si="247"/>
        <v>0</v>
      </c>
      <c r="CX40" s="15">
        <f t="shared" si="247"/>
        <v>0</v>
      </c>
      <c r="CY40" s="15">
        <f t="shared" si="247"/>
        <v>0</v>
      </c>
      <c r="CZ40" s="15">
        <f t="shared" si="247"/>
        <v>0</v>
      </c>
      <c r="DA40" s="15">
        <f t="shared" si="247"/>
        <v>0</v>
      </c>
      <c r="DB40" s="15">
        <f t="shared" si="247"/>
        <v>0</v>
      </c>
    </row>
    <row r="41" spans="1:106" hidden="1" outlineLevel="1">
      <c r="A41" s="633">
        <v>38</v>
      </c>
      <c r="B41" s="612" t="s">
        <v>292</v>
      </c>
      <c r="C41" t="s">
        <v>518</v>
      </c>
      <c r="D41" s="15">
        <f t="shared" si="223"/>
        <v>0</v>
      </c>
      <c r="E41" s="15">
        <f t="shared" si="224"/>
        <v>0</v>
      </c>
      <c r="F41" s="15">
        <f t="shared" si="225"/>
        <v>0</v>
      </c>
      <c r="G41" s="15">
        <f t="shared" si="226"/>
        <v>0</v>
      </c>
      <c r="H41" s="15">
        <f t="shared" si="227"/>
        <v>0</v>
      </c>
      <c r="I41" s="15">
        <f t="shared" si="228"/>
        <v>0</v>
      </c>
      <c r="J41" s="15">
        <f t="shared" si="229"/>
        <v>0</v>
      </c>
      <c r="K41" s="15">
        <f t="shared" si="230"/>
        <v>0</v>
      </c>
      <c r="L41" s="15">
        <f t="shared" si="231"/>
        <v>0</v>
      </c>
      <c r="M41" s="15">
        <f t="shared" si="232"/>
        <v>0</v>
      </c>
      <c r="N41" s="15">
        <f t="shared" si="233"/>
        <v>0</v>
      </c>
      <c r="O41" s="15">
        <f t="shared" si="234"/>
        <v>0</v>
      </c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D41" s="646">
        <f t="shared" si="235"/>
        <v>0</v>
      </c>
      <c r="AE41" s="15">
        <f t="shared" si="236"/>
        <v>0</v>
      </c>
      <c r="AF41" s="15">
        <f t="shared" si="237"/>
        <v>0</v>
      </c>
      <c r="AG41" s="15">
        <f t="shared" si="238"/>
        <v>0</v>
      </c>
      <c r="AH41" s="15">
        <f t="shared" si="239"/>
        <v>0</v>
      </c>
      <c r="AI41" s="15">
        <f t="shared" si="240"/>
        <v>0</v>
      </c>
      <c r="AJ41" s="15">
        <f t="shared" si="241"/>
        <v>0</v>
      </c>
      <c r="AK41" s="15">
        <f t="shared" si="242"/>
        <v>0</v>
      </c>
      <c r="AL41" s="15">
        <f t="shared" si="243"/>
        <v>0</v>
      </c>
      <c r="AM41" s="15">
        <f t="shared" si="244"/>
        <v>0</v>
      </c>
      <c r="AN41" s="15">
        <f t="shared" si="245"/>
        <v>0</v>
      </c>
      <c r="AO41" s="647">
        <f t="shared" si="246"/>
        <v>0</v>
      </c>
      <c r="AQ41" s="15">
        <f>SUMIFS('BS-KH26-DTR'!D$2:D$116,'BS-KH26-DTR'!$B$2:$B$116,$A41)</f>
        <v>0</v>
      </c>
      <c r="AR41" s="15">
        <f>SUMIFS('BS-KH26-DTR'!E$2:E$116,'BS-KH26-DTR'!$B$2:$B$116,$A41)</f>
        <v>0</v>
      </c>
      <c r="AS41" s="15">
        <f>SUMIFS('BS-KH26-DTR'!F$2:F$116,'BS-KH26-DTR'!$B$2:$B$116,$A41)</f>
        <v>0</v>
      </c>
      <c r="AT41" s="15">
        <f>SUMIFS('BS-KH26-DTR'!G$2:G$116,'BS-KH26-DTR'!$B$2:$B$116,$A41)</f>
        <v>0</v>
      </c>
      <c r="AU41" s="15">
        <f>SUMIFS('BS-KH26-DTR'!H$2:H$116,'BS-KH26-DTR'!$B$2:$B$116,$A41)</f>
        <v>0</v>
      </c>
      <c r="AV41" s="15">
        <f>SUMIFS('BS-KH26-DTR'!I$2:I$116,'BS-KH26-DTR'!$B$2:$B$116,$A41)</f>
        <v>0</v>
      </c>
      <c r="AW41" s="15">
        <f>SUMIFS('BS-KH26-DTR'!J$2:J$116,'BS-KH26-DTR'!$B$2:$B$116,$A41)</f>
        <v>0</v>
      </c>
      <c r="AX41" s="15">
        <f>SUMIFS('BS-KH26-DTR'!K$2:K$116,'BS-KH26-DTR'!$B$2:$B$116,$A41)</f>
        <v>0</v>
      </c>
      <c r="AY41" s="15">
        <f>SUMIFS('BS-KH26-DTR'!L$2:L$116,'BS-KH26-DTR'!$B$2:$B$116,$A41)</f>
        <v>0</v>
      </c>
      <c r="AZ41" s="15">
        <f>SUMIFS('BS-KH26-DTR'!M$2:M$116,'BS-KH26-DTR'!$B$2:$B$116,$A41)</f>
        <v>0</v>
      </c>
      <c r="BA41" s="15">
        <f>SUMIFS('BS-KH26-DTR'!N$2:N$116,'BS-KH26-DTR'!$B$2:$B$116,$A41)</f>
        <v>0</v>
      </c>
      <c r="BB41" s="15">
        <f>SUMIFS('BS-KH26-DTR'!O$2:O$116,'BS-KH26-DTR'!$B$2:$B$116,$A41)</f>
        <v>0</v>
      </c>
      <c r="BD41" s="15">
        <f>SUMIFS('BS-KH26-DongLam'!M$2:M$51,'BS-KH26-DongLam'!$A$2:$A$51,'Consol BS-DTRG'!$A41)</f>
        <v>0</v>
      </c>
      <c r="BE41" s="15">
        <f>SUMIFS('BS-KH26-DongLam'!N$2:N$51,'BS-KH26-DongLam'!$A$2:$A$51,'Consol BS-DTRG'!$A41)</f>
        <v>0</v>
      </c>
      <c r="BF41" s="15">
        <f>SUMIFS('BS-KH26-DongLam'!O$2:O$51,'BS-KH26-DongLam'!$A$2:$A$51,'Consol BS-DTRG'!$A41)</f>
        <v>0</v>
      </c>
      <c r="BG41" s="15">
        <f>SUMIFS('BS-KH26-DongLam'!P$2:P$51,'BS-KH26-DongLam'!$A$2:$A$51,'Consol BS-DTRG'!$A41)</f>
        <v>0</v>
      </c>
      <c r="BH41" s="15">
        <f>SUMIFS('BS-KH26-DongLam'!Q$2:Q$51,'BS-KH26-DongLam'!$A$2:$A$51,'Consol BS-DTRG'!$A41)</f>
        <v>0</v>
      </c>
      <c r="BI41" s="15">
        <f>SUMIFS('BS-KH26-DongLam'!R$2:R$51,'BS-KH26-DongLam'!$A$2:$A$51,'Consol BS-DTRG'!$A41)</f>
        <v>0</v>
      </c>
      <c r="BJ41" s="15">
        <f>SUMIFS('BS-KH26-DongLam'!S$2:S$51,'BS-KH26-DongLam'!$A$2:$A$51,'Consol BS-DTRG'!$A41)</f>
        <v>0</v>
      </c>
      <c r="BK41" s="15">
        <f>SUMIFS('BS-KH26-DongLam'!T$2:T$51,'BS-KH26-DongLam'!$A$2:$A$51,'Consol BS-DTRG'!$A41)</f>
        <v>0</v>
      </c>
      <c r="BL41" s="15">
        <f>SUMIFS('BS-KH26-DongLam'!U$2:U$51,'BS-KH26-DongLam'!$A$2:$A$51,'Consol BS-DTRG'!$A41)</f>
        <v>0</v>
      </c>
      <c r="BM41" s="15">
        <f>SUMIFS('BS-KH26-DongLam'!V$2:V$51,'BS-KH26-DongLam'!$A$2:$A$51,'Consol BS-DTRG'!$A41)</f>
        <v>0</v>
      </c>
      <c r="BN41" s="15">
        <f>SUMIFS('BS-KH26-DongLam'!W$2:W$51,'BS-KH26-DongLam'!$A$2:$A$51,'Consol BS-DTRG'!$A41)</f>
        <v>0</v>
      </c>
      <c r="BO41" s="15">
        <f>SUMIFS('BS-KH26-DongLam'!X$2:X$51,'BS-KH26-DongLam'!$A$2:$A$51,'Consol BS-DTRG'!$A41)</f>
        <v>0</v>
      </c>
      <c r="BQ41" s="15">
        <f>SUMIFS('BS-KH26-KhanhNga'!M$2:M$51,'BS-KH26-KhanhNga'!$A$2:$A$51,'Consol BS-DTRG'!$A41)</f>
        <v>0</v>
      </c>
      <c r="BR41" s="15">
        <f>SUMIFS('BS-KH26-KhanhNga'!N$2:N$51,'BS-KH26-KhanhNga'!$A$2:$A$51,'Consol BS-DTRG'!$A41)</f>
        <v>0</v>
      </c>
      <c r="BS41" s="15">
        <f>SUMIFS('BS-KH26-KhanhNga'!O$2:O$51,'BS-KH26-KhanhNga'!$A$2:$A$51,'Consol BS-DTRG'!$A41)</f>
        <v>0</v>
      </c>
      <c r="BT41" s="15">
        <f>SUMIFS('BS-KH26-KhanhNga'!P$2:P$51,'BS-KH26-KhanhNga'!$A$2:$A$51,'Consol BS-DTRG'!$A41)</f>
        <v>0</v>
      </c>
      <c r="BU41" s="15">
        <f>SUMIFS('BS-KH26-KhanhNga'!Q$2:Q$51,'BS-KH26-KhanhNga'!$A$2:$A$51,'Consol BS-DTRG'!$A41)</f>
        <v>0</v>
      </c>
      <c r="BV41" s="15">
        <f>SUMIFS('BS-KH26-KhanhNga'!R$2:R$51,'BS-KH26-KhanhNga'!$A$2:$A$51,'Consol BS-DTRG'!$A41)</f>
        <v>0</v>
      </c>
      <c r="BW41" s="15">
        <f>SUMIFS('BS-KH26-KhanhNga'!S$2:S$51,'BS-KH26-KhanhNga'!$A$2:$A$51,'Consol BS-DTRG'!$A41)</f>
        <v>0</v>
      </c>
      <c r="BX41" s="15">
        <f>SUMIFS('BS-KH26-KhanhNga'!T$2:T$51,'BS-KH26-KhanhNga'!$A$2:$A$51,'Consol BS-DTRG'!$A41)</f>
        <v>0</v>
      </c>
      <c r="BY41" s="15">
        <f>SUMIFS('BS-KH26-KhanhNga'!U$2:U$51,'BS-KH26-KhanhNga'!$A$2:$A$51,'Consol BS-DTRG'!$A41)</f>
        <v>0</v>
      </c>
      <c r="BZ41" s="15">
        <f>SUMIFS('BS-KH26-KhanhNga'!V$2:V$51,'BS-KH26-KhanhNga'!$A$2:$A$51,'Consol BS-DTRG'!$A41)</f>
        <v>0</v>
      </c>
      <c r="CA41" s="15">
        <f>SUMIFS('BS-KH26-KhanhNga'!W$2:W$51,'BS-KH26-KhanhNga'!$A$2:$A$51,'Consol BS-DTRG'!$A41)</f>
        <v>0</v>
      </c>
      <c r="CB41" s="15">
        <f>SUMIFS('BS-KH26-KhanhNga'!X$2:X$51,'BS-KH26-KhanhNga'!$A$2:$A$51,'Consol BS-DTRG'!$A41)</f>
        <v>0</v>
      </c>
      <c r="CD41" s="15">
        <f>SUMIFS('BS-KH26-DaiLoc'!M$2:M$51,'BS-KH26-DaiLoc'!$A$2:$A$51,'Consol BS-DTRG'!$A41)</f>
        <v>0</v>
      </c>
      <c r="CE41" s="15">
        <f>SUMIFS('BS-KH26-DaiLoc'!N$2:N$51,'BS-KH26-DaiLoc'!$A$2:$A$51,'Consol BS-DTRG'!$A41)</f>
        <v>0</v>
      </c>
      <c r="CF41" s="15">
        <f>SUMIFS('BS-KH26-DaiLoc'!O$2:O$51,'BS-KH26-DaiLoc'!$A$2:$A$51,'Consol BS-DTRG'!$A41)</f>
        <v>0</v>
      </c>
      <c r="CG41" s="15">
        <f>SUMIFS('BS-KH26-DaiLoc'!P$2:P$51,'BS-KH26-DaiLoc'!$A$2:$A$51,'Consol BS-DTRG'!$A41)</f>
        <v>0</v>
      </c>
      <c r="CH41" s="15">
        <f>SUMIFS('BS-KH26-DaiLoc'!Q$2:Q$51,'BS-KH26-DaiLoc'!$A$2:$A$51,'Consol BS-DTRG'!$A41)</f>
        <v>0</v>
      </c>
      <c r="CI41" s="15">
        <f>SUMIFS('BS-KH26-DaiLoc'!R$2:R$51,'BS-KH26-DaiLoc'!$A$2:$A$51,'Consol BS-DTRG'!$A41)</f>
        <v>0</v>
      </c>
      <c r="CJ41" s="15">
        <f>SUMIFS('BS-KH26-DaiLoc'!S$2:S$51,'BS-KH26-DaiLoc'!$A$2:$A$51,'Consol BS-DTRG'!$A41)</f>
        <v>0</v>
      </c>
      <c r="CK41" s="15">
        <f>SUMIFS('BS-KH26-DaiLoc'!T$2:T$51,'BS-KH26-DaiLoc'!$A$2:$A$51,'Consol BS-DTRG'!$A41)</f>
        <v>0</v>
      </c>
      <c r="CL41" s="15">
        <f>SUMIFS('BS-KH26-DaiLoc'!U$2:U$51,'BS-KH26-DaiLoc'!$A$2:$A$51,'Consol BS-DTRG'!$A41)</f>
        <v>0</v>
      </c>
      <c r="CM41" s="15">
        <f>SUMIFS('BS-KH26-DaiLoc'!V$2:V$51,'BS-KH26-DaiLoc'!$A$2:$A$51,'Consol BS-DTRG'!$A41)</f>
        <v>0</v>
      </c>
      <c r="CN41" s="15">
        <f>SUMIFS('BS-KH26-DaiLoc'!W$2:W$51,'BS-KH26-DaiLoc'!$A$2:$A$51,'Consol BS-DTRG'!$A41)</f>
        <v>0</v>
      </c>
      <c r="CO41" s="15">
        <f>SUMIFS('BS-KH26-DaiLoc'!X$2:X$51,'BS-KH26-DaiLoc'!$A$2:$A$51,'Consol BS-DTRG'!$A41)</f>
        <v>0</v>
      </c>
      <c r="CQ41" s="15">
        <v>0</v>
      </c>
      <c r="CR41" s="15">
        <f t="shared" si="247"/>
        <v>0</v>
      </c>
      <c r="CS41" s="15">
        <f t="shared" si="247"/>
        <v>0</v>
      </c>
      <c r="CT41" s="15">
        <f t="shared" si="247"/>
        <v>0</v>
      </c>
      <c r="CU41" s="15">
        <f t="shared" si="247"/>
        <v>0</v>
      </c>
      <c r="CV41" s="15">
        <f t="shared" si="247"/>
        <v>0</v>
      </c>
      <c r="CW41" s="15">
        <f t="shared" si="247"/>
        <v>0</v>
      </c>
      <c r="CX41" s="15">
        <f t="shared" si="247"/>
        <v>0</v>
      </c>
      <c r="CY41" s="15">
        <f t="shared" si="247"/>
        <v>0</v>
      </c>
      <c r="CZ41" s="15">
        <f t="shared" si="247"/>
        <v>0</v>
      </c>
      <c r="DA41" s="15">
        <f t="shared" si="247"/>
        <v>0</v>
      </c>
      <c r="DB41" s="15">
        <f t="shared" si="247"/>
        <v>0</v>
      </c>
    </row>
    <row r="42" spans="1:106" hidden="1" outlineLevel="1">
      <c r="A42" s="633">
        <v>39</v>
      </c>
      <c r="B42" s="612" t="s">
        <v>293</v>
      </c>
      <c r="C42" t="s">
        <v>518</v>
      </c>
      <c r="D42" s="15">
        <f t="shared" si="223"/>
        <v>5600000000</v>
      </c>
      <c r="E42" s="15">
        <f t="shared" si="224"/>
        <v>5600000000</v>
      </c>
      <c r="F42" s="15">
        <f t="shared" si="225"/>
        <v>5600000000</v>
      </c>
      <c r="G42" s="15">
        <f t="shared" si="226"/>
        <v>5600000000</v>
      </c>
      <c r="H42" s="15">
        <f t="shared" si="227"/>
        <v>5600000000</v>
      </c>
      <c r="I42" s="15">
        <f t="shared" si="228"/>
        <v>5600000000</v>
      </c>
      <c r="J42" s="15">
        <f t="shared" si="229"/>
        <v>5600000000</v>
      </c>
      <c r="K42" s="15">
        <f t="shared" si="230"/>
        <v>5600000000</v>
      </c>
      <c r="L42" s="15">
        <f t="shared" si="231"/>
        <v>5600000000</v>
      </c>
      <c r="M42" s="15">
        <f t="shared" si="232"/>
        <v>5600000000</v>
      </c>
      <c r="N42" s="15">
        <f t="shared" si="233"/>
        <v>5600000000</v>
      </c>
      <c r="O42" s="15">
        <f t="shared" si="234"/>
        <v>5600000000</v>
      </c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D42" s="646">
        <f t="shared" si="235"/>
        <v>5600000000</v>
      </c>
      <c r="AE42" s="15">
        <f t="shared" si="236"/>
        <v>5600000000</v>
      </c>
      <c r="AF42" s="15">
        <f t="shared" si="237"/>
        <v>5600000000</v>
      </c>
      <c r="AG42" s="15">
        <f t="shared" si="238"/>
        <v>5600000000</v>
      </c>
      <c r="AH42" s="15">
        <f t="shared" si="239"/>
        <v>5600000000</v>
      </c>
      <c r="AI42" s="15">
        <f t="shared" si="240"/>
        <v>5600000000</v>
      </c>
      <c r="AJ42" s="15">
        <f t="shared" si="241"/>
        <v>5600000000</v>
      </c>
      <c r="AK42" s="15">
        <f t="shared" si="242"/>
        <v>5600000000</v>
      </c>
      <c r="AL42" s="15">
        <f t="shared" si="243"/>
        <v>5600000000</v>
      </c>
      <c r="AM42" s="15">
        <f t="shared" si="244"/>
        <v>5600000000</v>
      </c>
      <c r="AN42" s="15">
        <f t="shared" si="245"/>
        <v>5600000000</v>
      </c>
      <c r="AO42" s="647">
        <f t="shared" si="246"/>
        <v>5600000000</v>
      </c>
      <c r="AQ42" s="15">
        <f>SUMIFS('BS-KH26-DTR'!D$2:D$116,'BS-KH26-DTR'!$B$2:$B$116,$A42)</f>
        <v>5600000000</v>
      </c>
      <c r="AR42" s="15">
        <f>SUMIFS('BS-KH26-DTR'!E$2:E$116,'BS-KH26-DTR'!$B$2:$B$116,$A42)</f>
        <v>5600000000</v>
      </c>
      <c r="AS42" s="15">
        <f>SUMIFS('BS-KH26-DTR'!F$2:F$116,'BS-KH26-DTR'!$B$2:$B$116,$A42)</f>
        <v>5600000000</v>
      </c>
      <c r="AT42" s="15">
        <f>SUMIFS('BS-KH26-DTR'!G$2:G$116,'BS-KH26-DTR'!$B$2:$B$116,$A42)</f>
        <v>5600000000</v>
      </c>
      <c r="AU42" s="15">
        <f>SUMIFS('BS-KH26-DTR'!H$2:H$116,'BS-KH26-DTR'!$B$2:$B$116,$A42)</f>
        <v>5600000000</v>
      </c>
      <c r="AV42" s="15">
        <f>SUMIFS('BS-KH26-DTR'!I$2:I$116,'BS-KH26-DTR'!$B$2:$B$116,$A42)</f>
        <v>5600000000</v>
      </c>
      <c r="AW42" s="15">
        <f>SUMIFS('BS-KH26-DTR'!J$2:J$116,'BS-KH26-DTR'!$B$2:$B$116,$A42)</f>
        <v>5600000000</v>
      </c>
      <c r="AX42" s="15">
        <f>SUMIFS('BS-KH26-DTR'!K$2:K$116,'BS-KH26-DTR'!$B$2:$B$116,$A42)</f>
        <v>5600000000</v>
      </c>
      <c r="AY42" s="15">
        <f>SUMIFS('BS-KH26-DTR'!L$2:L$116,'BS-KH26-DTR'!$B$2:$B$116,$A42)</f>
        <v>5600000000</v>
      </c>
      <c r="AZ42" s="15">
        <f>SUMIFS('BS-KH26-DTR'!M$2:M$116,'BS-KH26-DTR'!$B$2:$B$116,$A42)</f>
        <v>5600000000</v>
      </c>
      <c r="BA42" s="15">
        <f>SUMIFS('BS-KH26-DTR'!N$2:N$116,'BS-KH26-DTR'!$B$2:$B$116,$A42)</f>
        <v>5600000000</v>
      </c>
      <c r="BB42" s="15">
        <f>SUMIFS('BS-KH26-DTR'!O$2:O$116,'BS-KH26-DTR'!$B$2:$B$116,$A42)</f>
        <v>5600000000</v>
      </c>
      <c r="BD42" s="15">
        <f>SUMIFS('BS-KH26-DongLam'!M$2:M$51,'BS-KH26-DongLam'!$A$2:$A$51,'Consol BS-DTRG'!$A42)</f>
        <v>0</v>
      </c>
      <c r="BE42" s="15">
        <f>SUMIFS('BS-KH26-DongLam'!N$2:N$51,'BS-KH26-DongLam'!$A$2:$A$51,'Consol BS-DTRG'!$A42)</f>
        <v>0</v>
      </c>
      <c r="BF42" s="15">
        <f>SUMIFS('BS-KH26-DongLam'!O$2:O$51,'BS-KH26-DongLam'!$A$2:$A$51,'Consol BS-DTRG'!$A42)</f>
        <v>0</v>
      </c>
      <c r="BG42" s="15">
        <f>SUMIFS('BS-KH26-DongLam'!P$2:P$51,'BS-KH26-DongLam'!$A$2:$A$51,'Consol BS-DTRG'!$A42)</f>
        <v>0</v>
      </c>
      <c r="BH42" s="15">
        <f>SUMIFS('BS-KH26-DongLam'!Q$2:Q$51,'BS-KH26-DongLam'!$A$2:$A$51,'Consol BS-DTRG'!$A42)</f>
        <v>0</v>
      </c>
      <c r="BI42" s="15">
        <f>SUMIFS('BS-KH26-DongLam'!R$2:R$51,'BS-KH26-DongLam'!$A$2:$A$51,'Consol BS-DTRG'!$A42)</f>
        <v>0</v>
      </c>
      <c r="BJ42" s="15">
        <f>SUMIFS('BS-KH26-DongLam'!S$2:S$51,'BS-KH26-DongLam'!$A$2:$A$51,'Consol BS-DTRG'!$A42)</f>
        <v>0</v>
      </c>
      <c r="BK42" s="15">
        <f>SUMIFS('BS-KH26-DongLam'!T$2:T$51,'BS-KH26-DongLam'!$A$2:$A$51,'Consol BS-DTRG'!$A42)</f>
        <v>0</v>
      </c>
      <c r="BL42" s="15">
        <f>SUMIFS('BS-KH26-DongLam'!U$2:U$51,'BS-KH26-DongLam'!$A$2:$A$51,'Consol BS-DTRG'!$A42)</f>
        <v>0</v>
      </c>
      <c r="BM42" s="15">
        <f>SUMIFS('BS-KH26-DongLam'!V$2:V$51,'BS-KH26-DongLam'!$A$2:$A$51,'Consol BS-DTRG'!$A42)</f>
        <v>0</v>
      </c>
      <c r="BN42" s="15">
        <f>SUMIFS('BS-KH26-DongLam'!W$2:W$51,'BS-KH26-DongLam'!$A$2:$A$51,'Consol BS-DTRG'!$A42)</f>
        <v>0</v>
      </c>
      <c r="BO42" s="15">
        <f>SUMIFS('BS-KH26-DongLam'!X$2:X$51,'BS-KH26-DongLam'!$A$2:$A$51,'Consol BS-DTRG'!$A42)</f>
        <v>0</v>
      </c>
      <c r="BQ42" s="15">
        <f>SUMIFS('BS-KH26-KhanhNga'!M$2:M$51,'BS-KH26-KhanhNga'!$A$2:$A$51,'Consol BS-DTRG'!$A42)</f>
        <v>0</v>
      </c>
      <c r="BR42" s="15">
        <f>SUMIFS('BS-KH26-KhanhNga'!N$2:N$51,'BS-KH26-KhanhNga'!$A$2:$A$51,'Consol BS-DTRG'!$A42)</f>
        <v>0</v>
      </c>
      <c r="BS42" s="15">
        <f>SUMIFS('BS-KH26-KhanhNga'!O$2:O$51,'BS-KH26-KhanhNga'!$A$2:$A$51,'Consol BS-DTRG'!$A42)</f>
        <v>0</v>
      </c>
      <c r="BT42" s="15">
        <f>SUMIFS('BS-KH26-KhanhNga'!P$2:P$51,'BS-KH26-KhanhNga'!$A$2:$A$51,'Consol BS-DTRG'!$A42)</f>
        <v>0</v>
      </c>
      <c r="BU42" s="15">
        <f>SUMIFS('BS-KH26-KhanhNga'!Q$2:Q$51,'BS-KH26-KhanhNga'!$A$2:$A$51,'Consol BS-DTRG'!$A42)</f>
        <v>0</v>
      </c>
      <c r="BV42" s="15">
        <f>SUMIFS('BS-KH26-KhanhNga'!R$2:R$51,'BS-KH26-KhanhNga'!$A$2:$A$51,'Consol BS-DTRG'!$A42)</f>
        <v>0</v>
      </c>
      <c r="BW42" s="15">
        <f>SUMIFS('BS-KH26-KhanhNga'!S$2:S$51,'BS-KH26-KhanhNga'!$A$2:$A$51,'Consol BS-DTRG'!$A42)</f>
        <v>0</v>
      </c>
      <c r="BX42" s="15">
        <f>SUMIFS('BS-KH26-KhanhNga'!T$2:T$51,'BS-KH26-KhanhNga'!$A$2:$A$51,'Consol BS-DTRG'!$A42)</f>
        <v>0</v>
      </c>
      <c r="BY42" s="15">
        <f>SUMIFS('BS-KH26-KhanhNga'!U$2:U$51,'BS-KH26-KhanhNga'!$A$2:$A$51,'Consol BS-DTRG'!$A42)</f>
        <v>0</v>
      </c>
      <c r="BZ42" s="15">
        <f>SUMIFS('BS-KH26-KhanhNga'!V$2:V$51,'BS-KH26-KhanhNga'!$A$2:$A$51,'Consol BS-DTRG'!$A42)</f>
        <v>0</v>
      </c>
      <c r="CA42" s="15">
        <f>SUMIFS('BS-KH26-KhanhNga'!W$2:W$51,'BS-KH26-KhanhNga'!$A$2:$A$51,'Consol BS-DTRG'!$A42)</f>
        <v>0</v>
      </c>
      <c r="CB42" s="15">
        <f>SUMIFS('BS-KH26-KhanhNga'!X$2:X$51,'BS-KH26-KhanhNga'!$A$2:$A$51,'Consol BS-DTRG'!$A42)</f>
        <v>0</v>
      </c>
      <c r="CD42" s="15">
        <f>SUMIFS('BS-KH26-DaiLoc'!M$2:M$51,'BS-KH26-DaiLoc'!$A$2:$A$51,'Consol BS-DTRG'!$A42)</f>
        <v>0</v>
      </c>
      <c r="CE42" s="15">
        <f>SUMIFS('BS-KH26-DaiLoc'!N$2:N$51,'BS-KH26-DaiLoc'!$A$2:$A$51,'Consol BS-DTRG'!$A42)</f>
        <v>0</v>
      </c>
      <c r="CF42" s="15">
        <f>SUMIFS('BS-KH26-DaiLoc'!O$2:O$51,'BS-KH26-DaiLoc'!$A$2:$A$51,'Consol BS-DTRG'!$A42)</f>
        <v>0</v>
      </c>
      <c r="CG42" s="15">
        <f>SUMIFS('BS-KH26-DaiLoc'!P$2:P$51,'BS-KH26-DaiLoc'!$A$2:$A$51,'Consol BS-DTRG'!$A42)</f>
        <v>0</v>
      </c>
      <c r="CH42" s="15">
        <f>SUMIFS('BS-KH26-DaiLoc'!Q$2:Q$51,'BS-KH26-DaiLoc'!$A$2:$A$51,'Consol BS-DTRG'!$A42)</f>
        <v>0</v>
      </c>
      <c r="CI42" s="15">
        <f>SUMIFS('BS-KH26-DaiLoc'!R$2:R$51,'BS-KH26-DaiLoc'!$A$2:$A$51,'Consol BS-DTRG'!$A42)</f>
        <v>0</v>
      </c>
      <c r="CJ42" s="15">
        <f>SUMIFS('BS-KH26-DaiLoc'!S$2:S$51,'BS-KH26-DaiLoc'!$A$2:$A$51,'Consol BS-DTRG'!$A42)</f>
        <v>0</v>
      </c>
      <c r="CK42" s="15">
        <f>SUMIFS('BS-KH26-DaiLoc'!T$2:T$51,'BS-KH26-DaiLoc'!$A$2:$A$51,'Consol BS-DTRG'!$A42)</f>
        <v>0</v>
      </c>
      <c r="CL42" s="15">
        <f>SUMIFS('BS-KH26-DaiLoc'!U$2:U$51,'BS-KH26-DaiLoc'!$A$2:$A$51,'Consol BS-DTRG'!$A42)</f>
        <v>0</v>
      </c>
      <c r="CM42" s="15">
        <f>SUMIFS('BS-KH26-DaiLoc'!V$2:V$51,'BS-KH26-DaiLoc'!$A$2:$A$51,'Consol BS-DTRG'!$A42)</f>
        <v>0</v>
      </c>
      <c r="CN42" s="15">
        <f>SUMIFS('BS-KH26-DaiLoc'!W$2:W$51,'BS-KH26-DaiLoc'!$A$2:$A$51,'Consol BS-DTRG'!$A42)</f>
        <v>0</v>
      </c>
      <c r="CO42" s="15">
        <f>SUMIFS('BS-KH26-DaiLoc'!X$2:X$51,'BS-KH26-DaiLoc'!$A$2:$A$51,'Consol BS-DTRG'!$A42)</f>
        <v>0</v>
      </c>
      <c r="CQ42" s="15">
        <v>0</v>
      </c>
      <c r="CR42" s="15">
        <f t="shared" si="247"/>
        <v>0</v>
      </c>
      <c r="CS42" s="15">
        <f t="shared" si="247"/>
        <v>0</v>
      </c>
      <c r="CT42" s="15">
        <f t="shared" si="247"/>
        <v>0</v>
      </c>
      <c r="CU42" s="15">
        <f t="shared" si="247"/>
        <v>0</v>
      </c>
      <c r="CV42" s="15">
        <f t="shared" si="247"/>
        <v>0</v>
      </c>
      <c r="CW42" s="15">
        <f t="shared" si="247"/>
        <v>0</v>
      </c>
      <c r="CX42" s="15">
        <f t="shared" si="247"/>
        <v>0</v>
      </c>
      <c r="CY42" s="15">
        <f t="shared" si="247"/>
        <v>0</v>
      </c>
      <c r="CZ42" s="15">
        <f t="shared" si="247"/>
        <v>0</v>
      </c>
      <c r="DA42" s="15">
        <f t="shared" si="247"/>
        <v>0</v>
      </c>
      <c r="DB42" s="15">
        <f t="shared" si="247"/>
        <v>0</v>
      </c>
    </row>
    <row r="43" spans="1:106" hidden="1" outlineLevel="1">
      <c r="A43" s="633">
        <v>40</v>
      </c>
      <c r="B43" s="612" t="s">
        <v>294</v>
      </c>
      <c r="C43" t="s">
        <v>518</v>
      </c>
      <c r="D43" s="15">
        <f t="shared" si="223"/>
        <v>0</v>
      </c>
      <c r="E43" s="15">
        <f t="shared" si="224"/>
        <v>0</v>
      </c>
      <c r="F43" s="15">
        <f t="shared" si="225"/>
        <v>0</v>
      </c>
      <c r="G43" s="15">
        <f t="shared" si="226"/>
        <v>0</v>
      </c>
      <c r="H43" s="15">
        <f t="shared" si="227"/>
        <v>0</v>
      </c>
      <c r="I43" s="15">
        <f t="shared" si="228"/>
        <v>0</v>
      </c>
      <c r="J43" s="15">
        <f t="shared" si="229"/>
        <v>0</v>
      </c>
      <c r="K43" s="15">
        <f t="shared" si="230"/>
        <v>0</v>
      </c>
      <c r="L43" s="15">
        <f t="shared" si="231"/>
        <v>0</v>
      </c>
      <c r="M43" s="15">
        <f t="shared" si="232"/>
        <v>0</v>
      </c>
      <c r="N43" s="15">
        <f t="shared" si="233"/>
        <v>0</v>
      </c>
      <c r="O43" s="15">
        <f t="shared" si="234"/>
        <v>0</v>
      </c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D43" s="646">
        <f t="shared" si="235"/>
        <v>0</v>
      </c>
      <c r="AE43" s="15">
        <f t="shared" si="236"/>
        <v>0</v>
      </c>
      <c r="AF43" s="15">
        <f t="shared" si="237"/>
        <v>0</v>
      </c>
      <c r="AG43" s="15">
        <f t="shared" si="238"/>
        <v>0</v>
      </c>
      <c r="AH43" s="15">
        <f t="shared" si="239"/>
        <v>0</v>
      </c>
      <c r="AI43" s="15">
        <f t="shared" si="240"/>
        <v>0</v>
      </c>
      <c r="AJ43" s="15">
        <f t="shared" si="241"/>
        <v>0</v>
      </c>
      <c r="AK43" s="15">
        <f t="shared" si="242"/>
        <v>0</v>
      </c>
      <c r="AL43" s="15">
        <f t="shared" si="243"/>
        <v>0</v>
      </c>
      <c r="AM43" s="15">
        <f t="shared" si="244"/>
        <v>0</v>
      </c>
      <c r="AN43" s="15">
        <f t="shared" si="245"/>
        <v>0</v>
      </c>
      <c r="AO43" s="647">
        <f t="shared" si="246"/>
        <v>0</v>
      </c>
      <c r="AQ43" s="15">
        <f>SUMIFS('BS-KH26-DTR'!D$2:D$116,'BS-KH26-DTR'!$B$2:$B$116,$A43)</f>
        <v>0</v>
      </c>
      <c r="AR43" s="15">
        <f>SUMIFS('BS-KH26-DTR'!E$2:E$116,'BS-KH26-DTR'!$B$2:$B$116,$A43)</f>
        <v>0</v>
      </c>
      <c r="AS43" s="15">
        <f>SUMIFS('BS-KH26-DTR'!F$2:F$116,'BS-KH26-DTR'!$B$2:$B$116,$A43)</f>
        <v>0</v>
      </c>
      <c r="AT43" s="15">
        <f>SUMIFS('BS-KH26-DTR'!G$2:G$116,'BS-KH26-DTR'!$B$2:$B$116,$A43)</f>
        <v>0</v>
      </c>
      <c r="AU43" s="15">
        <f>SUMIFS('BS-KH26-DTR'!H$2:H$116,'BS-KH26-DTR'!$B$2:$B$116,$A43)</f>
        <v>0</v>
      </c>
      <c r="AV43" s="15">
        <f>SUMIFS('BS-KH26-DTR'!I$2:I$116,'BS-KH26-DTR'!$B$2:$B$116,$A43)</f>
        <v>0</v>
      </c>
      <c r="AW43" s="15">
        <f>SUMIFS('BS-KH26-DTR'!J$2:J$116,'BS-KH26-DTR'!$B$2:$B$116,$A43)</f>
        <v>0</v>
      </c>
      <c r="AX43" s="15">
        <f>SUMIFS('BS-KH26-DTR'!K$2:K$116,'BS-KH26-DTR'!$B$2:$B$116,$A43)</f>
        <v>0</v>
      </c>
      <c r="AY43" s="15">
        <f>SUMIFS('BS-KH26-DTR'!L$2:L$116,'BS-KH26-DTR'!$B$2:$B$116,$A43)</f>
        <v>0</v>
      </c>
      <c r="AZ43" s="15">
        <f>SUMIFS('BS-KH26-DTR'!M$2:M$116,'BS-KH26-DTR'!$B$2:$B$116,$A43)</f>
        <v>0</v>
      </c>
      <c r="BA43" s="15">
        <f>SUMIFS('BS-KH26-DTR'!N$2:N$116,'BS-KH26-DTR'!$B$2:$B$116,$A43)</f>
        <v>0</v>
      </c>
      <c r="BB43" s="15">
        <f>SUMIFS('BS-KH26-DTR'!O$2:O$116,'BS-KH26-DTR'!$B$2:$B$116,$A43)</f>
        <v>0</v>
      </c>
      <c r="BD43" s="15">
        <f>SUMIFS('BS-KH26-DongLam'!M$2:M$51,'BS-KH26-DongLam'!$A$2:$A$51,'Consol BS-DTRG'!$A43)</f>
        <v>0</v>
      </c>
      <c r="BE43" s="15">
        <f>SUMIFS('BS-KH26-DongLam'!N$2:N$51,'BS-KH26-DongLam'!$A$2:$A$51,'Consol BS-DTRG'!$A43)</f>
        <v>0</v>
      </c>
      <c r="BF43" s="15">
        <f>SUMIFS('BS-KH26-DongLam'!O$2:O$51,'BS-KH26-DongLam'!$A$2:$A$51,'Consol BS-DTRG'!$A43)</f>
        <v>0</v>
      </c>
      <c r="BG43" s="15">
        <f>SUMIFS('BS-KH26-DongLam'!P$2:P$51,'BS-KH26-DongLam'!$A$2:$A$51,'Consol BS-DTRG'!$A43)</f>
        <v>0</v>
      </c>
      <c r="BH43" s="15">
        <f>SUMIFS('BS-KH26-DongLam'!Q$2:Q$51,'BS-KH26-DongLam'!$A$2:$A$51,'Consol BS-DTRG'!$A43)</f>
        <v>0</v>
      </c>
      <c r="BI43" s="15">
        <f>SUMIFS('BS-KH26-DongLam'!R$2:R$51,'BS-KH26-DongLam'!$A$2:$A$51,'Consol BS-DTRG'!$A43)</f>
        <v>0</v>
      </c>
      <c r="BJ43" s="15">
        <f>SUMIFS('BS-KH26-DongLam'!S$2:S$51,'BS-KH26-DongLam'!$A$2:$A$51,'Consol BS-DTRG'!$A43)</f>
        <v>0</v>
      </c>
      <c r="BK43" s="15">
        <f>SUMIFS('BS-KH26-DongLam'!T$2:T$51,'BS-KH26-DongLam'!$A$2:$A$51,'Consol BS-DTRG'!$A43)</f>
        <v>0</v>
      </c>
      <c r="BL43" s="15">
        <f>SUMIFS('BS-KH26-DongLam'!U$2:U$51,'BS-KH26-DongLam'!$A$2:$A$51,'Consol BS-DTRG'!$A43)</f>
        <v>0</v>
      </c>
      <c r="BM43" s="15">
        <f>SUMIFS('BS-KH26-DongLam'!V$2:V$51,'BS-KH26-DongLam'!$A$2:$A$51,'Consol BS-DTRG'!$A43)</f>
        <v>0</v>
      </c>
      <c r="BN43" s="15">
        <f>SUMIFS('BS-KH26-DongLam'!W$2:W$51,'BS-KH26-DongLam'!$A$2:$A$51,'Consol BS-DTRG'!$A43)</f>
        <v>0</v>
      </c>
      <c r="BO43" s="15">
        <f>SUMIFS('BS-KH26-DongLam'!X$2:X$51,'BS-KH26-DongLam'!$A$2:$A$51,'Consol BS-DTRG'!$A43)</f>
        <v>0</v>
      </c>
      <c r="BQ43" s="15">
        <f>SUMIFS('BS-KH26-KhanhNga'!M$2:M$51,'BS-KH26-KhanhNga'!$A$2:$A$51,'Consol BS-DTRG'!$A43)</f>
        <v>0</v>
      </c>
      <c r="BR43" s="15">
        <f>SUMIFS('BS-KH26-KhanhNga'!N$2:N$51,'BS-KH26-KhanhNga'!$A$2:$A$51,'Consol BS-DTRG'!$A43)</f>
        <v>0</v>
      </c>
      <c r="BS43" s="15">
        <f>SUMIFS('BS-KH26-KhanhNga'!O$2:O$51,'BS-KH26-KhanhNga'!$A$2:$A$51,'Consol BS-DTRG'!$A43)</f>
        <v>0</v>
      </c>
      <c r="BT43" s="15">
        <f>SUMIFS('BS-KH26-KhanhNga'!P$2:P$51,'BS-KH26-KhanhNga'!$A$2:$A$51,'Consol BS-DTRG'!$A43)</f>
        <v>0</v>
      </c>
      <c r="BU43" s="15">
        <f>SUMIFS('BS-KH26-KhanhNga'!Q$2:Q$51,'BS-KH26-KhanhNga'!$A$2:$A$51,'Consol BS-DTRG'!$A43)</f>
        <v>0</v>
      </c>
      <c r="BV43" s="15">
        <f>SUMIFS('BS-KH26-KhanhNga'!R$2:R$51,'BS-KH26-KhanhNga'!$A$2:$A$51,'Consol BS-DTRG'!$A43)</f>
        <v>0</v>
      </c>
      <c r="BW43" s="15">
        <f>SUMIFS('BS-KH26-KhanhNga'!S$2:S$51,'BS-KH26-KhanhNga'!$A$2:$A$51,'Consol BS-DTRG'!$A43)</f>
        <v>0</v>
      </c>
      <c r="BX43" s="15">
        <f>SUMIFS('BS-KH26-KhanhNga'!T$2:T$51,'BS-KH26-KhanhNga'!$A$2:$A$51,'Consol BS-DTRG'!$A43)</f>
        <v>0</v>
      </c>
      <c r="BY43" s="15">
        <f>SUMIFS('BS-KH26-KhanhNga'!U$2:U$51,'BS-KH26-KhanhNga'!$A$2:$A$51,'Consol BS-DTRG'!$A43)</f>
        <v>0</v>
      </c>
      <c r="BZ43" s="15">
        <f>SUMIFS('BS-KH26-KhanhNga'!V$2:V$51,'BS-KH26-KhanhNga'!$A$2:$A$51,'Consol BS-DTRG'!$A43)</f>
        <v>0</v>
      </c>
      <c r="CA43" s="15">
        <f>SUMIFS('BS-KH26-KhanhNga'!W$2:W$51,'BS-KH26-KhanhNga'!$A$2:$A$51,'Consol BS-DTRG'!$A43)</f>
        <v>0</v>
      </c>
      <c r="CB43" s="15">
        <f>SUMIFS('BS-KH26-KhanhNga'!X$2:X$51,'BS-KH26-KhanhNga'!$A$2:$A$51,'Consol BS-DTRG'!$A43)</f>
        <v>0</v>
      </c>
      <c r="CD43" s="15">
        <f>SUMIFS('BS-KH26-DaiLoc'!M$2:M$51,'BS-KH26-DaiLoc'!$A$2:$A$51,'Consol BS-DTRG'!$A43)</f>
        <v>0</v>
      </c>
      <c r="CE43" s="15">
        <f>SUMIFS('BS-KH26-DaiLoc'!N$2:N$51,'BS-KH26-DaiLoc'!$A$2:$A$51,'Consol BS-DTRG'!$A43)</f>
        <v>0</v>
      </c>
      <c r="CF43" s="15">
        <f>SUMIFS('BS-KH26-DaiLoc'!O$2:O$51,'BS-KH26-DaiLoc'!$A$2:$A$51,'Consol BS-DTRG'!$A43)</f>
        <v>0</v>
      </c>
      <c r="CG43" s="15">
        <f>SUMIFS('BS-KH26-DaiLoc'!P$2:P$51,'BS-KH26-DaiLoc'!$A$2:$A$51,'Consol BS-DTRG'!$A43)</f>
        <v>0</v>
      </c>
      <c r="CH43" s="15">
        <f>SUMIFS('BS-KH26-DaiLoc'!Q$2:Q$51,'BS-KH26-DaiLoc'!$A$2:$A$51,'Consol BS-DTRG'!$A43)</f>
        <v>0</v>
      </c>
      <c r="CI43" s="15">
        <f>SUMIFS('BS-KH26-DaiLoc'!R$2:R$51,'BS-KH26-DaiLoc'!$A$2:$A$51,'Consol BS-DTRG'!$A43)</f>
        <v>0</v>
      </c>
      <c r="CJ43" s="15">
        <f>SUMIFS('BS-KH26-DaiLoc'!S$2:S$51,'BS-KH26-DaiLoc'!$A$2:$A$51,'Consol BS-DTRG'!$A43)</f>
        <v>0</v>
      </c>
      <c r="CK43" s="15">
        <f>SUMIFS('BS-KH26-DaiLoc'!T$2:T$51,'BS-KH26-DaiLoc'!$A$2:$A$51,'Consol BS-DTRG'!$A43)</f>
        <v>0</v>
      </c>
      <c r="CL43" s="15">
        <f>SUMIFS('BS-KH26-DaiLoc'!U$2:U$51,'BS-KH26-DaiLoc'!$A$2:$A$51,'Consol BS-DTRG'!$A43)</f>
        <v>0</v>
      </c>
      <c r="CM43" s="15">
        <f>SUMIFS('BS-KH26-DaiLoc'!V$2:V$51,'BS-KH26-DaiLoc'!$A$2:$A$51,'Consol BS-DTRG'!$A43)</f>
        <v>0</v>
      </c>
      <c r="CN43" s="15">
        <f>SUMIFS('BS-KH26-DaiLoc'!W$2:W$51,'BS-KH26-DaiLoc'!$A$2:$A$51,'Consol BS-DTRG'!$A43)</f>
        <v>0</v>
      </c>
      <c r="CO43" s="15">
        <f>SUMIFS('BS-KH26-DaiLoc'!X$2:X$51,'BS-KH26-DaiLoc'!$A$2:$A$51,'Consol BS-DTRG'!$A43)</f>
        <v>0</v>
      </c>
      <c r="CQ43" s="15">
        <v>0</v>
      </c>
      <c r="CR43" s="15">
        <f t="shared" si="247"/>
        <v>0</v>
      </c>
      <c r="CS43" s="15">
        <f t="shared" si="247"/>
        <v>0</v>
      </c>
      <c r="CT43" s="15">
        <f t="shared" si="247"/>
        <v>0</v>
      </c>
      <c r="CU43" s="15">
        <f t="shared" si="247"/>
        <v>0</v>
      </c>
      <c r="CV43" s="15">
        <f t="shared" si="247"/>
        <v>0</v>
      </c>
      <c r="CW43" s="15">
        <f t="shared" si="247"/>
        <v>0</v>
      </c>
      <c r="CX43" s="15">
        <f t="shared" si="247"/>
        <v>0</v>
      </c>
      <c r="CY43" s="15">
        <f t="shared" si="247"/>
        <v>0</v>
      </c>
      <c r="CZ43" s="15">
        <f t="shared" si="247"/>
        <v>0</v>
      </c>
      <c r="DA43" s="15">
        <f t="shared" si="247"/>
        <v>0</v>
      </c>
      <c r="DB43" s="15">
        <f t="shared" si="247"/>
        <v>0</v>
      </c>
    </row>
    <row r="44" spans="1:106" collapsed="1">
      <c r="A44" s="1">
        <v>41</v>
      </c>
      <c r="B44" s="617" t="s">
        <v>295</v>
      </c>
      <c r="D44" s="14">
        <f>D45+D48+D51</f>
        <v>798332447621.76636</v>
      </c>
      <c r="E44" s="14">
        <f t="shared" ref="E44:O44" si="248">E45+E48+E51</f>
        <v>806565206650.6897</v>
      </c>
      <c r="F44" s="14">
        <f t="shared" si="248"/>
        <v>805432643798.19788</v>
      </c>
      <c r="G44" s="14">
        <f t="shared" si="248"/>
        <v>815851870008.20801</v>
      </c>
      <c r="H44" s="14">
        <f t="shared" si="248"/>
        <v>829412439162.21802</v>
      </c>
      <c r="I44" s="14">
        <f t="shared" si="248"/>
        <v>822694113178.22803</v>
      </c>
      <c r="J44" s="14">
        <f t="shared" si="248"/>
        <v>815975787194.23816</v>
      </c>
      <c r="K44" s="14">
        <f t="shared" si="248"/>
        <v>809257461210.24817</v>
      </c>
      <c r="L44" s="14">
        <f t="shared" si="248"/>
        <v>806384965226.25818</v>
      </c>
      <c r="M44" s="14">
        <f t="shared" si="248"/>
        <v>799636458698.15698</v>
      </c>
      <c r="N44" s="14">
        <f t="shared" si="248"/>
        <v>794360952170.05603</v>
      </c>
      <c r="O44" s="14">
        <f t="shared" si="248"/>
        <v>951592281752.95483</v>
      </c>
      <c r="Q44" s="14">
        <f>Q45+Q48+Q51</f>
        <v>0</v>
      </c>
      <c r="R44" s="14">
        <f t="shared" ref="R44" si="249">R45+R48+R51</f>
        <v>0</v>
      </c>
      <c r="S44" s="14">
        <f t="shared" ref="S44" si="250">S45+S48+S51</f>
        <v>0</v>
      </c>
      <c r="T44" s="14">
        <f t="shared" ref="T44" si="251">T45+T48+T51</f>
        <v>0</v>
      </c>
      <c r="U44" s="14">
        <f t="shared" ref="U44" si="252">U45+U48+U51</f>
        <v>0</v>
      </c>
      <c r="V44" s="14">
        <f t="shared" ref="V44" si="253">V45+V48+V51</f>
        <v>0</v>
      </c>
      <c r="W44" s="14">
        <f t="shared" ref="W44" si="254">W45+W48+W51</f>
        <v>0</v>
      </c>
      <c r="X44" s="14">
        <f t="shared" ref="X44" si="255">X45+X48+X51</f>
        <v>0</v>
      </c>
      <c r="Y44" s="14">
        <f t="shared" ref="Y44" si="256">Y45+Y48+Y51</f>
        <v>0</v>
      </c>
      <c r="Z44" s="14">
        <f t="shared" ref="Z44" si="257">Z45+Z48+Z51</f>
        <v>0</v>
      </c>
      <c r="AA44" s="14">
        <f t="shared" ref="AA44" si="258">AA45+AA48+AA51</f>
        <v>0</v>
      </c>
      <c r="AB44" s="14">
        <f t="shared" ref="AB44" si="259">AB45+AB48+AB51</f>
        <v>0</v>
      </c>
      <c r="AD44" s="644">
        <f>AD45+AD48+AD51</f>
        <v>798332447621.76636</v>
      </c>
      <c r="AE44" s="14">
        <f t="shared" ref="AE44:AO44" si="260">AE45+AE48+AE51</f>
        <v>806565206650.6897</v>
      </c>
      <c r="AF44" s="14">
        <f t="shared" si="260"/>
        <v>805432643798.19788</v>
      </c>
      <c r="AG44" s="14">
        <f t="shared" si="260"/>
        <v>815851870008.20801</v>
      </c>
      <c r="AH44" s="14">
        <f t="shared" si="260"/>
        <v>829412439162.21802</v>
      </c>
      <c r="AI44" s="14">
        <f t="shared" si="260"/>
        <v>822694113178.22803</v>
      </c>
      <c r="AJ44" s="14">
        <f t="shared" si="260"/>
        <v>815975787194.23816</v>
      </c>
      <c r="AK44" s="14">
        <f t="shared" si="260"/>
        <v>809257461210.24817</v>
      </c>
      <c r="AL44" s="14">
        <f t="shared" si="260"/>
        <v>806384965226.25818</v>
      </c>
      <c r="AM44" s="14">
        <f t="shared" si="260"/>
        <v>799636458698.15698</v>
      </c>
      <c r="AN44" s="14">
        <f t="shared" si="260"/>
        <v>794360952170.05603</v>
      </c>
      <c r="AO44" s="645">
        <f t="shared" si="260"/>
        <v>951592281752.95483</v>
      </c>
      <c r="AQ44" s="14">
        <f>AQ45+AQ48+AQ51</f>
        <v>746346043228.8866</v>
      </c>
      <c r="AR44" s="14">
        <f t="shared" ref="AR44" si="261">AR45+AR48+AR51</f>
        <v>754230426653.16577</v>
      </c>
      <c r="AS44" s="14">
        <f t="shared" ref="AS44" si="262">AS45+AS48+AS51</f>
        <v>753507125420.24487</v>
      </c>
      <c r="AT44" s="14">
        <f t="shared" ref="AT44" si="263">AT45+AT48+AT51</f>
        <v>763352607909.32397</v>
      </c>
      <c r="AU44" s="14">
        <f t="shared" ref="AU44" si="264">AU45+AU48+AU51</f>
        <v>777663433342.4032</v>
      </c>
      <c r="AV44" s="14">
        <f t="shared" ref="AV44" si="265">AV45+AV48+AV51</f>
        <v>771695363637.48242</v>
      </c>
      <c r="AW44" s="14">
        <f t="shared" ref="AW44" si="266">AW45+AW48+AW51</f>
        <v>765727293932.56165</v>
      </c>
      <c r="AX44" s="14">
        <f t="shared" ref="AX44" si="267">AX45+AX48+AX51</f>
        <v>759759224227.64087</v>
      </c>
      <c r="AY44" s="14">
        <f t="shared" ref="AY44" si="268">AY45+AY48+AY51</f>
        <v>757636984522.72009</v>
      </c>
      <c r="AZ44" s="14">
        <f t="shared" ref="AZ44" si="269">AZ45+AZ48+AZ51</f>
        <v>751656095384.79907</v>
      </c>
      <c r="BA44" s="14">
        <f t="shared" ref="BA44" si="270">BA45+BA48+BA51</f>
        <v>747148206246.87842</v>
      </c>
      <c r="BB44" s="14">
        <f t="shared" ref="BB44" si="271">BB45+BB48+BB51</f>
        <v>905141042108.95752</v>
      </c>
      <c r="BD44" s="14">
        <f>BD45+BD48+BD51</f>
        <v>23138438676.283333</v>
      </c>
      <c r="BE44" s="14">
        <f t="shared" ref="BE44" si="272">BE45+BE48+BE51</f>
        <v>23971674732.788887</v>
      </c>
      <c r="BF44" s="14">
        <f t="shared" ref="BF44" si="273">BF45+BF48+BF51</f>
        <v>24052744122.627777</v>
      </c>
      <c r="BG44" s="14">
        <f t="shared" ref="BG44" si="274">BG45+BG48+BG51</f>
        <v>25118827401.355553</v>
      </c>
      <c r="BH44" s="14">
        <f t="shared" ref="BH44" si="275">BH45+BH48+BH51</f>
        <v>24860910680.083332</v>
      </c>
      <c r="BI44" s="14">
        <f t="shared" ref="BI44" si="276">BI45+BI48+BI51</f>
        <v>24602993958.811111</v>
      </c>
      <c r="BJ44" s="14">
        <f t="shared" ref="BJ44" si="277">BJ45+BJ48+BJ51</f>
        <v>24345077237.538887</v>
      </c>
      <c r="BK44" s="14">
        <f t="shared" ref="BK44" si="278">BK45+BK48+BK51</f>
        <v>24087160516.266663</v>
      </c>
      <c r="BL44" s="14">
        <f t="shared" ref="BL44" si="279">BL45+BL48+BL51</f>
        <v>23829243794.994442</v>
      </c>
      <c r="BM44" s="14">
        <f t="shared" ref="BM44" si="280">BM45+BM48+BM51</f>
        <v>23571327073.722221</v>
      </c>
      <c r="BN44" s="14">
        <f t="shared" ref="BN44" si="281">BN45+BN48+BN51</f>
        <v>23313410352.449997</v>
      </c>
      <c r="BO44" s="14">
        <f t="shared" ref="BO44" si="282">BO45+BO48+BO51</f>
        <v>23061604742.177773</v>
      </c>
      <c r="BQ44" s="14">
        <f>BQ45+BQ48+BQ51</f>
        <v>7284769009.3513193</v>
      </c>
      <c r="BR44" s="14">
        <f t="shared" ref="BR44" si="283">BR45+BR48+BR51</f>
        <v>7180036635.7702255</v>
      </c>
      <c r="BS44" s="14">
        <f t="shared" ref="BS44" si="284">BS45+BS48+BS51</f>
        <v>7067270068.6407452</v>
      </c>
      <c r="BT44" s="14">
        <f t="shared" ref="BT44" si="285">BT45+BT48+BT51</f>
        <v>6952494953.1241684</v>
      </c>
      <c r="BU44" s="14">
        <f t="shared" ref="BU44" si="286">BU45+BU48+BU51</f>
        <v>6837719837.6075907</v>
      </c>
      <c r="BV44" s="14">
        <f t="shared" ref="BV44" si="287">BV45+BV48+BV51</f>
        <v>6722944722.0910139</v>
      </c>
      <c r="BW44" s="14">
        <f t="shared" ref="BW44" si="288">BW45+BW48+BW51</f>
        <v>6608169606.5744371</v>
      </c>
      <c r="BX44" s="14">
        <f t="shared" ref="BX44" si="289">BX45+BX48+BX51</f>
        <v>6493394491.0578594</v>
      </c>
      <c r="BY44" s="14">
        <f t="shared" ref="BY44" si="290">BY45+BY48+BY51</f>
        <v>6378619375.5412827</v>
      </c>
      <c r="BZ44" s="14">
        <f t="shared" ref="BZ44" si="291">BZ45+BZ48+BZ51</f>
        <v>6263844260.0247059</v>
      </c>
      <c r="CA44" s="14">
        <f t="shared" ref="CA44" si="292">CA45+CA48+CA51</f>
        <v>6149069144.5081282</v>
      </c>
      <c r="CB44" s="14">
        <f t="shared" ref="CB44:CD44" si="293">CB45+CB48+CB51</f>
        <v>6034294028.9915514</v>
      </c>
      <c r="CD44" s="14">
        <f t="shared" si="293"/>
        <v>21563196707.245266</v>
      </c>
      <c r="CE44" s="14">
        <f t="shared" ref="CE44" si="294">CE45+CE48+CE51</f>
        <v>21183068628.964912</v>
      </c>
      <c r="CF44" s="14">
        <f t="shared" ref="CF44" si="295">CF45+CF48+CF51</f>
        <v>20805504186.684559</v>
      </c>
      <c r="CG44" s="14">
        <f t="shared" ref="CG44" si="296">CG45+CG48+CG51</f>
        <v>20427939744.404205</v>
      </c>
      <c r="CH44" s="14">
        <f t="shared" ref="CH44" si="297">CH45+CH48+CH51</f>
        <v>20050375302.123852</v>
      </c>
      <c r="CI44" s="14">
        <f t="shared" ref="CI44" si="298">CI45+CI48+CI51</f>
        <v>19672810859.843498</v>
      </c>
      <c r="CJ44" s="14">
        <f t="shared" ref="CJ44" si="299">CJ45+CJ48+CJ51</f>
        <v>19295246417.563145</v>
      </c>
      <c r="CK44" s="14">
        <f t="shared" ref="CK44" si="300">CK45+CK48+CK51</f>
        <v>18917681975.282787</v>
      </c>
      <c r="CL44" s="14">
        <f t="shared" ref="CL44" si="301">CL45+CL48+CL51</f>
        <v>18540117533.00243</v>
      </c>
      <c r="CM44" s="14">
        <f t="shared" ref="CM44" si="302">CM45+CM48+CM51</f>
        <v>18145191979.610962</v>
      </c>
      <c r="CN44" s="14">
        <f t="shared" ref="CN44" si="303">CN45+CN48+CN51</f>
        <v>17750266426.219494</v>
      </c>
      <c r="CO44" s="14">
        <f t="shared" ref="CO44" si="304">CO45+CO48+CO51</f>
        <v>17355340872.828026</v>
      </c>
      <c r="CQ44" s="14">
        <f>CQ45+CQ48+CQ51</f>
        <v>0</v>
      </c>
      <c r="CR44" s="14">
        <f t="shared" ref="CR44" si="305">CR45+CR48+CR51</f>
        <v>0</v>
      </c>
      <c r="CS44" s="14">
        <f t="shared" ref="CS44" si="306">CS45+CS48+CS51</f>
        <v>0</v>
      </c>
      <c r="CT44" s="14">
        <f t="shared" ref="CT44" si="307">CT45+CT48+CT51</f>
        <v>0</v>
      </c>
      <c r="CU44" s="14">
        <f t="shared" ref="CU44" si="308">CU45+CU48+CU51</f>
        <v>0</v>
      </c>
      <c r="CV44" s="14">
        <f t="shared" ref="CV44" si="309">CV45+CV48+CV51</f>
        <v>0</v>
      </c>
      <c r="CW44" s="14">
        <f t="shared" ref="CW44" si="310">CW45+CW48+CW51</f>
        <v>0</v>
      </c>
      <c r="CX44" s="14">
        <f t="shared" ref="CX44" si="311">CX45+CX48+CX51</f>
        <v>0</v>
      </c>
      <c r="CY44" s="14">
        <f t="shared" ref="CY44" si="312">CY45+CY48+CY51</f>
        <v>0</v>
      </c>
      <c r="CZ44" s="14">
        <f t="shared" ref="CZ44" si="313">CZ45+CZ48+CZ51</f>
        <v>0</v>
      </c>
      <c r="DA44" s="14">
        <f t="shared" ref="DA44" si="314">DA45+DA48+DA51</f>
        <v>0</v>
      </c>
      <c r="DB44" s="14">
        <f t="shared" ref="DB44" si="315">DB45+DB48+DB51</f>
        <v>0</v>
      </c>
    </row>
    <row r="45" spans="1:106">
      <c r="A45" s="1">
        <v>42</v>
      </c>
      <c r="B45" s="618" t="s">
        <v>296</v>
      </c>
      <c r="D45" s="14">
        <f t="shared" ref="D45:O45" si="316">SUM(D46:D47)</f>
        <v>773597750603.16772</v>
      </c>
      <c r="E45" s="14">
        <f t="shared" si="316"/>
        <v>782038405452.82568</v>
      </c>
      <c r="F45" s="14">
        <f t="shared" si="316"/>
        <v>781113738421.0686</v>
      </c>
      <c r="G45" s="14">
        <f t="shared" si="316"/>
        <v>791740860451.81335</v>
      </c>
      <c r="H45" s="14">
        <f t="shared" si="316"/>
        <v>804058000704.55811</v>
      </c>
      <c r="I45" s="14">
        <f t="shared" si="316"/>
        <v>797571454152.30273</v>
      </c>
      <c r="J45" s="14">
        <f t="shared" si="316"/>
        <v>791084907600.04749</v>
      </c>
      <c r="K45" s="14">
        <f t="shared" si="316"/>
        <v>784598361047.79211</v>
      </c>
      <c r="L45" s="14">
        <f t="shared" si="316"/>
        <v>781957644495.53687</v>
      </c>
      <c r="M45" s="14">
        <f t="shared" si="316"/>
        <v>775440917399.17041</v>
      </c>
      <c r="N45" s="14">
        <f t="shared" si="316"/>
        <v>770397190302.80408</v>
      </c>
      <c r="O45" s="14">
        <f t="shared" si="316"/>
        <v>927860299317.4375</v>
      </c>
      <c r="Q45" s="14">
        <f t="shared" ref="Q45:AB45" si="317">SUM(Q46:Q47)</f>
        <v>0</v>
      </c>
      <c r="R45" s="14">
        <f t="shared" si="317"/>
        <v>0</v>
      </c>
      <c r="S45" s="14">
        <f t="shared" si="317"/>
        <v>0</v>
      </c>
      <c r="T45" s="14">
        <f t="shared" si="317"/>
        <v>0</v>
      </c>
      <c r="U45" s="14">
        <f t="shared" si="317"/>
        <v>0</v>
      </c>
      <c r="V45" s="14">
        <f t="shared" si="317"/>
        <v>0</v>
      </c>
      <c r="W45" s="14">
        <f t="shared" si="317"/>
        <v>0</v>
      </c>
      <c r="X45" s="14">
        <f t="shared" si="317"/>
        <v>0</v>
      </c>
      <c r="Y45" s="14">
        <f t="shared" si="317"/>
        <v>0</v>
      </c>
      <c r="Z45" s="14">
        <f t="shared" si="317"/>
        <v>0</v>
      </c>
      <c r="AA45" s="14">
        <f t="shared" si="317"/>
        <v>0</v>
      </c>
      <c r="AB45" s="14">
        <f t="shared" si="317"/>
        <v>0</v>
      </c>
      <c r="AD45" s="644">
        <f t="shared" ref="AD45" si="318">SUM(AD46:AD47)</f>
        <v>773597750603.16772</v>
      </c>
      <c r="AE45" s="14">
        <f t="shared" ref="AE45:AO45" si="319">SUM(AE46:AE47)</f>
        <v>782038405452.82568</v>
      </c>
      <c r="AF45" s="14">
        <f t="shared" si="319"/>
        <v>781113738421.0686</v>
      </c>
      <c r="AG45" s="14">
        <f t="shared" si="319"/>
        <v>791740860451.81335</v>
      </c>
      <c r="AH45" s="14">
        <f t="shared" si="319"/>
        <v>804058000704.55811</v>
      </c>
      <c r="AI45" s="14">
        <f t="shared" si="319"/>
        <v>797571454152.30273</v>
      </c>
      <c r="AJ45" s="14">
        <f t="shared" si="319"/>
        <v>791084907600.04749</v>
      </c>
      <c r="AK45" s="14">
        <f t="shared" si="319"/>
        <v>784598361047.79211</v>
      </c>
      <c r="AL45" s="14">
        <f t="shared" si="319"/>
        <v>781957644495.53687</v>
      </c>
      <c r="AM45" s="14">
        <f t="shared" si="319"/>
        <v>775440917399.17041</v>
      </c>
      <c r="AN45" s="14">
        <f t="shared" si="319"/>
        <v>770397190302.80408</v>
      </c>
      <c r="AO45" s="645">
        <f t="shared" si="319"/>
        <v>927860299317.4375</v>
      </c>
      <c r="AQ45" s="14">
        <f t="shared" ref="AQ45:BB45" si="320">SUM(AQ46:AQ47)</f>
        <v>722765089523.43701</v>
      </c>
      <c r="AR45" s="14">
        <f t="shared" si="320"/>
        <v>730844679156.59998</v>
      </c>
      <c r="AS45" s="14">
        <f t="shared" si="320"/>
        <v>730316584132.56287</v>
      </c>
      <c r="AT45" s="14">
        <f t="shared" si="320"/>
        <v>740357272830.52588</v>
      </c>
      <c r="AU45" s="14">
        <f t="shared" si="320"/>
        <v>753411979750.48889</v>
      </c>
      <c r="AV45" s="14">
        <f t="shared" si="320"/>
        <v>747662999865.4519</v>
      </c>
      <c r="AW45" s="14">
        <f t="shared" si="320"/>
        <v>741914019980.41479</v>
      </c>
      <c r="AX45" s="14">
        <f t="shared" si="320"/>
        <v>736165040095.37781</v>
      </c>
      <c r="AY45" s="14">
        <f t="shared" si="320"/>
        <v>734261890210.34082</v>
      </c>
      <c r="AZ45" s="14">
        <f t="shared" si="320"/>
        <v>728500090892.30371</v>
      </c>
      <c r="BA45" s="14">
        <f t="shared" si="320"/>
        <v>724211291574.26685</v>
      </c>
      <c r="BB45" s="14">
        <f t="shared" si="320"/>
        <v>882423217256.22974</v>
      </c>
      <c r="BD45" s="14">
        <f t="shared" ref="BD45:BO45" si="321">SUM(BD46:BD47)</f>
        <v>22887645082.533333</v>
      </c>
      <c r="BE45" s="14">
        <f t="shared" si="321"/>
        <v>23727087545.288887</v>
      </c>
      <c r="BF45" s="14">
        <f t="shared" si="321"/>
        <v>23814363341.377777</v>
      </c>
      <c r="BG45" s="14">
        <f t="shared" si="321"/>
        <v>24886653026.355553</v>
      </c>
      <c r="BH45" s="14">
        <f t="shared" si="321"/>
        <v>24634942711.333332</v>
      </c>
      <c r="BI45" s="14">
        <f t="shared" si="321"/>
        <v>24383232396.311111</v>
      </c>
      <c r="BJ45" s="14">
        <f t="shared" si="321"/>
        <v>24131522081.288887</v>
      </c>
      <c r="BK45" s="14">
        <f t="shared" si="321"/>
        <v>23879811766.266663</v>
      </c>
      <c r="BL45" s="14">
        <f t="shared" si="321"/>
        <v>23628101451.244442</v>
      </c>
      <c r="BM45" s="14">
        <f t="shared" si="321"/>
        <v>23376391136.222221</v>
      </c>
      <c r="BN45" s="14">
        <f t="shared" si="321"/>
        <v>23124680821.199997</v>
      </c>
      <c r="BO45" s="14">
        <f t="shared" si="321"/>
        <v>22879081617.177773</v>
      </c>
      <c r="BQ45" s="14">
        <f t="shared" ref="BQ45:CB45" si="322">SUM(BQ46:BQ47)</f>
        <v>6551378748.9346523</v>
      </c>
      <c r="BR45" s="14">
        <f t="shared" si="322"/>
        <v>6450486114.9368925</v>
      </c>
      <c r="BS45" s="14">
        <f t="shared" si="322"/>
        <v>6341559287.3907452</v>
      </c>
      <c r="BT45" s="14">
        <f t="shared" si="322"/>
        <v>6230623911.4575014</v>
      </c>
      <c r="BU45" s="14">
        <f t="shared" si="322"/>
        <v>6119688535.5242577</v>
      </c>
      <c r="BV45" s="14">
        <f t="shared" si="322"/>
        <v>6008753159.5910139</v>
      </c>
      <c r="BW45" s="14">
        <f t="shared" si="322"/>
        <v>5897817783.6577702</v>
      </c>
      <c r="BX45" s="14">
        <f t="shared" si="322"/>
        <v>5786882407.7245264</v>
      </c>
      <c r="BY45" s="14">
        <f t="shared" si="322"/>
        <v>5675947031.7912827</v>
      </c>
      <c r="BZ45" s="14">
        <f t="shared" si="322"/>
        <v>5565011655.8580389</v>
      </c>
      <c r="CA45" s="14">
        <f t="shared" si="322"/>
        <v>5454076279.9247952</v>
      </c>
      <c r="CB45" s="14">
        <f t="shared" si="322"/>
        <v>5343140903.9915514</v>
      </c>
      <c r="CD45" s="14">
        <f t="shared" ref="CD45:CO45" si="323">SUM(CD46:CD47)</f>
        <v>21393637248.26281</v>
      </c>
      <c r="CE45" s="14">
        <f t="shared" si="323"/>
        <v>21016152636</v>
      </c>
      <c r="CF45" s="14">
        <f t="shared" si="323"/>
        <v>20641231659.73719</v>
      </c>
      <c r="CG45" s="14">
        <f t="shared" si="323"/>
        <v>20266310683.47438</v>
      </c>
      <c r="CH45" s="14">
        <f t="shared" si="323"/>
        <v>19891389707.211571</v>
      </c>
      <c r="CI45" s="14">
        <f t="shared" si="323"/>
        <v>19516468730.948761</v>
      </c>
      <c r="CJ45" s="14">
        <f t="shared" si="323"/>
        <v>19141547754.685951</v>
      </c>
      <c r="CK45" s="14">
        <f t="shared" si="323"/>
        <v>18766626778.423138</v>
      </c>
      <c r="CL45" s="14">
        <f t="shared" si="323"/>
        <v>18391705802.160324</v>
      </c>
      <c r="CM45" s="14">
        <f t="shared" si="323"/>
        <v>17999423714.7864</v>
      </c>
      <c r="CN45" s="14">
        <f t="shared" si="323"/>
        <v>17607141627.412476</v>
      </c>
      <c r="CO45" s="14">
        <f t="shared" si="323"/>
        <v>17214859540.038551</v>
      </c>
      <c r="CQ45" s="14">
        <f t="shared" ref="CQ45:DB45" si="324">SUM(CQ46:CQ47)</f>
        <v>0</v>
      </c>
      <c r="CR45" s="14">
        <f t="shared" si="324"/>
        <v>0</v>
      </c>
      <c r="CS45" s="14">
        <f t="shared" si="324"/>
        <v>0</v>
      </c>
      <c r="CT45" s="14">
        <f t="shared" si="324"/>
        <v>0</v>
      </c>
      <c r="CU45" s="14">
        <f t="shared" si="324"/>
        <v>0</v>
      </c>
      <c r="CV45" s="14">
        <f t="shared" si="324"/>
        <v>0</v>
      </c>
      <c r="CW45" s="14">
        <f t="shared" si="324"/>
        <v>0</v>
      </c>
      <c r="CX45" s="14">
        <f t="shared" si="324"/>
        <v>0</v>
      </c>
      <c r="CY45" s="14">
        <f t="shared" si="324"/>
        <v>0</v>
      </c>
      <c r="CZ45" s="14">
        <f t="shared" si="324"/>
        <v>0</v>
      </c>
      <c r="DA45" s="14">
        <f t="shared" si="324"/>
        <v>0</v>
      </c>
      <c r="DB45" s="14">
        <f t="shared" si="324"/>
        <v>0</v>
      </c>
    </row>
    <row r="46" spans="1:106" hidden="1" outlineLevel="1">
      <c r="A46" s="633">
        <v>43</v>
      </c>
      <c r="B46" s="619" t="s">
        <v>297</v>
      </c>
      <c r="C46" t="s">
        <v>518</v>
      </c>
      <c r="D46" s="15">
        <f t="shared" ref="D46:D47" si="325">AD46+Q46</f>
        <v>933674007757.99988</v>
      </c>
      <c r="E46" s="15">
        <f t="shared" ref="E46:E47" si="326">AE46+R46</f>
        <v>948284273195.19983</v>
      </c>
      <c r="F46" s="15">
        <f t="shared" ref="F46:F47" si="327">AF46+S46</f>
        <v>953636873195.19983</v>
      </c>
      <c r="G46" s="15">
        <f t="shared" ref="G46:G47" si="328">AG46+T46</f>
        <v>970616497195.19983</v>
      </c>
      <c r="H46" s="15">
        <f t="shared" ref="H46:H47" si="329">AH46+U46</f>
        <v>989293417195.19983</v>
      </c>
      <c r="I46" s="15">
        <f t="shared" ref="I46:I47" si="330">AI46+V46</f>
        <v>989293417195.19983</v>
      </c>
      <c r="J46" s="15">
        <f t="shared" ref="J46:J47" si="331">AJ46+W46</f>
        <v>989293417195.19983</v>
      </c>
      <c r="K46" s="15">
        <f t="shared" ref="K46:K47" si="332">AK46+X46</f>
        <v>989293417195.19983</v>
      </c>
      <c r="L46" s="15">
        <f t="shared" ref="L46:L47" si="333">AL46+Y46</f>
        <v>993139247195.19983</v>
      </c>
      <c r="M46" s="15">
        <f t="shared" ref="M46:M47" si="334">AM46+Z46</f>
        <v>993139247195.19983</v>
      </c>
      <c r="N46" s="15">
        <f t="shared" ref="N46:N47" si="335">AN46+AA46</f>
        <v>994612247195.19983</v>
      </c>
      <c r="O46" s="15">
        <f t="shared" ref="O46:O47" si="336">AO46+AB46</f>
        <v>1158598247195.1997</v>
      </c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D46" s="646">
        <f t="shared" ref="AD46:AD47" si="337">AQ46+BD46+BQ46+CD46+CQ46</f>
        <v>933674007757.99988</v>
      </c>
      <c r="AE46" s="15">
        <f t="shared" ref="AE46:AE47" si="338">AR46+BE46+BR46+CE46+CR46</f>
        <v>948284273195.19983</v>
      </c>
      <c r="AF46" s="15">
        <f t="shared" ref="AF46:AF47" si="339">AS46+BF46+BS46+CF46+CS46</f>
        <v>953636873195.19983</v>
      </c>
      <c r="AG46" s="15">
        <f t="shared" ref="AG46:AG47" si="340">AT46+BG46+BT46+CG46+CT46</f>
        <v>970616497195.19983</v>
      </c>
      <c r="AH46" s="15">
        <f t="shared" ref="AH46:AH47" si="341">AU46+BH46+BU46+CH46+CU46</f>
        <v>989293417195.19983</v>
      </c>
      <c r="AI46" s="15">
        <f t="shared" ref="AI46:AI47" si="342">AV46+BI46+BV46+CI46+CV46</f>
        <v>989293417195.19983</v>
      </c>
      <c r="AJ46" s="15">
        <f t="shared" ref="AJ46:AJ47" si="343">AW46+BJ46+BW46+CJ46+CW46</f>
        <v>989293417195.19983</v>
      </c>
      <c r="AK46" s="15">
        <f t="shared" ref="AK46:AK47" si="344">AX46+BK46+BX46+CK46+CX46</f>
        <v>989293417195.19983</v>
      </c>
      <c r="AL46" s="15">
        <f t="shared" ref="AL46:AL47" si="345">AY46+BL46+BY46+CL46+CY46</f>
        <v>993139247195.19983</v>
      </c>
      <c r="AM46" s="15">
        <f t="shared" ref="AM46:AM47" si="346">AZ46+BM46+BZ46+CM46+CZ46</f>
        <v>993139247195.19983</v>
      </c>
      <c r="AN46" s="15">
        <f t="shared" ref="AN46:AN47" si="347">BA46+BN46+CA46+CN46+DA46</f>
        <v>994612247195.19983</v>
      </c>
      <c r="AO46" s="647">
        <f t="shared" ref="AO46:AO47" si="348">BB46+BO46+CB46+CO46+DB46</f>
        <v>1158598247195.1997</v>
      </c>
      <c r="AQ46" s="15">
        <f>SUMIFS('BS-KH26-DTR'!D$2:D$116,'BS-KH26-DTR'!$B$2:$B$116,$A46)</f>
        <v>849937353871.99988</v>
      </c>
      <c r="AR46" s="15">
        <f>SUMIFS('BS-KH26-DTR'!E$2:E$116,'BS-KH26-DTR'!$B$2:$B$116,$A46)</f>
        <v>863509619309.19983</v>
      </c>
      <c r="AS46" s="15">
        <f>SUMIFS('BS-KH26-DTR'!F$2:F$116,'BS-KH26-DTR'!$B$2:$B$116,$A46)</f>
        <v>868562219309.19983</v>
      </c>
      <c r="AT46" s="15">
        <f>SUMIFS('BS-KH26-DTR'!G$2:G$116,'BS-KH26-DTR'!$B$2:$B$116,$A46)</f>
        <v>884217843309.19983</v>
      </c>
      <c r="AU46" s="15">
        <f>SUMIFS('BS-KH26-DTR'!H$2:H$116,'BS-KH26-DTR'!$B$2:$B$116,$A46)</f>
        <v>902894763309.19983</v>
      </c>
      <c r="AV46" s="15">
        <f>SUMIFS('BS-KH26-DTR'!I$2:I$116,'BS-KH26-DTR'!$B$2:$B$116,$A46)</f>
        <v>902894763309.19983</v>
      </c>
      <c r="AW46" s="15">
        <f>SUMIFS('BS-KH26-DTR'!J$2:J$116,'BS-KH26-DTR'!$B$2:$B$116,$A46)</f>
        <v>902894763309.19983</v>
      </c>
      <c r="AX46" s="15">
        <f>SUMIFS('BS-KH26-DTR'!K$2:K$116,'BS-KH26-DTR'!$B$2:$B$116,$A46)</f>
        <v>902894763309.19983</v>
      </c>
      <c r="AY46" s="15">
        <f>SUMIFS('BS-KH26-DTR'!L$2:L$116,'BS-KH26-DTR'!$B$2:$B$116,$A46)</f>
        <v>906740593309.19983</v>
      </c>
      <c r="AZ46" s="15">
        <f>SUMIFS('BS-KH26-DTR'!M$2:M$116,'BS-KH26-DTR'!$B$2:$B$116,$A46)</f>
        <v>906740593309.19983</v>
      </c>
      <c r="BA46" s="15">
        <f>SUMIFS('BS-KH26-DTR'!N$2:N$116,'BS-KH26-DTR'!$B$2:$B$116,$A46)</f>
        <v>908213593309.19983</v>
      </c>
      <c r="BB46" s="15">
        <f>SUMIFS('BS-KH26-DTR'!O$2:O$116,'BS-KH26-DTR'!$B$2:$B$116,$A46)</f>
        <v>1072199593309.1998</v>
      </c>
      <c r="BD46" s="15">
        <f>SUMIFS('BS-KH26-DongLam'!M$2:M$51,'BS-KH26-DongLam'!$A$2:$A$51,'Consol BS-DTRG'!$A46)</f>
        <v>36199766121</v>
      </c>
      <c r="BE46" s="15">
        <f>SUMIFS('BS-KH26-DongLam'!N$2:N$51,'BS-KH26-DongLam'!$A$2:$A$51,'Consol BS-DTRG'!$A46)</f>
        <v>37237766121</v>
      </c>
      <c r="BF46" s="15">
        <f>SUMIFS('BS-KH26-DongLam'!O$2:O$51,'BS-KH26-DongLam'!$A$2:$A$51,'Consol BS-DTRG'!$A46)</f>
        <v>37537766121</v>
      </c>
      <c r="BG46" s="15">
        <f>SUMIFS('BS-KH26-DongLam'!P$2:P$51,'BS-KH26-DongLam'!$A$2:$A$51,'Consol BS-DTRG'!$A46)</f>
        <v>38861766121</v>
      </c>
      <c r="BH46" s="15">
        <f>SUMIFS('BS-KH26-DongLam'!Q$2:Q$51,'BS-KH26-DongLam'!$A$2:$A$51,'Consol BS-DTRG'!$A46)</f>
        <v>38861766121</v>
      </c>
      <c r="BI46" s="15">
        <f>SUMIFS('BS-KH26-DongLam'!R$2:R$51,'BS-KH26-DongLam'!$A$2:$A$51,'Consol BS-DTRG'!$A46)</f>
        <v>38861766121</v>
      </c>
      <c r="BJ46" s="15">
        <f>SUMIFS('BS-KH26-DongLam'!S$2:S$51,'BS-KH26-DongLam'!$A$2:$A$51,'Consol BS-DTRG'!$A46)</f>
        <v>38861766121</v>
      </c>
      <c r="BK46" s="15">
        <f>SUMIFS('BS-KH26-DongLam'!T$2:T$51,'BS-KH26-DongLam'!$A$2:$A$51,'Consol BS-DTRG'!$A46)</f>
        <v>38861766121</v>
      </c>
      <c r="BL46" s="15">
        <f>SUMIFS('BS-KH26-DongLam'!U$2:U$51,'BS-KH26-DongLam'!$A$2:$A$51,'Consol BS-DTRG'!$A46)</f>
        <v>38861766121</v>
      </c>
      <c r="BM46" s="15">
        <f>SUMIFS('BS-KH26-DongLam'!V$2:V$51,'BS-KH26-DongLam'!$A$2:$A$51,'Consol BS-DTRG'!$A46)</f>
        <v>38861766121</v>
      </c>
      <c r="BN46" s="15">
        <f>SUMIFS('BS-KH26-DongLam'!W$2:W$51,'BS-KH26-DongLam'!$A$2:$A$51,'Consol BS-DTRG'!$A46)</f>
        <v>38861766121</v>
      </c>
      <c r="BO46" s="15">
        <f>SUMIFS('BS-KH26-DongLam'!X$2:X$51,'BS-KH26-DongLam'!$A$2:$A$51,'Consol BS-DTRG'!$A46)</f>
        <v>38861766121</v>
      </c>
      <c r="BQ46" s="15">
        <f>SUMIFS('BS-KH26-KhanhNga'!M$2:M$51,'BS-KH26-KhanhNga'!$A$2:$A$51,'Consol BS-DTRG'!$A46)</f>
        <v>11503956236</v>
      </c>
      <c r="BR46" s="15">
        <f>SUMIFS('BS-KH26-KhanhNga'!N$2:N$51,'BS-KH26-KhanhNga'!$A$2:$A$51,'Consol BS-DTRG'!$A46)</f>
        <v>11503956236</v>
      </c>
      <c r="BS46" s="15">
        <f>SUMIFS('BS-KH26-KhanhNga'!O$2:O$51,'BS-KH26-KhanhNga'!$A$2:$A$51,'Consol BS-DTRG'!$A46)</f>
        <v>11503956236</v>
      </c>
      <c r="BT46" s="15">
        <f>SUMIFS('BS-KH26-KhanhNga'!P$2:P$51,'BS-KH26-KhanhNga'!$A$2:$A$51,'Consol BS-DTRG'!$A46)</f>
        <v>11503956236</v>
      </c>
      <c r="BU46" s="15">
        <f>SUMIFS('BS-KH26-KhanhNga'!Q$2:Q$51,'BS-KH26-KhanhNga'!$A$2:$A$51,'Consol BS-DTRG'!$A46)</f>
        <v>11503956236</v>
      </c>
      <c r="BV46" s="15">
        <f>SUMIFS('BS-KH26-KhanhNga'!R$2:R$51,'BS-KH26-KhanhNga'!$A$2:$A$51,'Consol BS-DTRG'!$A46)</f>
        <v>11503956236</v>
      </c>
      <c r="BW46" s="15">
        <f>SUMIFS('BS-KH26-KhanhNga'!S$2:S$51,'BS-KH26-KhanhNga'!$A$2:$A$51,'Consol BS-DTRG'!$A46)</f>
        <v>11503956236</v>
      </c>
      <c r="BX46" s="15">
        <f>SUMIFS('BS-KH26-KhanhNga'!T$2:T$51,'BS-KH26-KhanhNga'!$A$2:$A$51,'Consol BS-DTRG'!$A46)</f>
        <v>11503956236</v>
      </c>
      <c r="BY46" s="15">
        <f>SUMIFS('BS-KH26-KhanhNga'!U$2:U$51,'BS-KH26-KhanhNga'!$A$2:$A$51,'Consol BS-DTRG'!$A46)</f>
        <v>11503956236</v>
      </c>
      <c r="BZ46" s="15">
        <f>SUMIFS('BS-KH26-KhanhNga'!V$2:V$51,'BS-KH26-KhanhNga'!$A$2:$A$51,'Consol BS-DTRG'!$A46)</f>
        <v>11503956236</v>
      </c>
      <c r="CA46" s="15">
        <f>SUMIFS('BS-KH26-KhanhNga'!W$2:W$51,'BS-KH26-KhanhNga'!$A$2:$A$51,'Consol BS-DTRG'!$A46)</f>
        <v>11503956236</v>
      </c>
      <c r="CB46" s="15">
        <f>SUMIFS('BS-KH26-KhanhNga'!X$2:X$51,'BS-KH26-KhanhNga'!$A$2:$A$51,'Consol BS-DTRG'!$A46)</f>
        <v>11503956236</v>
      </c>
      <c r="CD46" s="15">
        <f>SUMIFS('BS-KH26-DaiLoc'!M$2:M$51,'BS-KH26-DaiLoc'!$A$2:$A$51,'Consol BS-DTRG'!$A46)</f>
        <v>36032931529</v>
      </c>
      <c r="CE46" s="15">
        <f>SUMIFS('BS-KH26-DaiLoc'!N$2:N$51,'BS-KH26-DaiLoc'!$A$2:$A$51,'Consol BS-DTRG'!$A46)</f>
        <v>36032931529</v>
      </c>
      <c r="CF46" s="15">
        <f>SUMIFS('BS-KH26-DaiLoc'!O$2:O$51,'BS-KH26-DaiLoc'!$A$2:$A$51,'Consol BS-DTRG'!$A46)</f>
        <v>36032931529</v>
      </c>
      <c r="CG46" s="15">
        <f>SUMIFS('BS-KH26-DaiLoc'!P$2:P$51,'BS-KH26-DaiLoc'!$A$2:$A$51,'Consol BS-DTRG'!$A46)</f>
        <v>36032931529</v>
      </c>
      <c r="CH46" s="15">
        <f>SUMIFS('BS-KH26-DaiLoc'!Q$2:Q$51,'BS-KH26-DaiLoc'!$A$2:$A$51,'Consol BS-DTRG'!$A46)</f>
        <v>36032931529</v>
      </c>
      <c r="CI46" s="15">
        <f>SUMIFS('BS-KH26-DaiLoc'!R$2:R$51,'BS-KH26-DaiLoc'!$A$2:$A$51,'Consol BS-DTRG'!$A46)</f>
        <v>36032931529</v>
      </c>
      <c r="CJ46" s="15">
        <f>SUMIFS('BS-KH26-DaiLoc'!S$2:S$51,'BS-KH26-DaiLoc'!$A$2:$A$51,'Consol BS-DTRG'!$A46)</f>
        <v>36032931529</v>
      </c>
      <c r="CK46" s="15">
        <f>SUMIFS('BS-KH26-DaiLoc'!T$2:T$51,'BS-KH26-DaiLoc'!$A$2:$A$51,'Consol BS-DTRG'!$A46)</f>
        <v>36032931529</v>
      </c>
      <c r="CL46" s="15">
        <f>SUMIFS('BS-KH26-DaiLoc'!U$2:U$51,'BS-KH26-DaiLoc'!$A$2:$A$51,'Consol BS-DTRG'!$A46)</f>
        <v>36032931529</v>
      </c>
      <c r="CM46" s="15">
        <f>SUMIFS('BS-KH26-DaiLoc'!V$2:V$51,'BS-KH26-DaiLoc'!$A$2:$A$51,'Consol BS-DTRG'!$A46)</f>
        <v>36032931529</v>
      </c>
      <c r="CN46" s="15">
        <f>SUMIFS('BS-KH26-DaiLoc'!W$2:W$51,'BS-KH26-DaiLoc'!$A$2:$A$51,'Consol BS-DTRG'!$A46)</f>
        <v>36032931529</v>
      </c>
      <c r="CO46" s="15">
        <f>SUMIFS('BS-KH26-DaiLoc'!X$2:X$51,'BS-KH26-DaiLoc'!$A$2:$A$51,'Consol BS-DTRG'!$A46)</f>
        <v>36032931529</v>
      </c>
      <c r="CQ46" s="15">
        <v>0</v>
      </c>
      <c r="CR46" s="15">
        <f t="shared" ref="CR46:DB47" si="349">CQ46</f>
        <v>0</v>
      </c>
      <c r="CS46" s="15">
        <f t="shared" si="349"/>
        <v>0</v>
      </c>
      <c r="CT46" s="15">
        <f t="shared" si="349"/>
        <v>0</v>
      </c>
      <c r="CU46" s="15">
        <f t="shared" si="349"/>
        <v>0</v>
      </c>
      <c r="CV46" s="15">
        <f t="shared" si="349"/>
        <v>0</v>
      </c>
      <c r="CW46" s="15">
        <f t="shared" si="349"/>
        <v>0</v>
      </c>
      <c r="CX46" s="15">
        <f t="shared" si="349"/>
        <v>0</v>
      </c>
      <c r="CY46" s="15">
        <f t="shared" si="349"/>
        <v>0</v>
      </c>
      <c r="CZ46" s="15">
        <f t="shared" si="349"/>
        <v>0</v>
      </c>
      <c r="DA46" s="15">
        <f t="shared" si="349"/>
        <v>0</v>
      </c>
      <c r="DB46" s="15">
        <f t="shared" si="349"/>
        <v>0</v>
      </c>
    </row>
    <row r="47" spans="1:106" hidden="1" outlineLevel="1">
      <c r="A47" s="633">
        <v>44</v>
      </c>
      <c r="B47" s="619" t="s">
        <v>298</v>
      </c>
      <c r="C47" t="s">
        <v>518</v>
      </c>
      <c r="D47" s="15">
        <f t="shared" si="325"/>
        <v>-160076257154.83209</v>
      </c>
      <c r="E47" s="15">
        <f t="shared" si="326"/>
        <v>-166245867742.37411</v>
      </c>
      <c r="F47" s="15">
        <f t="shared" si="327"/>
        <v>-172523134774.13123</v>
      </c>
      <c r="G47" s="15">
        <f t="shared" si="328"/>
        <v>-178875636743.38647</v>
      </c>
      <c r="H47" s="15">
        <f t="shared" si="329"/>
        <v>-185235416490.64178</v>
      </c>
      <c r="I47" s="15">
        <f t="shared" si="330"/>
        <v>-191721963042.89713</v>
      </c>
      <c r="J47" s="15">
        <f t="shared" si="331"/>
        <v>-198208509595.15237</v>
      </c>
      <c r="K47" s="15">
        <f t="shared" si="332"/>
        <v>-204695056147.40771</v>
      </c>
      <c r="L47" s="15">
        <f t="shared" si="333"/>
        <v>-211181602699.66296</v>
      </c>
      <c r="M47" s="15">
        <f t="shared" si="334"/>
        <v>-217698329796.02939</v>
      </c>
      <c r="N47" s="15">
        <f t="shared" si="335"/>
        <v>-224215056892.39575</v>
      </c>
      <c r="O47" s="15">
        <f t="shared" si="336"/>
        <v>-230737947877.76221</v>
      </c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D47" s="646">
        <f t="shared" si="337"/>
        <v>-160076257154.83209</v>
      </c>
      <c r="AE47" s="15">
        <f t="shared" si="338"/>
        <v>-166245867742.37411</v>
      </c>
      <c r="AF47" s="15">
        <f t="shared" si="339"/>
        <v>-172523134774.13123</v>
      </c>
      <c r="AG47" s="15">
        <f t="shared" si="340"/>
        <v>-178875636743.38647</v>
      </c>
      <c r="AH47" s="15">
        <f t="shared" si="341"/>
        <v>-185235416490.64178</v>
      </c>
      <c r="AI47" s="15">
        <f t="shared" si="342"/>
        <v>-191721963042.89713</v>
      </c>
      <c r="AJ47" s="15">
        <f t="shared" si="343"/>
        <v>-198208509595.15237</v>
      </c>
      <c r="AK47" s="15">
        <f t="shared" si="344"/>
        <v>-204695056147.40771</v>
      </c>
      <c r="AL47" s="15">
        <f t="shared" si="345"/>
        <v>-211181602699.66296</v>
      </c>
      <c r="AM47" s="15">
        <f t="shared" si="346"/>
        <v>-217698329796.02939</v>
      </c>
      <c r="AN47" s="15">
        <f t="shared" si="347"/>
        <v>-224215056892.39575</v>
      </c>
      <c r="AO47" s="647">
        <f t="shared" si="348"/>
        <v>-230737947877.76221</v>
      </c>
      <c r="AQ47" s="15">
        <f>SUMIFS('BS-KH26-DTR'!D$2:D$116,'BS-KH26-DTR'!$B$2:$B$116,$A47)</f>
        <v>-127172264348.5629</v>
      </c>
      <c r="AR47" s="15">
        <f>SUMIFS('BS-KH26-DTR'!E$2:E$116,'BS-KH26-DTR'!$B$2:$B$116,$A47)</f>
        <v>-132664940152.5999</v>
      </c>
      <c r="AS47" s="15">
        <f>SUMIFS('BS-KH26-DTR'!F$2:F$116,'BS-KH26-DTR'!$B$2:$B$116,$A47)</f>
        <v>-138245635176.63693</v>
      </c>
      <c r="AT47" s="15">
        <f>SUMIFS('BS-KH26-DTR'!G$2:G$116,'BS-KH26-DTR'!$B$2:$B$116,$A47)</f>
        <v>-143860570478.67392</v>
      </c>
      <c r="AU47" s="15">
        <f>SUMIFS('BS-KH26-DTR'!H$2:H$116,'BS-KH26-DTR'!$B$2:$B$116,$A47)</f>
        <v>-149482783558.71097</v>
      </c>
      <c r="AV47" s="15">
        <f>SUMIFS('BS-KH26-DTR'!I$2:I$116,'BS-KH26-DTR'!$B$2:$B$116,$A47)</f>
        <v>-155231763443.74799</v>
      </c>
      <c r="AW47" s="15">
        <f>SUMIFS('BS-KH26-DTR'!J$2:J$116,'BS-KH26-DTR'!$B$2:$B$116,$A47)</f>
        <v>-160980743328.78497</v>
      </c>
      <c r="AX47" s="15">
        <f>SUMIFS('BS-KH26-DTR'!K$2:K$116,'BS-KH26-DTR'!$B$2:$B$116,$A47)</f>
        <v>-166729723213.82202</v>
      </c>
      <c r="AY47" s="15">
        <f>SUMIFS('BS-KH26-DTR'!L$2:L$116,'BS-KH26-DTR'!$B$2:$B$116,$A47)</f>
        <v>-172478703098.85901</v>
      </c>
      <c r="AZ47" s="15">
        <f>SUMIFS('BS-KH26-DTR'!M$2:M$116,'BS-KH26-DTR'!$B$2:$B$116,$A47)</f>
        <v>-178240502416.89606</v>
      </c>
      <c r="BA47" s="15">
        <f>SUMIFS('BS-KH26-DTR'!N$2:N$116,'BS-KH26-DTR'!$B$2:$B$116,$A47)</f>
        <v>-184002301734.93304</v>
      </c>
      <c r="BB47" s="15">
        <f>SUMIFS('BS-KH26-DTR'!O$2:O$116,'BS-KH26-DTR'!$B$2:$B$116,$A47)</f>
        <v>-189776376052.97006</v>
      </c>
      <c r="BD47" s="15">
        <f>SUMIFS('BS-KH26-DongLam'!M$2:M$51,'BS-KH26-DongLam'!$A$2:$A$51,'Consol BS-DTRG'!$A47)</f>
        <v>-13312121038.466667</v>
      </c>
      <c r="BE47" s="15">
        <f>SUMIFS('BS-KH26-DongLam'!N$2:N$51,'BS-KH26-DongLam'!$A$2:$A$51,'Consol BS-DTRG'!$A47)</f>
        <v>-13510678575.711111</v>
      </c>
      <c r="BF47" s="15">
        <f>SUMIFS('BS-KH26-DongLam'!O$2:O$51,'BS-KH26-DongLam'!$A$2:$A$51,'Consol BS-DTRG'!$A47)</f>
        <v>-13723402779.622223</v>
      </c>
      <c r="BG47" s="15">
        <f>SUMIFS('BS-KH26-DongLam'!P$2:P$51,'BS-KH26-DongLam'!$A$2:$A$51,'Consol BS-DTRG'!$A47)</f>
        <v>-13975113094.644445</v>
      </c>
      <c r="BH47" s="15">
        <f>SUMIFS('BS-KH26-DongLam'!Q$2:Q$51,'BS-KH26-DongLam'!$A$2:$A$51,'Consol BS-DTRG'!$A47)</f>
        <v>-14226823409.666668</v>
      </c>
      <c r="BI47" s="15">
        <f>SUMIFS('BS-KH26-DongLam'!R$2:R$51,'BS-KH26-DongLam'!$A$2:$A$51,'Consol BS-DTRG'!$A47)</f>
        <v>-14478533724.68889</v>
      </c>
      <c r="BJ47" s="15">
        <f>SUMIFS('BS-KH26-DongLam'!S$2:S$51,'BS-KH26-DongLam'!$A$2:$A$51,'Consol BS-DTRG'!$A47)</f>
        <v>-14730244039.711113</v>
      </c>
      <c r="BK47" s="15">
        <f>SUMIFS('BS-KH26-DongLam'!T$2:T$51,'BS-KH26-DongLam'!$A$2:$A$51,'Consol BS-DTRG'!$A47)</f>
        <v>-14981954354.733335</v>
      </c>
      <c r="BL47" s="15">
        <f>SUMIFS('BS-KH26-DongLam'!U$2:U$51,'BS-KH26-DongLam'!$A$2:$A$51,'Consol BS-DTRG'!$A47)</f>
        <v>-15233664669.755558</v>
      </c>
      <c r="BM47" s="15">
        <f>SUMIFS('BS-KH26-DongLam'!V$2:V$51,'BS-KH26-DongLam'!$A$2:$A$51,'Consol BS-DTRG'!$A47)</f>
        <v>-15485374984.777781</v>
      </c>
      <c r="BN47" s="15">
        <f>SUMIFS('BS-KH26-DongLam'!W$2:W$51,'BS-KH26-DongLam'!$A$2:$A$51,'Consol BS-DTRG'!$A47)</f>
        <v>-15737085299.800003</v>
      </c>
      <c r="BO47" s="15">
        <f>SUMIFS('BS-KH26-DongLam'!X$2:X$51,'BS-KH26-DongLam'!$A$2:$A$51,'Consol BS-DTRG'!$A47)</f>
        <v>-15982684503.822226</v>
      </c>
      <c r="BQ47" s="15">
        <f>SUMIFS('BS-KH26-KhanhNga'!M$2:M$51,'BS-KH26-KhanhNga'!$A$2:$A$51,'Consol BS-DTRG'!$A47)</f>
        <v>-4952577487.0653477</v>
      </c>
      <c r="BR47" s="15">
        <f>SUMIFS('BS-KH26-KhanhNga'!N$2:N$51,'BS-KH26-KhanhNga'!$A$2:$A$51,'Consol BS-DTRG'!$A47)</f>
        <v>-5053470121.0631075</v>
      </c>
      <c r="BS47" s="15">
        <f>SUMIFS('BS-KH26-KhanhNga'!O$2:O$51,'BS-KH26-KhanhNga'!$A$2:$A$51,'Consol BS-DTRG'!$A47)</f>
        <v>-5162396948.6092548</v>
      </c>
      <c r="BT47" s="15">
        <f>SUMIFS('BS-KH26-KhanhNga'!P$2:P$51,'BS-KH26-KhanhNga'!$A$2:$A$51,'Consol BS-DTRG'!$A47)</f>
        <v>-5273332324.5424986</v>
      </c>
      <c r="BU47" s="15">
        <f>SUMIFS('BS-KH26-KhanhNga'!Q$2:Q$51,'BS-KH26-KhanhNga'!$A$2:$A$51,'Consol BS-DTRG'!$A47)</f>
        <v>-5384267700.4757423</v>
      </c>
      <c r="BV47" s="15">
        <f>SUMIFS('BS-KH26-KhanhNga'!R$2:R$51,'BS-KH26-KhanhNga'!$A$2:$A$51,'Consol BS-DTRG'!$A47)</f>
        <v>-5495203076.4089861</v>
      </c>
      <c r="BW47" s="15">
        <f>SUMIFS('BS-KH26-KhanhNga'!S$2:S$51,'BS-KH26-KhanhNga'!$A$2:$A$51,'Consol BS-DTRG'!$A47)</f>
        <v>-5606138452.3422298</v>
      </c>
      <c r="BX47" s="15">
        <f>SUMIFS('BS-KH26-KhanhNga'!T$2:T$51,'BS-KH26-KhanhNga'!$A$2:$A$51,'Consol BS-DTRG'!$A47)</f>
        <v>-5717073828.2754736</v>
      </c>
      <c r="BY47" s="15">
        <f>SUMIFS('BS-KH26-KhanhNga'!U$2:U$51,'BS-KH26-KhanhNga'!$A$2:$A$51,'Consol BS-DTRG'!$A47)</f>
        <v>-5828009204.2087173</v>
      </c>
      <c r="BZ47" s="15">
        <f>SUMIFS('BS-KH26-KhanhNga'!V$2:V$51,'BS-KH26-KhanhNga'!$A$2:$A$51,'Consol BS-DTRG'!$A47)</f>
        <v>-5938944580.1419611</v>
      </c>
      <c r="CA47" s="15">
        <f>SUMIFS('BS-KH26-KhanhNga'!W$2:W$51,'BS-KH26-KhanhNga'!$A$2:$A$51,'Consol BS-DTRG'!$A47)</f>
        <v>-6049879956.0752048</v>
      </c>
      <c r="CB47" s="15">
        <f>SUMIFS('BS-KH26-KhanhNga'!X$2:X$51,'BS-KH26-KhanhNga'!$A$2:$A$51,'Consol BS-DTRG'!$A47)</f>
        <v>-6160815332.0084486</v>
      </c>
      <c r="CD47" s="15">
        <f>SUMIFS('BS-KH26-DaiLoc'!M$2:M$51,'BS-KH26-DaiLoc'!$A$2:$A$51,'Consol BS-DTRG'!$A47)</f>
        <v>-14639294280.73719</v>
      </c>
      <c r="CE47" s="15">
        <f>SUMIFS('BS-KH26-DaiLoc'!N$2:N$51,'BS-KH26-DaiLoc'!$A$2:$A$51,'Consol BS-DTRG'!$A47)</f>
        <v>-15016778893</v>
      </c>
      <c r="CF47" s="15">
        <f>SUMIFS('BS-KH26-DaiLoc'!O$2:O$51,'BS-KH26-DaiLoc'!$A$2:$A$51,'Consol BS-DTRG'!$A47)</f>
        <v>-15391699869.26281</v>
      </c>
      <c r="CG47" s="15">
        <f>SUMIFS('BS-KH26-DaiLoc'!P$2:P$51,'BS-KH26-DaiLoc'!$A$2:$A$51,'Consol BS-DTRG'!$A47)</f>
        <v>-15766620845.52562</v>
      </c>
      <c r="CH47" s="15">
        <f>SUMIFS('BS-KH26-DaiLoc'!Q$2:Q$51,'BS-KH26-DaiLoc'!$A$2:$A$51,'Consol BS-DTRG'!$A47)</f>
        <v>-16141541821.788429</v>
      </c>
      <c r="CI47" s="15">
        <f>SUMIFS('BS-KH26-DaiLoc'!R$2:R$51,'BS-KH26-DaiLoc'!$A$2:$A$51,'Consol BS-DTRG'!$A47)</f>
        <v>-16516462798.051239</v>
      </c>
      <c r="CJ47" s="15">
        <f>SUMIFS('BS-KH26-DaiLoc'!S$2:S$51,'BS-KH26-DaiLoc'!$A$2:$A$51,'Consol BS-DTRG'!$A47)</f>
        <v>-16891383774.314049</v>
      </c>
      <c r="CK47" s="15">
        <f>SUMIFS('BS-KH26-DaiLoc'!T$2:T$51,'BS-KH26-DaiLoc'!$A$2:$A$51,'Consol BS-DTRG'!$A47)</f>
        <v>-17266304750.576862</v>
      </c>
      <c r="CL47" s="15">
        <f>SUMIFS('BS-KH26-DaiLoc'!U$2:U$51,'BS-KH26-DaiLoc'!$A$2:$A$51,'Consol BS-DTRG'!$A47)</f>
        <v>-17641225726.839676</v>
      </c>
      <c r="CM47" s="15">
        <f>SUMIFS('BS-KH26-DaiLoc'!V$2:V$51,'BS-KH26-DaiLoc'!$A$2:$A$51,'Consol BS-DTRG'!$A47)</f>
        <v>-18033507814.2136</v>
      </c>
      <c r="CN47" s="15">
        <f>SUMIFS('BS-KH26-DaiLoc'!W$2:W$51,'BS-KH26-DaiLoc'!$A$2:$A$51,'Consol BS-DTRG'!$A47)</f>
        <v>-18425789901.587524</v>
      </c>
      <c r="CO47" s="15">
        <f>SUMIFS('BS-KH26-DaiLoc'!X$2:X$51,'BS-KH26-DaiLoc'!$A$2:$A$51,'Consol BS-DTRG'!$A47)</f>
        <v>-18818071988.961449</v>
      </c>
      <c r="CQ47" s="15">
        <v>0</v>
      </c>
      <c r="CR47" s="15">
        <f t="shared" si="349"/>
        <v>0</v>
      </c>
      <c r="CS47" s="15">
        <f t="shared" si="349"/>
        <v>0</v>
      </c>
      <c r="CT47" s="15">
        <f t="shared" si="349"/>
        <v>0</v>
      </c>
      <c r="CU47" s="15">
        <f t="shared" si="349"/>
        <v>0</v>
      </c>
      <c r="CV47" s="15">
        <f t="shared" si="349"/>
        <v>0</v>
      </c>
      <c r="CW47" s="15">
        <f t="shared" si="349"/>
        <v>0</v>
      </c>
      <c r="CX47" s="15">
        <f t="shared" si="349"/>
        <v>0</v>
      </c>
      <c r="CY47" s="15">
        <f t="shared" si="349"/>
        <v>0</v>
      </c>
      <c r="CZ47" s="15">
        <f t="shared" si="349"/>
        <v>0</v>
      </c>
      <c r="DA47" s="15">
        <f t="shared" si="349"/>
        <v>0</v>
      </c>
      <c r="DB47" s="15">
        <f t="shared" si="349"/>
        <v>0</v>
      </c>
    </row>
    <row r="48" spans="1:106" collapsed="1">
      <c r="A48" s="1">
        <v>45</v>
      </c>
      <c r="B48" s="618" t="s">
        <v>299</v>
      </c>
      <c r="D48" s="14">
        <f t="shared" ref="D48:O48" si="350">SUM(D49:D50)</f>
        <v>18371809550.87608</v>
      </c>
      <c r="E48" s="14">
        <f t="shared" si="350"/>
        <v>18226590500.752151</v>
      </c>
      <c r="F48" s="14">
        <f t="shared" si="350"/>
        <v>18081371450.628235</v>
      </c>
      <c r="G48" s="14">
        <f t="shared" si="350"/>
        <v>17936152400.504314</v>
      </c>
      <c r="H48" s="14">
        <f t="shared" si="350"/>
        <v>17790933350.380402</v>
      </c>
      <c r="I48" s="14">
        <f t="shared" si="350"/>
        <v>17645714300.256474</v>
      </c>
      <c r="J48" s="14">
        <f t="shared" si="350"/>
        <v>17500495250.132553</v>
      </c>
      <c r="K48" s="14">
        <f t="shared" si="350"/>
        <v>17355276200.008629</v>
      </c>
      <c r="L48" s="14">
        <f t="shared" si="350"/>
        <v>17210057149.884716</v>
      </c>
      <c r="M48" s="14">
        <f t="shared" si="350"/>
        <v>17064838099.760788</v>
      </c>
      <c r="N48" s="14">
        <f t="shared" si="350"/>
        <v>16919619049.636868</v>
      </c>
      <c r="O48" s="14">
        <f t="shared" si="350"/>
        <v>16774399999.512947</v>
      </c>
      <c r="Q48" s="14">
        <f t="shared" ref="Q48:AB48" si="351">SUM(Q49:Q50)</f>
        <v>0</v>
      </c>
      <c r="R48" s="14">
        <f t="shared" si="351"/>
        <v>0</v>
      </c>
      <c r="S48" s="14">
        <f t="shared" si="351"/>
        <v>0</v>
      </c>
      <c r="T48" s="14">
        <f t="shared" si="351"/>
        <v>0</v>
      </c>
      <c r="U48" s="14">
        <f t="shared" si="351"/>
        <v>0</v>
      </c>
      <c r="V48" s="14">
        <f t="shared" si="351"/>
        <v>0</v>
      </c>
      <c r="W48" s="14">
        <f t="shared" si="351"/>
        <v>0</v>
      </c>
      <c r="X48" s="14">
        <f t="shared" si="351"/>
        <v>0</v>
      </c>
      <c r="Y48" s="14">
        <f t="shared" si="351"/>
        <v>0</v>
      </c>
      <c r="Z48" s="14">
        <f t="shared" si="351"/>
        <v>0</v>
      </c>
      <c r="AA48" s="14">
        <f t="shared" si="351"/>
        <v>0</v>
      </c>
      <c r="AB48" s="14">
        <f t="shared" si="351"/>
        <v>0</v>
      </c>
      <c r="AD48" s="644">
        <f t="shared" ref="AD48" si="352">SUM(AD49:AD50)</f>
        <v>18371809550.87608</v>
      </c>
      <c r="AE48" s="14">
        <f t="shared" ref="AE48:AO48" si="353">SUM(AE49:AE50)</f>
        <v>18226590500.752151</v>
      </c>
      <c r="AF48" s="14">
        <f t="shared" si="353"/>
        <v>18081371450.628235</v>
      </c>
      <c r="AG48" s="14">
        <f t="shared" si="353"/>
        <v>17936152400.504314</v>
      </c>
      <c r="AH48" s="14">
        <f t="shared" si="353"/>
        <v>17790933350.380402</v>
      </c>
      <c r="AI48" s="14">
        <f t="shared" si="353"/>
        <v>17645714300.256474</v>
      </c>
      <c r="AJ48" s="14">
        <f t="shared" si="353"/>
        <v>17500495250.132553</v>
      </c>
      <c r="AK48" s="14">
        <f t="shared" si="353"/>
        <v>17355276200.008629</v>
      </c>
      <c r="AL48" s="14">
        <f t="shared" si="353"/>
        <v>17210057149.884716</v>
      </c>
      <c r="AM48" s="14">
        <f t="shared" si="353"/>
        <v>17064838099.760788</v>
      </c>
      <c r="AN48" s="14">
        <f t="shared" si="353"/>
        <v>16919619049.636868</v>
      </c>
      <c r="AO48" s="645">
        <f t="shared" si="353"/>
        <v>16774399999.512947</v>
      </c>
      <c r="AQ48" s="14">
        <f t="shared" ref="AQ48:BB48" si="354">SUM(AQ49:AQ50)</f>
        <v>18371809550.87608</v>
      </c>
      <c r="AR48" s="14">
        <f t="shared" si="354"/>
        <v>18226590500.752151</v>
      </c>
      <c r="AS48" s="14">
        <f t="shared" si="354"/>
        <v>18081371450.628235</v>
      </c>
      <c r="AT48" s="14">
        <f t="shared" si="354"/>
        <v>17936152400.504314</v>
      </c>
      <c r="AU48" s="14">
        <f t="shared" si="354"/>
        <v>17790933350.380402</v>
      </c>
      <c r="AV48" s="14">
        <f t="shared" si="354"/>
        <v>17645714300.256474</v>
      </c>
      <c r="AW48" s="14">
        <f t="shared" si="354"/>
        <v>17500495250.132553</v>
      </c>
      <c r="AX48" s="14">
        <f t="shared" si="354"/>
        <v>17355276200.008629</v>
      </c>
      <c r="AY48" s="14">
        <f t="shared" si="354"/>
        <v>17210057149.884716</v>
      </c>
      <c r="AZ48" s="14">
        <f t="shared" si="354"/>
        <v>17064838099.760788</v>
      </c>
      <c r="BA48" s="14">
        <f t="shared" si="354"/>
        <v>16919619049.636868</v>
      </c>
      <c r="BB48" s="14">
        <f t="shared" si="354"/>
        <v>16774399999.512947</v>
      </c>
      <c r="BD48" s="14">
        <f t="shared" ref="BD48:BO48" si="355">SUM(BD49:BD50)</f>
        <v>0</v>
      </c>
      <c r="BE48" s="14">
        <f t="shared" si="355"/>
        <v>0</v>
      </c>
      <c r="BF48" s="14">
        <f t="shared" si="355"/>
        <v>0</v>
      </c>
      <c r="BG48" s="14">
        <f t="shared" si="355"/>
        <v>0</v>
      </c>
      <c r="BH48" s="14">
        <f t="shared" si="355"/>
        <v>0</v>
      </c>
      <c r="BI48" s="14">
        <f t="shared" si="355"/>
        <v>0</v>
      </c>
      <c r="BJ48" s="14">
        <f t="shared" si="355"/>
        <v>0</v>
      </c>
      <c r="BK48" s="14">
        <f t="shared" si="355"/>
        <v>0</v>
      </c>
      <c r="BL48" s="14">
        <f t="shared" si="355"/>
        <v>0</v>
      </c>
      <c r="BM48" s="14">
        <f t="shared" si="355"/>
        <v>0</v>
      </c>
      <c r="BN48" s="14">
        <f t="shared" si="355"/>
        <v>0</v>
      </c>
      <c r="BO48" s="14">
        <f t="shared" si="355"/>
        <v>0</v>
      </c>
      <c r="BQ48" s="14">
        <f t="shared" ref="BQ48:CB48" si="356">SUM(BQ49:BQ50)</f>
        <v>0</v>
      </c>
      <c r="BR48" s="14">
        <f t="shared" si="356"/>
        <v>0</v>
      </c>
      <c r="BS48" s="14">
        <f t="shared" si="356"/>
        <v>0</v>
      </c>
      <c r="BT48" s="14">
        <f t="shared" si="356"/>
        <v>0</v>
      </c>
      <c r="BU48" s="14">
        <f t="shared" si="356"/>
        <v>0</v>
      </c>
      <c r="BV48" s="14">
        <f t="shared" si="356"/>
        <v>0</v>
      </c>
      <c r="BW48" s="14">
        <f t="shared" si="356"/>
        <v>0</v>
      </c>
      <c r="BX48" s="14">
        <f t="shared" si="356"/>
        <v>0</v>
      </c>
      <c r="BY48" s="14">
        <f t="shared" si="356"/>
        <v>0</v>
      </c>
      <c r="BZ48" s="14">
        <f t="shared" si="356"/>
        <v>0</v>
      </c>
      <c r="CA48" s="14">
        <f t="shared" si="356"/>
        <v>0</v>
      </c>
      <c r="CB48" s="14">
        <f t="shared" si="356"/>
        <v>0</v>
      </c>
      <c r="CD48" s="14">
        <f t="shared" ref="CD48:CO48" si="357">SUM(CD49:CD50)</f>
        <v>0</v>
      </c>
      <c r="CE48" s="14">
        <f t="shared" si="357"/>
        <v>0</v>
      </c>
      <c r="CF48" s="14">
        <f t="shared" si="357"/>
        <v>0</v>
      </c>
      <c r="CG48" s="14">
        <f t="shared" si="357"/>
        <v>0</v>
      </c>
      <c r="CH48" s="14">
        <f t="shared" si="357"/>
        <v>0</v>
      </c>
      <c r="CI48" s="14">
        <f t="shared" si="357"/>
        <v>0</v>
      </c>
      <c r="CJ48" s="14">
        <f t="shared" si="357"/>
        <v>0</v>
      </c>
      <c r="CK48" s="14">
        <f t="shared" si="357"/>
        <v>0</v>
      </c>
      <c r="CL48" s="14">
        <f t="shared" si="357"/>
        <v>0</v>
      </c>
      <c r="CM48" s="14">
        <f t="shared" si="357"/>
        <v>0</v>
      </c>
      <c r="CN48" s="14">
        <f t="shared" si="357"/>
        <v>0</v>
      </c>
      <c r="CO48" s="14">
        <f t="shared" si="357"/>
        <v>0</v>
      </c>
      <c r="CQ48" s="14">
        <f t="shared" ref="CQ48:DB48" si="358">SUM(CQ49:CQ50)</f>
        <v>0</v>
      </c>
      <c r="CR48" s="14">
        <f t="shared" si="358"/>
        <v>0</v>
      </c>
      <c r="CS48" s="14">
        <f t="shared" si="358"/>
        <v>0</v>
      </c>
      <c r="CT48" s="14">
        <f t="shared" si="358"/>
        <v>0</v>
      </c>
      <c r="CU48" s="14">
        <f t="shared" si="358"/>
        <v>0</v>
      </c>
      <c r="CV48" s="14">
        <f t="shared" si="358"/>
        <v>0</v>
      </c>
      <c r="CW48" s="14">
        <f t="shared" si="358"/>
        <v>0</v>
      </c>
      <c r="CX48" s="14">
        <f t="shared" si="358"/>
        <v>0</v>
      </c>
      <c r="CY48" s="14">
        <f t="shared" si="358"/>
        <v>0</v>
      </c>
      <c r="CZ48" s="14">
        <f t="shared" si="358"/>
        <v>0</v>
      </c>
      <c r="DA48" s="14">
        <f t="shared" si="358"/>
        <v>0</v>
      </c>
      <c r="DB48" s="14">
        <f t="shared" si="358"/>
        <v>0</v>
      </c>
    </row>
    <row r="49" spans="1:106" hidden="1" outlineLevel="1">
      <c r="A49" s="633">
        <v>46</v>
      </c>
      <c r="B49" s="619" t="s">
        <v>300</v>
      </c>
      <c r="C49" t="s">
        <v>518</v>
      </c>
      <c r="D49" s="15">
        <f t="shared" ref="D49:D50" si="359">AD49+Q49</f>
        <v>25454545455</v>
      </c>
      <c r="E49" s="15">
        <f t="shared" ref="E49:E50" si="360">AE49+R49</f>
        <v>25454545455</v>
      </c>
      <c r="F49" s="15">
        <f t="shared" ref="F49:F50" si="361">AF49+S49</f>
        <v>25454545455</v>
      </c>
      <c r="G49" s="15">
        <f t="shared" ref="G49:G50" si="362">AG49+T49</f>
        <v>25454545455</v>
      </c>
      <c r="H49" s="15">
        <f t="shared" ref="H49:H50" si="363">AH49+U49</f>
        <v>25454545455</v>
      </c>
      <c r="I49" s="15">
        <f t="shared" ref="I49:I50" si="364">AI49+V49</f>
        <v>25454545455</v>
      </c>
      <c r="J49" s="15">
        <f t="shared" ref="J49:J50" si="365">AJ49+W49</f>
        <v>25454545455</v>
      </c>
      <c r="K49" s="15">
        <f t="shared" ref="K49:K50" si="366">AK49+X49</f>
        <v>25454545455</v>
      </c>
      <c r="L49" s="15">
        <f t="shared" ref="L49:L50" si="367">AL49+Y49</f>
        <v>25454545455</v>
      </c>
      <c r="M49" s="15">
        <f t="shared" ref="M49:M50" si="368">AM49+Z49</f>
        <v>25454545455</v>
      </c>
      <c r="N49" s="15">
        <f t="shared" ref="N49:N50" si="369">AN49+AA49</f>
        <v>25454545455</v>
      </c>
      <c r="O49" s="15">
        <f t="shared" ref="O49:O50" si="370">AO49+AB49</f>
        <v>25454545455</v>
      </c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D49" s="646">
        <f t="shared" ref="AD49:AD50" si="371">AQ49+BD49+BQ49+CD49+CQ49</f>
        <v>25454545455</v>
      </c>
      <c r="AE49" s="15">
        <f t="shared" ref="AE49:AE50" si="372">AR49+BE49+BR49+CE49+CR49</f>
        <v>25454545455</v>
      </c>
      <c r="AF49" s="15">
        <f t="shared" ref="AF49:AF50" si="373">AS49+BF49+BS49+CF49+CS49</f>
        <v>25454545455</v>
      </c>
      <c r="AG49" s="15">
        <f t="shared" ref="AG49:AG50" si="374">AT49+BG49+BT49+CG49+CT49</f>
        <v>25454545455</v>
      </c>
      <c r="AH49" s="15">
        <f t="shared" ref="AH49:AH50" si="375">AU49+BH49+BU49+CH49+CU49</f>
        <v>25454545455</v>
      </c>
      <c r="AI49" s="15">
        <f t="shared" ref="AI49:AI50" si="376">AV49+BI49+BV49+CI49+CV49</f>
        <v>25454545455</v>
      </c>
      <c r="AJ49" s="15">
        <f t="shared" ref="AJ49:AJ50" si="377">AW49+BJ49+BW49+CJ49+CW49</f>
        <v>25454545455</v>
      </c>
      <c r="AK49" s="15">
        <f t="shared" ref="AK49:AK50" si="378">AX49+BK49+BX49+CK49+CX49</f>
        <v>25454545455</v>
      </c>
      <c r="AL49" s="15">
        <f t="shared" ref="AL49:AL50" si="379">AY49+BL49+BY49+CL49+CY49</f>
        <v>25454545455</v>
      </c>
      <c r="AM49" s="15">
        <f t="shared" ref="AM49:AM50" si="380">AZ49+BM49+BZ49+CM49+CZ49</f>
        <v>25454545455</v>
      </c>
      <c r="AN49" s="15">
        <f t="shared" ref="AN49:AN50" si="381">BA49+BN49+CA49+CN49+DA49</f>
        <v>25454545455</v>
      </c>
      <c r="AO49" s="647">
        <f t="shared" ref="AO49:AO50" si="382">BB49+BO49+CB49+CO49+DB49</f>
        <v>25454545455</v>
      </c>
      <c r="AQ49" s="15">
        <f>SUMIFS('BS-KH26-DTR'!D$2:D$116,'BS-KH26-DTR'!$B$2:$B$116,$A49)</f>
        <v>25454545455</v>
      </c>
      <c r="AR49" s="15">
        <f>SUMIFS('BS-KH26-DTR'!E$2:E$116,'BS-KH26-DTR'!$B$2:$B$116,$A49)</f>
        <v>25454545455</v>
      </c>
      <c r="AS49" s="15">
        <f>SUMIFS('BS-KH26-DTR'!F$2:F$116,'BS-KH26-DTR'!$B$2:$B$116,$A49)</f>
        <v>25454545455</v>
      </c>
      <c r="AT49" s="15">
        <f>SUMIFS('BS-KH26-DTR'!G$2:G$116,'BS-KH26-DTR'!$B$2:$B$116,$A49)</f>
        <v>25454545455</v>
      </c>
      <c r="AU49" s="15">
        <f>SUMIFS('BS-KH26-DTR'!H$2:H$116,'BS-KH26-DTR'!$B$2:$B$116,$A49)</f>
        <v>25454545455</v>
      </c>
      <c r="AV49" s="15">
        <f>SUMIFS('BS-KH26-DTR'!I$2:I$116,'BS-KH26-DTR'!$B$2:$B$116,$A49)</f>
        <v>25454545455</v>
      </c>
      <c r="AW49" s="15">
        <f>SUMIFS('BS-KH26-DTR'!J$2:J$116,'BS-KH26-DTR'!$B$2:$B$116,$A49)</f>
        <v>25454545455</v>
      </c>
      <c r="AX49" s="15">
        <f>SUMIFS('BS-KH26-DTR'!K$2:K$116,'BS-KH26-DTR'!$B$2:$B$116,$A49)</f>
        <v>25454545455</v>
      </c>
      <c r="AY49" s="15">
        <f>SUMIFS('BS-KH26-DTR'!L$2:L$116,'BS-KH26-DTR'!$B$2:$B$116,$A49)</f>
        <v>25454545455</v>
      </c>
      <c r="AZ49" s="15">
        <f>SUMIFS('BS-KH26-DTR'!M$2:M$116,'BS-KH26-DTR'!$B$2:$B$116,$A49)</f>
        <v>25454545455</v>
      </c>
      <c r="BA49" s="15">
        <f>SUMIFS('BS-KH26-DTR'!N$2:N$116,'BS-KH26-DTR'!$B$2:$B$116,$A49)</f>
        <v>25454545455</v>
      </c>
      <c r="BB49" s="15">
        <f>SUMIFS('BS-KH26-DTR'!O$2:O$116,'BS-KH26-DTR'!$B$2:$B$116,$A49)</f>
        <v>25454545455</v>
      </c>
      <c r="BD49" s="15">
        <f>SUMIFS('BS-KH26-DongLam'!M$2:M$51,'BS-KH26-DongLam'!$A$2:$A$51,'Consol BS-DTRG'!$A49)</f>
        <v>0</v>
      </c>
      <c r="BE49" s="15">
        <f>SUMIFS('BS-KH26-DongLam'!N$2:N$51,'BS-KH26-DongLam'!$A$2:$A$51,'Consol BS-DTRG'!$A49)</f>
        <v>0</v>
      </c>
      <c r="BF49" s="15">
        <f>SUMIFS('BS-KH26-DongLam'!O$2:O$51,'BS-KH26-DongLam'!$A$2:$A$51,'Consol BS-DTRG'!$A49)</f>
        <v>0</v>
      </c>
      <c r="BG49" s="15">
        <f>SUMIFS('BS-KH26-DongLam'!P$2:P$51,'BS-KH26-DongLam'!$A$2:$A$51,'Consol BS-DTRG'!$A49)</f>
        <v>0</v>
      </c>
      <c r="BH49" s="15">
        <f>SUMIFS('BS-KH26-DongLam'!Q$2:Q$51,'BS-KH26-DongLam'!$A$2:$A$51,'Consol BS-DTRG'!$A49)</f>
        <v>0</v>
      </c>
      <c r="BI49" s="15">
        <f>SUMIFS('BS-KH26-DongLam'!R$2:R$51,'BS-KH26-DongLam'!$A$2:$A$51,'Consol BS-DTRG'!$A49)</f>
        <v>0</v>
      </c>
      <c r="BJ49" s="15">
        <f>SUMIFS('BS-KH26-DongLam'!S$2:S$51,'BS-KH26-DongLam'!$A$2:$A$51,'Consol BS-DTRG'!$A49)</f>
        <v>0</v>
      </c>
      <c r="BK49" s="15">
        <f>SUMIFS('BS-KH26-DongLam'!T$2:T$51,'BS-KH26-DongLam'!$A$2:$A$51,'Consol BS-DTRG'!$A49)</f>
        <v>0</v>
      </c>
      <c r="BL49" s="15">
        <f>SUMIFS('BS-KH26-DongLam'!U$2:U$51,'BS-KH26-DongLam'!$A$2:$A$51,'Consol BS-DTRG'!$A49)</f>
        <v>0</v>
      </c>
      <c r="BM49" s="15">
        <f>SUMIFS('BS-KH26-DongLam'!V$2:V$51,'BS-KH26-DongLam'!$A$2:$A$51,'Consol BS-DTRG'!$A49)</f>
        <v>0</v>
      </c>
      <c r="BN49" s="15">
        <f>SUMIFS('BS-KH26-DongLam'!W$2:W$51,'BS-KH26-DongLam'!$A$2:$A$51,'Consol BS-DTRG'!$A49)</f>
        <v>0</v>
      </c>
      <c r="BO49" s="15">
        <f>SUMIFS('BS-KH26-DongLam'!X$2:X$51,'BS-KH26-DongLam'!$A$2:$A$51,'Consol BS-DTRG'!$A49)</f>
        <v>0</v>
      </c>
      <c r="BQ49" s="15">
        <f>SUMIFS('BS-KH26-KhanhNga'!M$2:M$51,'BS-KH26-KhanhNga'!$A$2:$A$51,'Consol BS-DTRG'!$A49)</f>
        <v>0</v>
      </c>
      <c r="BR49" s="15">
        <f>SUMIFS('BS-KH26-KhanhNga'!N$2:N$51,'BS-KH26-KhanhNga'!$A$2:$A$51,'Consol BS-DTRG'!$A49)</f>
        <v>0</v>
      </c>
      <c r="BS49" s="15">
        <f>SUMIFS('BS-KH26-KhanhNga'!O$2:O$51,'BS-KH26-KhanhNga'!$A$2:$A$51,'Consol BS-DTRG'!$A49)</f>
        <v>0</v>
      </c>
      <c r="BT49" s="15">
        <f>SUMIFS('BS-KH26-KhanhNga'!P$2:P$51,'BS-KH26-KhanhNga'!$A$2:$A$51,'Consol BS-DTRG'!$A49)</f>
        <v>0</v>
      </c>
      <c r="BU49" s="15">
        <f>SUMIFS('BS-KH26-KhanhNga'!Q$2:Q$51,'BS-KH26-KhanhNga'!$A$2:$A$51,'Consol BS-DTRG'!$A49)</f>
        <v>0</v>
      </c>
      <c r="BV49" s="15">
        <f>SUMIFS('BS-KH26-KhanhNga'!R$2:R$51,'BS-KH26-KhanhNga'!$A$2:$A$51,'Consol BS-DTRG'!$A49)</f>
        <v>0</v>
      </c>
      <c r="BW49" s="15">
        <f>SUMIFS('BS-KH26-KhanhNga'!S$2:S$51,'BS-KH26-KhanhNga'!$A$2:$A$51,'Consol BS-DTRG'!$A49)</f>
        <v>0</v>
      </c>
      <c r="BX49" s="15">
        <f>SUMIFS('BS-KH26-KhanhNga'!T$2:T$51,'BS-KH26-KhanhNga'!$A$2:$A$51,'Consol BS-DTRG'!$A49)</f>
        <v>0</v>
      </c>
      <c r="BY49" s="15">
        <f>SUMIFS('BS-KH26-KhanhNga'!U$2:U$51,'BS-KH26-KhanhNga'!$A$2:$A$51,'Consol BS-DTRG'!$A49)</f>
        <v>0</v>
      </c>
      <c r="BZ49" s="15">
        <f>SUMIFS('BS-KH26-KhanhNga'!V$2:V$51,'BS-KH26-KhanhNga'!$A$2:$A$51,'Consol BS-DTRG'!$A49)</f>
        <v>0</v>
      </c>
      <c r="CA49" s="15">
        <f>SUMIFS('BS-KH26-KhanhNga'!W$2:W$51,'BS-KH26-KhanhNga'!$A$2:$A$51,'Consol BS-DTRG'!$A49)</f>
        <v>0</v>
      </c>
      <c r="CB49" s="15">
        <f>SUMIFS('BS-KH26-KhanhNga'!X$2:X$51,'BS-KH26-KhanhNga'!$A$2:$A$51,'Consol BS-DTRG'!$A49)</f>
        <v>0</v>
      </c>
      <c r="CD49" s="15">
        <f>SUMIFS('BS-KH26-DaiLoc'!M$2:M$51,'BS-KH26-DaiLoc'!$A$2:$A$51,'Consol BS-DTRG'!$A49)</f>
        <v>0</v>
      </c>
      <c r="CE49" s="15">
        <f>SUMIFS('BS-KH26-DaiLoc'!N$2:N$51,'BS-KH26-DaiLoc'!$A$2:$A$51,'Consol BS-DTRG'!$A49)</f>
        <v>0</v>
      </c>
      <c r="CF49" s="15">
        <f>SUMIFS('BS-KH26-DaiLoc'!O$2:O$51,'BS-KH26-DaiLoc'!$A$2:$A$51,'Consol BS-DTRG'!$A49)</f>
        <v>0</v>
      </c>
      <c r="CG49" s="15">
        <f>SUMIFS('BS-KH26-DaiLoc'!P$2:P$51,'BS-KH26-DaiLoc'!$A$2:$A$51,'Consol BS-DTRG'!$A49)</f>
        <v>0</v>
      </c>
      <c r="CH49" s="15">
        <f>SUMIFS('BS-KH26-DaiLoc'!Q$2:Q$51,'BS-KH26-DaiLoc'!$A$2:$A$51,'Consol BS-DTRG'!$A49)</f>
        <v>0</v>
      </c>
      <c r="CI49" s="15">
        <f>SUMIFS('BS-KH26-DaiLoc'!R$2:R$51,'BS-KH26-DaiLoc'!$A$2:$A$51,'Consol BS-DTRG'!$A49)</f>
        <v>0</v>
      </c>
      <c r="CJ49" s="15">
        <f>SUMIFS('BS-KH26-DaiLoc'!S$2:S$51,'BS-KH26-DaiLoc'!$A$2:$A$51,'Consol BS-DTRG'!$A49)</f>
        <v>0</v>
      </c>
      <c r="CK49" s="15">
        <f>SUMIFS('BS-KH26-DaiLoc'!T$2:T$51,'BS-KH26-DaiLoc'!$A$2:$A$51,'Consol BS-DTRG'!$A49)</f>
        <v>0</v>
      </c>
      <c r="CL49" s="15">
        <f>SUMIFS('BS-KH26-DaiLoc'!U$2:U$51,'BS-KH26-DaiLoc'!$A$2:$A$51,'Consol BS-DTRG'!$A49)</f>
        <v>0</v>
      </c>
      <c r="CM49" s="15">
        <f>SUMIFS('BS-KH26-DaiLoc'!V$2:V$51,'BS-KH26-DaiLoc'!$A$2:$A$51,'Consol BS-DTRG'!$A49)</f>
        <v>0</v>
      </c>
      <c r="CN49" s="15">
        <f>SUMIFS('BS-KH26-DaiLoc'!W$2:W$51,'BS-KH26-DaiLoc'!$A$2:$A$51,'Consol BS-DTRG'!$A49)</f>
        <v>0</v>
      </c>
      <c r="CO49" s="15">
        <f>SUMIFS('BS-KH26-DaiLoc'!X$2:X$51,'BS-KH26-DaiLoc'!$A$2:$A$51,'Consol BS-DTRG'!$A49)</f>
        <v>0</v>
      </c>
      <c r="CQ49" s="15">
        <v>0</v>
      </c>
      <c r="CR49" s="15">
        <f t="shared" ref="CR49:DB50" si="383">CQ49</f>
        <v>0</v>
      </c>
      <c r="CS49" s="15">
        <f t="shared" si="383"/>
        <v>0</v>
      </c>
      <c r="CT49" s="15">
        <f t="shared" si="383"/>
        <v>0</v>
      </c>
      <c r="CU49" s="15">
        <f t="shared" si="383"/>
        <v>0</v>
      </c>
      <c r="CV49" s="15">
        <f t="shared" si="383"/>
        <v>0</v>
      </c>
      <c r="CW49" s="15">
        <f t="shared" si="383"/>
        <v>0</v>
      </c>
      <c r="CX49" s="15">
        <f t="shared" si="383"/>
        <v>0</v>
      </c>
      <c r="CY49" s="15">
        <f t="shared" si="383"/>
        <v>0</v>
      </c>
      <c r="CZ49" s="15">
        <f t="shared" si="383"/>
        <v>0</v>
      </c>
      <c r="DA49" s="15">
        <f t="shared" si="383"/>
        <v>0</v>
      </c>
      <c r="DB49" s="15">
        <f t="shared" si="383"/>
        <v>0</v>
      </c>
    </row>
    <row r="50" spans="1:106" hidden="1" outlineLevel="1">
      <c r="A50" s="633">
        <v>47</v>
      </c>
      <c r="B50" s="619" t="s">
        <v>301</v>
      </c>
      <c r="C50" t="s">
        <v>518</v>
      </c>
      <c r="D50" s="15">
        <f t="shared" si="359"/>
        <v>-7082735904.1239204</v>
      </c>
      <c r="E50" s="15">
        <f t="shared" si="360"/>
        <v>-7227954954.2478485</v>
      </c>
      <c r="F50" s="15">
        <f t="shared" si="361"/>
        <v>-7373174004.3717651</v>
      </c>
      <c r="G50" s="15">
        <f t="shared" si="362"/>
        <v>-7518393054.4956856</v>
      </c>
      <c r="H50" s="15">
        <f t="shared" si="363"/>
        <v>-7663612104.6195984</v>
      </c>
      <c r="I50" s="15">
        <f t="shared" si="364"/>
        <v>-7808831154.7435265</v>
      </c>
      <c r="J50" s="15">
        <f t="shared" si="365"/>
        <v>-7954050204.8674469</v>
      </c>
      <c r="K50" s="15">
        <f t="shared" si="366"/>
        <v>-8099269254.9913712</v>
      </c>
      <c r="L50" s="15">
        <f t="shared" si="367"/>
        <v>-8244488305.115284</v>
      </c>
      <c r="M50" s="15">
        <f t="shared" si="368"/>
        <v>-8389707355.239212</v>
      </c>
      <c r="N50" s="15">
        <f t="shared" si="369"/>
        <v>-8534926405.3631325</v>
      </c>
      <c r="O50" s="15">
        <f t="shared" si="370"/>
        <v>-8680145455.4870529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D50" s="646">
        <f t="shared" si="371"/>
        <v>-7082735904.1239204</v>
      </c>
      <c r="AE50" s="15">
        <f t="shared" si="372"/>
        <v>-7227954954.2478485</v>
      </c>
      <c r="AF50" s="15">
        <f t="shared" si="373"/>
        <v>-7373174004.3717651</v>
      </c>
      <c r="AG50" s="15">
        <f t="shared" si="374"/>
        <v>-7518393054.4956856</v>
      </c>
      <c r="AH50" s="15">
        <f t="shared" si="375"/>
        <v>-7663612104.6195984</v>
      </c>
      <c r="AI50" s="15">
        <f t="shared" si="376"/>
        <v>-7808831154.7435265</v>
      </c>
      <c r="AJ50" s="15">
        <f t="shared" si="377"/>
        <v>-7954050204.8674469</v>
      </c>
      <c r="AK50" s="15">
        <f t="shared" si="378"/>
        <v>-8099269254.9913712</v>
      </c>
      <c r="AL50" s="15">
        <f t="shared" si="379"/>
        <v>-8244488305.115284</v>
      </c>
      <c r="AM50" s="15">
        <f t="shared" si="380"/>
        <v>-8389707355.239212</v>
      </c>
      <c r="AN50" s="15">
        <f t="shared" si="381"/>
        <v>-8534926405.3631325</v>
      </c>
      <c r="AO50" s="647">
        <f t="shared" si="382"/>
        <v>-8680145455.4870529</v>
      </c>
      <c r="AQ50" s="15">
        <f>SUMIFS('BS-KH26-DTR'!D$2:D$116,'BS-KH26-DTR'!$B$2:$B$116,$A50)</f>
        <v>-7082735904.1239204</v>
      </c>
      <c r="AR50" s="15">
        <f>SUMIFS('BS-KH26-DTR'!E$2:E$116,'BS-KH26-DTR'!$B$2:$B$116,$A50)</f>
        <v>-7227954954.2478485</v>
      </c>
      <c r="AS50" s="15">
        <f>SUMIFS('BS-KH26-DTR'!F$2:F$116,'BS-KH26-DTR'!$B$2:$B$116,$A50)</f>
        <v>-7373174004.3717651</v>
      </c>
      <c r="AT50" s="15">
        <f>SUMIFS('BS-KH26-DTR'!G$2:G$116,'BS-KH26-DTR'!$B$2:$B$116,$A50)</f>
        <v>-7518393054.4956856</v>
      </c>
      <c r="AU50" s="15">
        <f>SUMIFS('BS-KH26-DTR'!H$2:H$116,'BS-KH26-DTR'!$B$2:$B$116,$A50)</f>
        <v>-7663612104.6195984</v>
      </c>
      <c r="AV50" s="15">
        <f>SUMIFS('BS-KH26-DTR'!I$2:I$116,'BS-KH26-DTR'!$B$2:$B$116,$A50)</f>
        <v>-7808831154.7435265</v>
      </c>
      <c r="AW50" s="15">
        <f>SUMIFS('BS-KH26-DTR'!J$2:J$116,'BS-KH26-DTR'!$B$2:$B$116,$A50)</f>
        <v>-7954050204.8674469</v>
      </c>
      <c r="AX50" s="15">
        <f>SUMIFS('BS-KH26-DTR'!K$2:K$116,'BS-KH26-DTR'!$B$2:$B$116,$A50)</f>
        <v>-8099269254.9913712</v>
      </c>
      <c r="AY50" s="15">
        <f>SUMIFS('BS-KH26-DTR'!L$2:L$116,'BS-KH26-DTR'!$B$2:$B$116,$A50)</f>
        <v>-8244488305.115284</v>
      </c>
      <c r="AZ50" s="15">
        <f>SUMIFS('BS-KH26-DTR'!M$2:M$116,'BS-KH26-DTR'!$B$2:$B$116,$A50)</f>
        <v>-8389707355.239212</v>
      </c>
      <c r="BA50" s="15">
        <f>SUMIFS('BS-KH26-DTR'!N$2:N$116,'BS-KH26-DTR'!$B$2:$B$116,$A50)</f>
        <v>-8534926405.3631325</v>
      </c>
      <c r="BB50" s="15">
        <f>SUMIFS('BS-KH26-DTR'!O$2:O$116,'BS-KH26-DTR'!$B$2:$B$116,$A50)</f>
        <v>-8680145455.4870529</v>
      </c>
      <c r="BD50" s="15">
        <f>SUMIFS('BS-KH26-DongLam'!M$2:M$51,'BS-KH26-DongLam'!$A$2:$A$51,'Consol BS-DTRG'!$A50)</f>
        <v>0</v>
      </c>
      <c r="BE50" s="15">
        <f>SUMIFS('BS-KH26-DongLam'!N$2:N$51,'BS-KH26-DongLam'!$A$2:$A$51,'Consol BS-DTRG'!$A50)</f>
        <v>0</v>
      </c>
      <c r="BF50" s="15">
        <f>SUMIFS('BS-KH26-DongLam'!O$2:O$51,'BS-KH26-DongLam'!$A$2:$A$51,'Consol BS-DTRG'!$A50)</f>
        <v>0</v>
      </c>
      <c r="BG50" s="15">
        <f>SUMIFS('BS-KH26-DongLam'!P$2:P$51,'BS-KH26-DongLam'!$A$2:$A$51,'Consol BS-DTRG'!$A50)</f>
        <v>0</v>
      </c>
      <c r="BH50" s="15">
        <f>SUMIFS('BS-KH26-DongLam'!Q$2:Q$51,'BS-KH26-DongLam'!$A$2:$A$51,'Consol BS-DTRG'!$A50)</f>
        <v>0</v>
      </c>
      <c r="BI50" s="15">
        <f>SUMIFS('BS-KH26-DongLam'!R$2:R$51,'BS-KH26-DongLam'!$A$2:$A$51,'Consol BS-DTRG'!$A50)</f>
        <v>0</v>
      </c>
      <c r="BJ50" s="15">
        <f>SUMIFS('BS-KH26-DongLam'!S$2:S$51,'BS-KH26-DongLam'!$A$2:$A$51,'Consol BS-DTRG'!$A50)</f>
        <v>0</v>
      </c>
      <c r="BK50" s="15">
        <f>SUMIFS('BS-KH26-DongLam'!T$2:T$51,'BS-KH26-DongLam'!$A$2:$A$51,'Consol BS-DTRG'!$A50)</f>
        <v>0</v>
      </c>
      <c r="BL50" s="15">
        <f>SUMIFS('BS-KH26-DongLam'!U$2:U$51,'BS-KH26-DongLam'!$A$2:$A$51,'Consol BS-DTRG'!$A50)</f>
        <v>0</v>
      </c>
      <c r="BM50" s="15">
        <f>SUMIFS('BS-KH26-DongLam'!V$2:V$51,'BS-KH26-DongLam'!$A$2:$A$51,'Consol BS-DTRG'!$A50)</f>
        <v>0</v>
      </c>
      <c r="BN50" s="15">
        <f>SUMIFS('BS-KH26-DongLam'!W$2:W$51,'BS-KH26-DongLam'!$A$2:$A$51,'Consol BS-DTRG'!$A50)</f>
        <v>0</v>
      </c>
      <c r="BO50" s="15">
        <f>SUMIFS('BS-KH26-DongLam'!X$2:X$51,'BS-KH26-DongLam'!$A$2:$A$51,'Consol BS-DTRG'!$A50)</f>
        <v>0</v>
      </c>
      <c r="BQ50" s="15">
        <f>SUMIFS('BS-KH26-KhanhNga'!M$2:M$51,'BS-KH26-KhanhNga'!$A$2:$A$51,'Consol BS-DTRG'!$A50)</f>
        <v>0</v>
      </c>
      <c r="BR50" s="15">
        <f>SUMIFS('BS-KH26-KhanhNga'!N$2:N$51,'BS-KH26-KhanhNga'!$A$2:$A$51,'Consol BS-DTRG'!$A50)</f>
        <v>0</v>
      </c>
      <c r="BS50" s="15">
        <f>SUMIFS('BS-KH26-KhanhNga'!O$2:O$51,'BS-KH26-KhanhNga'!$A$2:$A$51,'Consol BS-DTRG'!$A50)</f>
        <v>0</v>
      </c>
      <c r="BT50" s="15">
        <f>SUMIFS('BS-KH26-KhanhNga'!P$2:P$51,'BS-KH26-KhanhNga'!$A$2:$A$51,'Consol BS-DTRG'!$A50)</f>
        <v>0</v>
      </c>
      <c r="BU50" s="15">
        <f>SUMIFS('BS-KH26-KhanhNga'!Q$2:Q$51,'BS-KH26-KhanhNga'!$A$2:$A$51,'Consol BS-DTRG'!$A50)</f>
        <v>0</v>
      </c>
      <c r="BV50" s="15">
        <f>SUMIFS('BS-KH26-KhanhNga'!R$2:R$51,'BS-KH26-KhanhNga'!$A$2:$A$51,'Consol BS-DTRG'!$A50)</f>
        <v>0</v>
      </c>
      <c r="BW50" s="15">
        <f>SUMIFS('BS-KH26-KhanhNga'!S$2:S$51,'BS-KH26-KhanhNga'!$A$2:$A$51,'Consol BS-DTRG'!$A50)</f>
        <v>0</v>
      </c>
      <c r="BX50" s="15">
        <f>SUMIFS('BS-KH26-KhanhNga'!T$2:T$51,'BS-KH26-KhanhNga'!$A$2:$A$51,'Consol BS-DTRG'!$A50)</f>
        <v>0</v>
      </c>
      <c r="BY50" s="15">
        <f>SUMIFS('BS-KH26-KhanhNga'!U$2:U$51,'BS-KH26-KhanhNga'!$A$2:$A$51,'Consol BS-DTRG'!$A50)</f>
        <v>0</v>
      </c>
      <c r="BZ50" s="15">
        <f>SUMIFS('BS-KH26-KhanhNga'!V$2:V$51,'BS-KH26-KhanhNga'!$A$2:$A$51,'Consol BS-DTRG'!$A50)</f>
        <v>0</v>
      </c>
      <c r="CA50" s="15">
        <f>SUMIFS('BS-KH26-KhanhNga'!W$2:W$51,'BS-KH26-KhanhNga'!$A$2:$A$51,'Consol BS-DTRG'!$A50)</f>
        <v>0</v>
      </c>
      <c r="CB50" s="15">
        <f>SUMIFS('BS-KH26-KhanhNga'!X$2:X$51,'BS-KH26-KhanhNga'!$A$2:$A$51,'Consol BS-DTRG'!$A50)</f>
        <v>0</v>
      </c>
      <c r="CD50" s="15">
        <f>SUMIFS('BS-KH26-DaiLoc'!M$2:M$51,'BS-KH26-DaiLoc'!$A$2:$A$51,'Consol BS-DTRG'!$A50)</f>
        <v>0</v>
      </c>
      <c r="CE50" s="15">
        <f>SUMIFS('BS-KH26-DaiLoc'!N$2:N$51,'BS-KH26-DaiLoc'!$A$2:$A$51,'Consol BS-DTRG'!$A50)</f>
        <v>0</v>
      </c>
      <c r="CF50" s="15">
        <f>SUMIFS('BS-KH26-DaiLoc'!O$2:O$51,'BS-KH26-DaiLoc'!$A$2:$A$51,'Consol BS-DTRG'!$A50)</f>
        <v>0</v>
      </c>
      <c r="CG50" s="15">
        <f>SUMIFS('BS-KH26-DaiLoc'!P$2:P$51,'BS-KH26-DaiLoc'!$A$2:$A$51,'Consol BS-DTRG'!$A50)</f>
        <v>0</v>
      </c>
      <c r="CH50" s="15">
        <f>SUMIFS('BS-KH26-DaiLoc'!Q$2:Q$51,'BS-KH26-DaiLoc'!$A$2:$A$51,'Consol BS-DTRG'!$A50)</f>
        <v>0</v>
      </c>
      <c r="CI50" s="15">
        <f>SUMIFS('BS-KH26-DaiLoc'!R$2:R$51,'BS-KH26-DaiLoc'!$A$2:$A$51,'Consol BS-DTRG'!$A50)</f>
        <v>0</v>
      </c>
      <c r="CJ50" s="15">
        <f>SUMIFS('BS-KH26-DaiLoc'!S$2:S$51,'BS-KH26-DaiLoc'!$A$2:$A$51,'Consol BS-DTRG'!$A50)</f>
        <v>0</v>
      </c>
      <c r="CK50" s="15">
        <f>SUMIFS('BS-KH26-DaiLoc'!T$2:T$51,'BS-KH26-DaiLoc'!$A$2:$A$51,'Consol BS-DTRG'!$A50)</f>
        <v>0</v>
      </c>
      <c r="CL50" s="15">
        <f>SUMIFS('BS-KH26-DaiLoc'!U$2:U$51,'BS-KH26-DaiLoc'!$A$2:$A$51,'Consol BS-DTRG'!$A50)</f>
        <v>0</v>
      </c>
      <c r="CM50" s="15">
        <f>SUMIFS('BS-KH26-DaiLoc'!V$2:V$51,'BS-KH26-DaiLoc'!$A$2:$A$51,'Consol BS-DTRG'!$A50)</f>
        <v>0</v>
      </c>
      <c r="CN50" s="15">
        <f>SUMIFS('BS-KH26-DaiLoc'!W$2:W$51,'BS-KH26-DaiLoc'!$A$2:$A$51,'Consol BS-DTRG'!$A50)</f>
        <v>0</v>
      </c>
      <c r="CO50" s="15">
        <f>SUMIFS('BS-KH26-DaiLoc'!X$2:X$51,'BS-KH26-DaiLoc'!$A$2:$A$51,'Consol BS-DTRG'!$A50)</f>
        <v>0</v>
      </c>
      <c r="CQ50" s="15">
        <v>0</v>
      </c>
      <c r="CR50" s="15">
        <f t="shared" si="383"/>
        <v>0</v>
      </c>
      <c r="CS50" s="15">
        <f t="shared" si="383"/>
        <v>0</v>
      </c>
      <c r="CT50" s="15">
        <f t="shared" si="383"/>
        <v>0</v>
      </c>
      <c r="CU50" s="15">
        <f t="shared" si="383"/>
        <v>0</v>
      </c>
      <c r="CV50" s="15">
        <f t="shared" si="383"/>
        <v>0</v>
      </c>
      <c r="CW50" s="15">
        <f t="shared" si="383"/>
        <v>0</v>
      </c>
      <c r="CX50" s="15">
        <f t="shared" si="383"/>
        <v>0</v>
      </c>
      <c r="CY50" s="15">
        <f t="shared" si="383"/>
        <v>0</v>
      </c>
      <c r="CZ50" s="15">
        <f t="shared" si="383"/>
        <v>0</v>
      </c>
      <c r="DA50" s="15">
        <f t="shared" si="383"/>
        <v>0</v>
      </c>
      <c r="DB50" s="15">
        <f t="shared" si="383"/>
        <v>0</v>
      </c>
    </row>
    <row r="51" spans="1:106" collapsed="1">
      <c r="A51" s="1">
        <v>48</v>
      </c>
      <c r="B51" s="618" t="s">
        <v>302</v>
      </c>
      <c r="D51" s="14">
        <f t="shared" ref="D51:O51" si="384">SUM(D52:D53)</f>
        <v>6362887467.7225857</v>
      </c>
      <c r="E51" s="14">
        <f t="shared" si="384"/>
        <v>6300210697.1118374</v>
      </c>
      <c r="F51" s="14">
        <f t="shared" si="384"/>
        <v>6237533926.5010891</v>
      </c>
      <c r="G51" s="14">
        <f t="shared" si="384"/>
        <v>6174857155.8903399</v>
      </c>
      <c r="H51" s="14">
        <f t="shared" si="384"/>
        <v>7563505107.2795906</v>
      </c>
      <c r="I51" s="14">
        <f t="shared" si="384"/>
        <v>7476944725.6688423</v>
      </c>
      <c r="J51" s="14">
        <f t="shared" si="384"/>
        <v>7390384344.058094</v>
      </c>
      <c r="K51" s="14">
        <f t="shared" si="384"/>
        <v>7303823962.4473457</v>
      </c>
      <c r="L51" s="14">
        <f t="shared" si="384"/>
        <v>7217263580.8365974</v>
      </c>
      <c r="M51" s="14">
        <f t="shared" si="384"/>
        <v>7130703199.2258492</v>
      </c>
      <c r="N51" s="14">
        <f t="shared" si="384"/>
        <v>7044142817.6151009</v>
      </c>
      <c r="O51" s="14">
        <f t="shared" si="384"/>
        <v>6957582436.0043526</v>
      </c>
      <c r="Q51" s="14">
        <f t="shared" ref="Q51:AB51" si="385">SUM(Q52:Q53)</f>
        <v>0</v>
      </c>
      <c r="R51" s="14">
        <f t="shared" si="385"/>
        <v>0</v>
      </c>
      <c r="S51" s="14">
        <f t="shared" si="385"/>
        <v>0</v>
      </c>
      <c r="T51" s="14">
        <f t="shared" si="385"/>
        <v>0</v>
      </c>
      <c r="U51" s="14">
        <f t="shared" si="385"/>
        <v>0</v>
      </c>
      <c r="V51" s="14">
        <f t="shared" si="385"/>
        <v>0</v>
      </c>
      <c r="W51" s="14">
        <f t="shared" si="385"/>
        <v>0</v>
      </c>
      <c r="X51" s="14">
        <f t="shared" si="385"/>
        <v>0</v>
      </c>
      <c r="Y51" s="14">
        <f t="shared" si="385"/>
        <v>0</v>
      </c>
      <c r="Z51" s="14">
        <f t="shared" si="385"/>
        <v>0</v>
      </c>
      <c r="AA51" s="14">
        <f t="shared" si="385"/>
        <v>0</v>
      </c>
      <c r="AB51" s="14">
        <f t="shared" si="385"/>
        <v>0</v>
      </c>
      <c r="AD51" s="644">
        <f t="shared" ref="AD51" si="386">SUM(AD52:AD53)</f>
        <v>6362887467.7225857</v>
      </c>
      <c r="AE51" s="14">
        <f t="shared" ref="AE51:AO51" si="387">SUM(AE52:AE53)</f>
        <v>6300210697.1118374</v>
      </c>
      <c r="AF51" s="14">
        <f t="shared" si="387"/>
        <v>6237533926.5010891</v>
      </c>
      <c r="AG51" s="14">
        <f t="shared" si="387"/>
        <v>6174857155.8903399</v>
      </c>
      <c r="AH51" s="14">
        <f t="shared" si="387"/>
        <v>7563505107.2795906</v>
      </c>
      <c r="AI51" s="14">
        <f t="shared" si="387"/>
        <v>7476944725.6688423</v>
      </c>
      <c r="AJ51" s="14">
        <f t="shared" si="387"/>
        <v>7390384344.058094</v>
      </c>
      <c r="AK51" s="14">
        <f t="shared" si="387"/>
        <v>7303823962.4473457</v>
      </c>
      <c r="AL51" s="14">
        <f t="shared" si="387"/>
        <v>7217263580.8365974</v>
      </c>
      <c r="AM51" s="14">
        <f t="shared" si="387"/>
        <v>7130703199.2258492</v>
      </c>
      <c r="AN51" s="14">
        <f t="shared" si="387"/>
        <v>7044142817.6151009</v>
      </c>
      <c r="AO51" s="645">
        <f t="shared" si="387"/>
        <v>6957582436.0043526</v>
      </c>
      <c r="AQ51" s="14">
        <f t="shared" ref="AQ51:BB51" si="388">SUM(AQ52:AQ53)</f>
        <v>5209144154.5734625</v>
      </c>
      <c r="AR51" s="14">
        <f t="shared" si="388"/>
        <v>5159156995.813591</v>
      </c>
      <c r="AS51" s="14">
        <f t="shared" si="388"/>
        <v>5109169837.0537205</v>
      </c>
      <c r="AT51" s="14">
        <f t="shared" si="388"/>
        <v>5059182678.293849</v>
      </c>
      <c r="AU51" s="14">
        <f t="shared" si="388"/>
        <v>6460520241.5339756</v>
      </c>
      <c r="AV51" s="14">
        <f t="shared" si="388"/>
        <v>6386649471.7741051</v>
      </c>
      <c r="AW51" s="14">
        <f t="shared" si="388"/>
        <v>6312778702.0142345</v>
      </c>
      <c r="AX51" s="14">
        <f t="shared" si="388"/>
        <v>6238907932.2543621</v>
      </c>
      <c r="AY51" s="14">
        <f t="shared" si="388"/>
        <v>6165037162.4944916</v>
      </c>
      <c r="AZ51" s="14">
        <f t="shared" si="388"/>
        <v>6091166392.734621</v>
      </c>
      <c r="BA51" s="14">
        <f t="shared" si="388"/>
        <v>6017295622.9747496</v>
      </c>
      <c r="BB51" s="14">
        <f t="shared" si="388"/>
        <v>5943424853.2148781</v>
      </c>
      <c r="BD51" s="14">
        <f t="shared" ref="BD51:BO51" si="389">SUM(BD52:BD53)</f>
        <v>250793593.75</v>
      </c>
      <c r="BE51" s="14">
        <f t="shared" si="389"/>
        <v>244587187.5</v>
      </c>
      <c r="BF51" s="14">
        <f t="shared" si="389"/>
        <v>238380781.25</v>
      </c>
      <c r="BG51" s="14">
        <f t="shared" si="389"/>
        <v>232174375</v>
      </c>
      <c r="BH51" s="14">
        <f t="shared" si="389"/>
        <v>225967968.75</v>
      </c>
      <c r="BI51" s="14">
        <f t="shared" si="389"/>
        <v>219761562.5</v>
      </c>
      <c r="BJ51" s="14">
        <f t="shared" si="389"/>
        <v>213555156.25</v>
      </c>
      <c r="BK51" s="14">
        <f t="shared" si="389"/>
        <v>207348750</v>
      </c>
      <c r="BL51" s="14">
        <f t="shared" si="389"/>
        <v>201142343.75</v>
      </c>
      <c r="BM51" s="14">
        <f t="shared" si="389"/>
        <v>194935937.5</v>
      </c>
      <c r="BN51" s="14">
        <f t="shared" si="389"/>
        <v>188729531.25</v>
      </c>
      <c r="BO51" s="14">
        <f t="shared" si="389"/>
        <v>182523125</v>
      </c>
      <c r="BQ51" s="14">
        <f t="shared" ref="BQ51:CB51" si="390">SUM(BQ52:BQ53)</f>
        <v>733390260.41666663</v>
      </c>
      <c r="BR51" s="14">
        <f t="shared" si="390"/>
        <v>729550520.83333337</v>
      </c>
      <c r="BS51" s="14">
        <f t="shared" si="390"/>
        <v>725710781.25</v>
      </c>
      <c r="BT51" s="14">
        <f t="shared" si="390"/>
        <v>721871041.66666663</v>
      </c>
      <c r="BU51" s="14">
        <f t="shared" si="390"/>
        <v>718031302.08333337</v>
      </c>
      <c r="BV51" s="14">
        <f t="shared" si="390"/>
        <v>714191562.5</v>
      </c>
      <c r="BW51" s="14">
        <f t="shared" si="390"/>
        <v>710351822.91666663</v>
      </c>
      <c r="BX51" s="14">
        <f t="shared" si="390"/>
        <v>706512083.33333337</v>
      </c>
      <c r="BY51" s="14">
        <f t="shared" si="390"/>
        <v>702672343.75</v>
      </c>
      <c r="BZ51" s="14">
        <f t="shared" si="390"/>
        <v>698832604.16666663</v>
      </c>
      <c r="CA51" s="14">
        <f t="shared" si="390"/>
        <v>694992864.58333325</v>
      </c>
      <c r="CB51" s="14">
        <f t="shared" si="390"/>
        <v>691153125</v>
      </c>
      <c r="CD51" s="14">
        <f t="shared" ref="CD51:CO51" si="391">SUM(CD52:CD53)</f>
        <v>169559458.98245615</v>
      </c>
      <c r="CE51" s="14">
        <f t="shared" si="391"/>
        <v>166915992.9649123</v>
      </c>
      <c r="CF51" s="14">
        <f t="shared" si="391"/>
        <v>164272526.94736844</v>
      </c>
      <c r="CG51" s="14">
        <f t="shared" si="391"/>
        <v>161629060.92982459</v>
      </c>
      <c r="CH51" s="14">
        <f t="shared" si="391"/>
        <v>158985594.91228074</v>
      </c>
      <c r="CI51" s="14">
        <f t="shared" si="391"/>
        <v>156342128.89473689</v>
      </c>
      <c r="CJ51" s="14">
        <f t="shared" si="391"/>
        <v>153698662.87719303</v>
      </c>
      <c r="CK51" s="14">
        <f t="shared" si="391"/>
        <v>151055196.85964918</v>
      </c>
      <c r="CL51" s="14">
        <f t="shared" si="391"/>
        <v>148411730.84210533</v>
      </c>
      <c r="CM51" s="14">
        <f t="shared" si="391"/>
        <v>145768264.82456148</v>
      </c>
      <c r="CN51" s="14">
        <f t="shared" si="391"/>
        <v>143124798.80701762</v>
      </c>
      <c r="CO51" s="14">
        <f t="shared" si="391"/>
        <v>140481332.78947377</v>
      </c>
      <c r="CQ51" s="14">
        <f t="shared" ref="CQ51:DB51" si="392">SUM(CQ52:CQ53)</f>
        <v>0</v>
      </c>
      <c r="CR51" s="14">
        <f t="shared" si="392"/>
        <v>0</v>
      </c>
      <c r="CS51" s="14">
        <f t="shared" si="392"/>
        <v>0</v>
      </c>
      <c r="CT51" s="14">
        <f t="shared" si="392"/>
        <v>0</v>
      </c>
      <c r="CU51" s="14">
        <f t="shared" si="392"/>
        <v>0</v>
      </c>
      <c r="CV51" s="14">
        <f t="shared" si="392"/>
        <v>0</v>
      </c>
      <c r="CW51" s="14">
        <f t="shared" si="392"/>
        <v>0</v>
      </c>
      <c r="CX51" s="14">
        <f t="shared" si="392"/>
        <v>0</v>
      </c>
      <c r="CY51" s="14">
        <f t="shared" si="392"/>
        <v>0</v>
      </c>
      <c r="CZ51" s="14">
        <f t="shared" si="392"/>
        <v>0</v>
      </c>
      <c r="DA51" s="14">
        <f t="shared" si="392"/>
        <v>0</v>
      </c>
      <c r="DB51" s="14">
        <f t="shared" si="392"/>
        <v>0</v>
      </c>
    </row>
    <row r="52" spans="1:106" hidden="1" outlineLevel="1">
      <c r="A52" s="633">
        <v>49</v>
      </c>
      <c r="B52" s="619" t="s">
        <v>303</v>
      </c>
      <c r="C52" t="s">
        <v>518</v>
      </c>
      <c r="D52" s="15">
        <f t="shared" ref="D52:D53" si="393">AD52+Q52</f>
        <v>8626725465.333334</v>
      </c>
      <c r="E52" s="15">
        <f t="shared" ref="E52:E53" si="394">AE52+R52</f>
        <v>8626725465.333334</v>
      </c>
      <c r="F52" s="15">
        <f t="shared" ref="F52:F53" si="395">AF52+S52</f>
        <v>8626725465.333334</v>
      </c>
      <c r="G52" s="15">
        <f t="shared" ref="G52:G53" si="396">AG52+T52</f>
        <v>8626725465.333334</v>
      </c>
      <c r="H52" s="15">
        <f t="shared" ref="H52:H53" si="397">AH52+U52</f>
        <v>10086725465.333332</v>
      </c>
      <c r="I52" s="15">
        <f t="shared" ref="I52:I53" si="398">AI52+V52</f>
        <v>10086725465.333332</v>
      </c>
      <c r="J52" s="15">
        <f t="shared" ref="J52:J53" si="399">AJ52+W52</f>
        <v>10086725465.333332</v>
      </c>
      <c r="K52" s="15">
        <f t="shared" ref="K52:K53" si="400">AK52+X52</f>
        <v>10086725465.333332</v>
      </c>
      <c r="L52" s="15">
        <f t="shared" ref="L52:L53" si="401">AL52+Y52</f>
        <v>10086725465.333332</v>
      </c>
      <c r="M52" s="15">
        <f t="shared" ref="M52:M53" si="402">AM52+Z52</f>
        <v>10086725465.333332</v>
      </c>
      <c r="N52" s="15">
        <f t="shared" ref="N52:N53" si="403">AN52+AA52</f>
        <v>10086725465.333332</v>
      </c>
      <c r="O52" s="15">
        <f t="shared" ref="O52:O53" si="404">AO52+AB52</f>
        <v>10086725465.333332</v>
      </c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D52" s="646">
        <f t="shared" ref="AD52:AD53" si="405">AQ52+BD52+BQ52+CD52+CQ52</f>
        <v>8626725465.333334</v>
      </c>
      <c r="AE52" s="15">
        <f t="shared" ref="AE52:AE53" si="406">AR52+BE52+BR52+CE52+CR52</f>
        <v>8626725465.333334</v>
      </c>
      <c r="AF52" s="15">
        <f t="shared" ref="AF52:AF53" si="407">AS52+BF52+BS52+CF52+CS52</f>
        <v>8626725465.333334</v>
      </c>
      <c r="AG52" s="15">
        <f t="shared" ref="AG52:AG53" si="408">AT52+BG52+BT52+CG52+CT52</f>
        <v>8626725465.333334</v>
      </c>
      <c r="AH52" s="15">
        <f t="shared" ref="AH52:AH53" si="409">AU52+BH52+BU52+CH52+CU52</f>
        <v>10086725465.333332</v>
      </c>
      <c r="AI52" s="15">
        <f t="shared" ref="AI52:AI53" si="410">AV52+BI52+BV52+CI52+CV52</f>
        <v>10086725465.333332</v>
      </c>
      <c r="AJ52" s="15">
        <f t="shared" ref="AJ52:AJ53" si="411">AW52+BJ52+BW52+CJ52+CW52</f>
        <v>10086725465.333332</v>
      </c>
      <c r="AK52" s="15">
        <f t="shared" ref="AK52:AK53" si="412">AX52+BK52+BX52+CK52+CX52</f>
        <v>10086725465.333332</v>
      </c>
      <c r="AL52" s="15">
        <f t="shared" ref="AL52:AL53" si="413">AY52+BL52+BY52+CL52+CY52</f>
        <v>10086725465.333332</v>
      </c>
      <c r="AM52" s="15">
        <f t="shared" ref="AM52:AM53" si="414">AZ52+BM52+BZ52+CM52+CZ52</f>
        <v>10086725465.333332</v>
      </c>
      <c r="AN52" s="15">
        <f t="shared" ref="AN52:AN53" si="415">BA52+BN52+CA52+CN52+DA52</f>
        <v>10086725465.333332</v>
      </c>
      <c r="AO52" s="647">
        <f t="shared" ref="AO52:AO53" si="416">BB52+BO52+CB52+CO52+DB52</f>
        <v>10086725465.333332</v>
      </c>
      <c r="AQ52" s="15">
        <f>SUMIFS('BS-KH26-DTR'!D$2:D$116,'BS-KH26-DTR'!$B$2:$B$116,$A52)</f>
        <v>7146988134.333334</v>
      </c>
      <c r="AR52" s="15">
        <f>SUMIFS('BS-KH26-DTR'!E$2:E$116,'BS-KH26-DTR'!$B$2:$B$116,$A52)</f>
        <v>7146988134.333334</v>
      </c>
      <c r="AS52" s="15">
        <f>SUMIFS('BS-KH26-DTR'!F$2:F$116,'BS-KH26-DTR'!$B$2:$B$116,$A52)</f>
        <v>7146988134.333334</v>
      </c>
      <c r="AT52" s="15">
        <f>SUMIFS('BS-KH26-DTR'!G$2:G$116,'BS-KH26-DTR'!$B$2:$B$116,$A52)</f>
        <v>7146988134.333334</v>
      </c>
      <c r="AU52" s="15">
        <f>SUMIFS('BS-KH26-DTR'!H$2:H$116,'BS-KH26-DTR'!$B$2:$B$116,$A52)</f>
        <v>8606988134.3333321</v>
      </c>
      <c r="AV52" s="15">
        <f>SUMIFS('BS-KH26-DTR'!I$2:I$116,'BS-KH26-DTR'!$B$2:$B$116,$A52)</f>
        <v>8606988134.3333321</v>
      </c>
      <c r="AW52" s="15">
        <f>SUMIFS('BS-KH26-DTR'!J$2:J$116,'BS-KH26-DTR'!$B$2:$B$116,$A52)</f>
        <v>8606988134.3333321</v>
      </c>
      <c r="AX52" s="15">
        <f>SUMIFS('BS-KH26-DTR'!K$2:K$116,'BS-KH26-DTR'!$B$2:$B$116,$A52)</f>
        <v>8606988134.3333321</v>
      </c>
      <c r="AY52" s="15">
        <f>SUMIFS('BS-KH26-DTR'!L$2:L$116,'BS-KH26-DTR'!$B$2:$B$116,$A52)</f>
        <v>8606988134.3333321</v>
      </c>
      <c r="AZ52" s="15">
        <f>SUMIFS('BS-KH26-DTR'!M$2:M$116,'BS-KH26-DTR'!$B$2:$B$116,$A52)</f>
        <v>8606988134.3333321</v>
      </c>
      <c r="BA52" s="15">
        <f>SUMIFS('BS-KH26-DTR'!N$2:N$116,'BS-KH26-DTR'!$B$2:$B$116,$A52)</f>
        <v>8606988134.3333321</v>
      </c>
      <c r="BB52" s="15">
        <f>SUMIFS('BS-KH26-DTR'!O$2:O$116,'BS-KH26-DTR'!$B$2:$B$116,$A52)</f>
        <v>8606988134.3333321</v>
      </c>
      <c r="BD52" s="15">
        <f>SUMIFS('BS-KH26-DongLam'!M$2:M$51,'BS-KH26-DongLam'!$A$2:$A$51,'Consol BS-DTRG'!$A52)</f>
        <v>312000000</v>
      </c>
      <c r="BE52" s="15">
        <f>SUMIFS('BS-KH26-DongLam'!N$2:N$51,'BS-KH26-DongLam'!$A$2:$A$51,'Consol BS-DTRG'!$A52)</f>
        <v>312000000</v>
      </c>
      <c r="BF52" s="15">
        <f>SUMIFS('BS-KH26-DongLam'!O$2:O$51,'BS-KH26-DongLam'!$A$2:$A$51,'Consol BS-DTRG'!$A52)</f>
        <v>312000000</v>
      </c>
      <c r="BG52" s="15">
        <f>SUMIFS('BS-KH26-DongLam'!P$2:P$51,'BS-KH26-DongLam'!$A$2:$A$51,'Consol BS-DTRG'!$A52)</f>
        <v>312000000</v>
      </c>
      <c r="BH52" s="15">
        <f>SUMIFS('BS-KH26-DongLam'!Q$2:Q$51,'BS-KH26-DongLam'!$A$2:$A$51,'Consol BS-DTRG'!$A52)</f>
        <v>312000000</v>
      </c>
      <c r="BI52" s="15">
        <f>SUMIFS('BS-KH26-DongLam'!R$2:R$51,'BS-KH26-DongLam'!$A$2:$A$51,'Consol BS-DTRG'!$A52)</f>
        <v>312000000</v>
      </c>
      <c r="BJ52" s="15">
        <f>SUMIFS('BS-KH26-DongLam'!S$2:S$51,'BS-KH26-DongLam'!$A$2:$A$51,'Consol BS-DTRG'!$A52)</f>
        <v>312000000</v>
      </c>
      <c r="BK52" s="15">
        <f>SUMIFS('BS-KH26-DongLam'!T$2:T$51,'BS-KH26-DongLam'!$A$2:$A$51,'Consol BS-DTRG'!$A52)</f>
        <v>312000000</v>
      </c>
      <c r="BL52" s="15">
        <f>SUMIFS('BS-KH26-DongLam'!U$2:U$51,'BS-KH26-DongLam'!$A$2:$A$51,'Consol BS-DTRG'!$A52)</f>
        <v>312000000</v>
      </c>
      <c r="BM52" s="15">
        <f>SUMIFS('BS-KH26-DongLam'!V$2:V$51,'BS-KH26-DongLam'!$A$2:$A$51,'Consol BS-DTRG'!$A52)</f>
        <v>312000000</v>
      </c>
      <c r="BN52" s="15">
        <f>SUMIFS('BS-KH26-DongLam'!W$2:W$51,'BS-KH26-DongLam'!$A$2:$A$51,'Consol BS-DTRG'!$A52)</f>
        <v>312000000</v>
      </c>
      <c r="BO52" s="15">
        <f>SUMIFS('BS-KH26-DongLam'!X$2:X$51,'BS-KH26-DongLam'!$A$2:$A$51,'Consol BS-DTRG'!$A52)</f>
        <v>312000000</v>
      </c>
      <c r="BQ52" s="15">
        <f>SUMIFS('BS-KH26-KhanhNga'!M$2:M$51,'BS-KH26-KhanhNga'!$A$2:$A$51,'Consol BS-DTRG'!$A52)</f>
        <v>737230000</v>
      </c>
      <c r="BR52" s="15">
        <f>SUMIFS('BS-KH26-KhanhNga'!N$2:N$51,'BS-KH26-KhanhNga'!$A$2:$A$51,'Consol BS-DTRG'!$A52)</f>
        <v>737230000</v>
      </c>
      <c r="BS52" s="15">
        <f>SUMIFS('BS-KH26-KhanhNga'!O$2:O$51,'BS-KH26-KhanhNga'!$A$2:$A$51,'Consol BS-DTRG'!$A52)</f>
        <v>737230000</v>
      </c>
      <c r="BT52" s="15">
        <f>SUMIFS('BS-KH26-KhanhNga'!P$2:P$51,'BS-KH26-KhanhNga'!$A$2:$A$51,'Consol BS-DTRG'!$A52)</f>
        <v>737230000</v>
      </c>
      <c r="BU52" s="15">
        <f>SUMIFS('BS-KH26-KhanhNga'!Q$2:Q$51,'BS-KH26-KhanhNga'!$A$2:$A$51,'Consol BS-DTRG'!$A52)</f>
        <v>737230000</v>
      </c>
      <c r="BV52" s="15">
        <f>SUMIFS('BS-KH26-KhanhNga'!R$2:R$51,'BS-KH26-KhanhNga'!$A$2:$A$51,'Consol BS-DTRG'!$A52)</f>
        <v>737230000</v>
      </c>
      <c r="BW52" s="15">
        <f>SUMIFS('BS-KH26-KhanhNga'!S$2:S$51,'BS-KH26-KhanhNga'!$A$2:$A$51,'Consol BS-DTRG'!$A52)</f>
        <v>737230000</v>
      </c>
      <c r="BX52" s="15">
        <f>SUMIFS('BS-KH26-KhanhNga'!T$2:T$51,'BS-KH26-KhanhNga'!$A$2:$A$51,'Consol BS-DTRG'!$A52)</f>
        <v>737230000</v>
      </c>
      <c r="BY52" s="15">
        <f>SUMIFS('BS-KH26-KhanhNga'!U$2:U$51,'BS-KH26-KhanhNga'!$A$2:$A$51,'Consol BS-DTRG'!$A52)</f>
        <v>737230000</v>
      </c>
      <c r="BZ52" s="15">
        <f>SUMIFS('BS-KH26-KhanhNga'!V$2:V$51,'BS-KH26-KhanhNga'!$A$2:$A$51,'Consol BS-DTRG'!$A52)</f>
        <v>737230000</v>
      </c>
      <c r="CA52" s="15">
        <f>SUMIFS('BS-KH26-KhanhNga'!W$2:W$51,'BS-KH26-KhanhNga'!$A$2:$A$51,'Consol BS-DTRG'!$A52)</f>
        <v>737230000</v>
      </c>
      <c r="CB52" s="15">
        <f>SUMIFS('BS-KH26-KhanhNga'!X$2:X$51,'BS-KH26-KhanhNga'!$A$2:$A$51,'Consol BS-DTRG'!$A52)</f>
        <v>737230000</v>
      </c>
      <c r="CD52" s="15">
        <f>SUMIFS('BS-KH26-DaiLoc'!M$2:M$51,'BS-KH26-DaiLoc'!$A$2:$A$51,'Consol BS-DTRG'!$A52)</f>
        <v>430507331</v>
      </c>
      <c r="CE52" s="15">
        <f>SUMIFS('BS-KH26-DaiLoc'!N$2:N$51,'BS-KH26-DaiLoc'!$A$2:$A$51,'Consol BS-DTRG'!$A52)</f>
        <v>430507331</v>
      </c>
      <c r="CF52" s="15">
        <f>SUMIFS('BS-KH26-DaiLoc'!O$2:O$51,'BS-KH26-DaiLoc'!$A$2:$A$51,'Consol BS-DTRG'!$A52)</f>
        <v>430507331</v>
      </c>
      <c r="CG52" s="15">
        <f>SUMIFS('BS-KH26-DaiLoc'!P$2:P$51,'BS-KH26-DaiLoc'!$A$2:$A$51,'Consol BS-DTRG'!$A52)</f>
        <v>430507331</v>
      </c>
      <c r="CH52" s="15">
        <f>SUMIFS('BS-KH26-DaiLoc'!Q$2:Q$51,'BS-KH26-DaiLoc'!$A$2:$A$51,'Consol BS-DTRG'!$A52)</f>
        <v>430507331</v>
      </c>
      <c r="CI52" s="15">
        <f>SUMIFS('BS-KH26-DaiLoc'!R$2:R$51,'BS-KH26-DaiLoc'!$A$2:$A$51,'Consol BS-DTRG'!$A52)</f>
        <v>430507331</v>
      </c>
      <c r="CJ52" s="15">
        <f>SUMIFS('BS-KH26-DaiLoc'!S$2:S$51,'BS-KH26-DaiLoc'!$A$2:$A$51,'Consol BS-DTRG'!$A52)</f>
        <v>430507331</v>
      </c>
      <c r="CK52" s="15">
        <f>SUMIFS('BS-KH26-DaiLoc'!T$2:T$51,'BS-KH26-DaiLoc'!$A$2:$A$51,'Consol BS-DTRG'!$A52)</f>
        <v>430507331</v>
      </c>
      <c r="CL52" s="15">
        <f>SUMIFS('BS-KH26-DaiLoc'!U$2:U$51,'BS-KH26-DaiLoc'!$A$2:$A$51,'Consol BS-DTRG'!$A52)</f>
        <v>430507331</v>
      </c>
      <c r="CM52" s="15">
        <f>SUMIFS('BS-KH26-DaiLoc'!V$2:V$51,'BS-KH26-DaiLoc'!$A$2:$A$51,'Consol BS-DTRG'!$A52)</f>
        <v>430507331</v>
      </c>
      <c r="CN52" s="15">
        <f>SUMIFS('BS-KH26-DaiLoc'!W$2:W$51,'BS-KH26-DaiLoc'!$A$2:$A$51,'Consol BS-DTRG'!$A52)</f>
        <v>430507331</v>
      </c>
      <c r="CO52" s="15">
        <f>SUMIFS('BS-KH26-DaiLoc'!X$2:X$51,'BS-KH26-DaiLoc'!$A$2:$A$51,'Consol BS-DTRG'!$A52)</f>
        <v>430507331</v>
      </c>
      <c r="CQ52" s="15">
        <v>0</v>
      </c>
      <c r="CR52" s="15">
        <f t="shared" ref="CR52:DB53" si="417">CQ52</f>
        <v>0</v>
      </c>
      <c r="CS52" s="15">
        <f t="shared" si="417"/>
        <v>0</v>
      </c>
      <c r="CT52" s="15">
        <f t="shared" si="417"/>
        <v>0</v>
      </c>
      <c r="CU52" s="15">
        <f t="shared" si="417"/>
        <v>0</v>
      </c>
      <c r="CV52" s="15">
        <f t="shared" si="417"/>
        <v>0</v>
      </c>
      <c r="CW52" s="15">
        <f t="shared" si="417"/>
        <v>0</v>
      </c>
      <c r="CX52" s="15">
        <f t="shared" si="417"/>
        <v>0</v>
      </c>
      <c r="CY52" s="15">
        <f t="shared" si="417"/>
        <v>0</v>
      </c>
      <c r="CZ52" s="15">
        <f t="shared" si="417"/>
        <v>0</v>
      </c>
      <c r="DA52" s="15">
        <f t="shared" si="417"/>
        <v>0</v>
      </c>
      <c r="DB52" s="15">
        <f t="shared" si="417"/>
        <v>0</v>
      </c>
    </row>
    <row r="53" spans="1:106" hidden="1" outlineLevel="1">
      <c r="A53" s="633">
        <v>50</v>
      </c>
      <c r="B53" s="619" t="s">
        <v>304</v>
      </c>
      <c r="C53" t="s">
        <v>518</v>
      </c>
      <c r="D53" s="15">
        <f t="shared" si="393"/>
        <v>-2263837997.6107483</v>
      </c>
      <c r="E53" s="15">
        <f t="shared" si="394"/>
        <v>-2326514768.2214971</v>
      </c>
      <c r="F53" s="15">
        <f t="shared" si="395"/>
        <v>-2389191538.8322453</v>
      </c>
      <c r="G53" s="15">
        <f t="shared" si="396"/>
        <v>-2451868309.4429941</v>
      </c>
      <c r="H53" s="15">
        <f t="shared" si="397"/>
        <v>-2523220358.0537419</v>
      </c>
      <c r="I53" s="15">
        <f t="shared" si="398"/>
        <v>-2609780739.6644902</v>
      </c>
      <c r="J53" s="15">
        <f t="shared" si="399"/>
        <v>-2696341121.2752385</v>
      </c>
      <c r="K53" s="15">
        <f t="shared" si="400"/>
        <v>-2782901502.8859868</v>
      </c>
      <c r="L53" s="15">
        <f t="shared" si="401"/>
        <v>-2869461884.4967351</v>
      </c>
      <c r="M53" s="15">
        <f t="shared" si="402"/>
        <v>-2956022266.1074834</v>
      </c>
      <c r="N53" s="15">
        <f t="shared" si="403"/>
        <v>-3042582647.7182312</v>
      </c>
      <c r="O53" s="15">
        <f t="shared" si="404"/>
        <v>-3129143029.3289795</v>
      </c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D53" s="646">
        <f t="shared" si="405"/>
        <v>-2263837997.6107483</v>
      </c>
      <c r="AE53" s="15">
        <f t="shared" si="406"/>
        <v>-2326514768.2214971</v>
      </c>
      <c r="AF53" s="15">
        <f t="shared" si="407"/>
        <v>-2389191538.8322453</v>
      </c>
      <c r="AG53" s="15">
        <f t="shared" si="408"/>
        <v>-2451868309.4429941</v>
      </c>
      <c r="AH53" s="15">
        <f t="shared" si="409"/>
        <v>-2523220358.0537419</v>
      </c>
      <c r="AI53" s="15">
        <f t="shared" si="410"/>
        <v>-2609780739.6644902</v>
      </c>
      <c r="AJ53" s="15">
        <f t="shared" si="411"/>
        <v>-2696341121.2752385</v>
      </c>
      <c r="AK53" s="15">
        <f t="shared" si="412"/>
        <v>-2782901502.8859868</v>
      </c>
      <c r="AL53" s="15">
        <f t="shared" si="413"/>
        <v>-2869461884.4967351</v>
      </c>
      <c r="AM53" s="15">
        <f t="shared" si="414"/>
        <v>-2956022266.1074834</v>
      </c>
      <c r="AN53" s="15">
        <f t="shared" si="415"/>
        <v>-3042582647.7182312</v>
      </c>
      <c r="AO53" s="647">
        <f t="shared" si="416"/>
        <v>-3129143029.3289795</v>
      </c>
      <c r="AQ53" s="15">
        <f>SUMIFS('BS-KH26-DTR'!D$2:D$116,'BS-KH26-DTR'!$B$2:$B$116,$A53)</f>
        <v>-1937843979.7598712</v>
      </c>
      <c r="AR53" s="15">
        <f>SUMIFS('BS-KH26-DTR'!E$2:E$116,'BS-KH26-DTR'!$B$2:$B$116,$A53)</f>
        <v>-1987831138.5197425</v>
      </c>
      <c r="AS53" s="15">
        <f>SUMIFS('BS-KH26-DTR'!F$2:F$116,'BS-KH26-DTR'!$B$2:$B$116,$A53)</f>
        <v>-2037818297.279614</v>
      </c>
      <c r="AT53" s="15">
        <f>SUMIFS('BS-KH26-DTR'!G$2:G$116,'BS-KH26-DTR'!$B$2:$B$116,$A53)</f>
        <v>-2087805456.0394847</v>
      </c>
      <c r="AU53" s="15">
        <f>SUMIFS('BS-KH26-DTR'!H$2:H$116,'BS-KH26-DTR'!$B$2:$B$116,$A53)</f>
        <v>-2146467892.799356</v>
      </c>
      <c r="AV53" s="15">
        <f>SUMIFS('BS-KH26-DTR'!I$2:I$116,'BS-KH26-DTR'!$B$2:$B$116,$A53)</f>
        <v>-2220338662.559227</v>
      </c>
      <c r="AW53" s="15">
        <f>SUMIFS('BS-KH26-DTR'!J$2:J$116,'BS-KH26-DTR'!$B$2:$B$116,$A53)</f>
        <v>-2294209432.319098</v>
      </c>
      <c r="AX53" s="15">
        <f>SUMIFS('BS-KH26-DTR'!K$2:K$116,'BS-KH26-DTR'!$B$2:$B$116,$A53)</f>
        <v>-2368080202.0789695</v>
      </c>
      <c r="AY53" s="15">
        <f>SUMIFS('BS-KH26-DTR'!L$2:L$116,'BS-KH26-DTR'!$B$2:$B$116,$A53)</f>
        <v>-2441950971.8388405</v>
      </c>
      <c r="AZ53" s="15">
        <f>SUMIFS('BS-KH26-DTR'!M$2:M$116,'BS-KH26-DTR'!$B$2:$B$116,$A53)</f>
        <v>-2515821741.5987115</v>
      </c>
      <c r="BA53" s="15">
        <f>SUMIFS('BS-KH26-DTR'!N$2:N$116,'BS-KH26-DTR'!$B$2:$B$116,$A53)</f>
        <v>-2589692511.3585825</v>
      </c>
      <c r="BB53" s="15">
        <f>SUMIFS('BS-KH26-DTR'!O$2:O$116,'BS-KH26-DTR'!$B$2:$B$116,$A53)</f>
        <v>-2663563281.1184535</v>
      </c>
      <c r="BD53" s="15">
        <f>SUMIFS('BS-KH26-DongLam'!M$2:M$51,'BS-KH26-DongLam'!$A$2:$A$51,'Consol BS-DTRG'!$A53)</f>
        <v>-61206406.25</v>
      </c>
      <c r="BE53" s="15">
        <f>SUMIFS('BS-KH26-DongLam'!N$2:N$51,'BS-KH26-DongLam'!$A$2:$A$51,'Consol BS-DTRG'!$A53)</f>
        <v>-67412812.5</v>
      </c>
      <c r="BF53" s="15">
        <f>SUMIFS('BS-KH26-DongLam'!O$2:O$51,'BS-KH26-DongLam'!$A$2:$A$51,'Consol BS-DTRG'!$A53)</f>
        <v>-73619218.75</v>
      </c>
      <c r="BG53" s="15">
        <f>SUMIFS('BS-KH26-DongLam'!P$2:P$51,'BS-KH26-DongLam'!$A$2:$A$51,'Consol BS-DTRG'!$A53)</f>
        <v>-79825625</v>
      </c>
      <c r="BH53" s="15">
        <f>SUMIFS('BS-KH26-DongLam'!Q$2:Q$51,'BS-KH26-DongLam'!$A$2:$A$51,'Consol BS-DTRG'!$A53)</f>
        <v>-86032031.25</v>
      </c>
      <c r="BI53" s="15">
        <f>SUMIFS('BS-KH26-DongLam'!R$2:R$51,'BS-KH26-DongLam'!$A$2:$A$51,'Consol BS-DTRG'!$A53)</f>
        <v>-92238437.5</v>
      </c>
      <c r="BJ53" s="15">
        <f>SUMIFS('BS-KH26-DongLam'!S$2:S$51,'BS-KH26-DongLam'!$A$2:$A$51,'Consol BS-DTRG'!$A53)</f>
        <v>-98444843.75</v>
      </c>
      <c r="BK53" s="15">
        <f>SUMIFS('BS-KH26-DongLam'!T$2:T$51,'BS-KH26-DongLam'!$A$2:$A$51,'Consol BS-DTRG'!$A53)</f>
        <v>-104651250</v>
      </c>
      <c r="BL53" s="15">
        <f>SUMIFS('BS-KH26-DongLam'!U$2:U$51,'BS-KH26-DongLam'!$A$2:$A$51,'Consol BS-DTRG'!$A53)</f>
        <v>-110857656.25</v>
      </c>
      <c r="BM53" s="15">
        <f>SUMIFS('BS-KH26-DongLam'!V$2:V$51,'BS-KH26-DongLam'!$A$2:$A$51,'Consol BS-DTRG'!$A53)</f>
        <v>-117064062.5</v>
      </c>
      <c r="BN53" s="15">
        <f>SUMIFS('BS-KH26-DongLam'!W$2:W$51,'BS-KH26-DongLam'!$A$2:$A$51,'Consol BS-DTRG'!$A53)</f>
        <v>-123270468.75</v>
      </c>
      <c r="BO53" s="15">
        <f>SUMIFS('BS-KH26-DongLam'!X$2:X$51,'BS-KH26-DongLam'!$A$2:$A$51,'Consol BS-DTRG'!$A53)</f>
        <v>-129476875</v>
      </c>
      <c r="BQ53" s="15">
        <f>SUMIFS('BS-KH26-KhanhNga'!M$2:M$51,'BS-KH26-KhanhNga'!$A$2:$A$51,'Consol BS-DTRG'!$A53)</f>
        <v>-3839739.5833333349</v>
      </c>
      <c r="BR53" s="15">
        <f>SUMIFS('BS-KH26-KhanhNga'!N$2:N$51,'BS-KH26-KhanhNga'!$A$2:$A$51,'Consol BS-DTRG'!$A53)</f>
        <v>-7679479.1666666698</v>
      </c>
      <c r="BS53" s="15">
        <f>SUMIFS('BS-KH26-KhanhNga'!O$2:O$51,'BS-KH26-KhanhNga'!$A$2:$A$51,'Consol BS-DTRG'!$A53)</f>
        <v>-11519218.750000004</v>
      </c>
      <c r="BT53" s="15">
        <f>SUMIFS('BS-KH26-KhanhNga'!P$2:P$51,'BS-KH26-KhanhNga'!$A$2:$A$51,'Consol BS-DTRG'!$A53)</f>
        <v>-15358958.33333334</v>
      </c>
      <c r="BU53" s="15">
        <f>SUMIFS('BS-KH26-KhanhNga'!Q$2:Q$51,'BS-KH26-KhanhNga'!$A$2:$A$51,'Consol BS-DTRG'!$A53)</f>
        <v>-19198697.916666675</v>
      </c>
      <c r="BV53" s="15">
        <f>SUMIFS('BS-KH26-KhanhNga'!R$2:R$51,'BS-KH26-KhanhNga'!$A$2:$A$51,'Consol BS-DTRG'!$A53)</f>
        <v>-23038437.500000011</v>
      </c>
      <c r="BW53" s="15">
        <f>SUMIFS('BS-KH26-KhanhNga'!S$2:S$51,'BS-KH26-KhanhNga'!$A$2:$A$51,'Consol BS-DTRG'!$A53)</f>
        <v>-26878177.083333347</v>
      </c>
      <c r="BX53" s="15">
        <f>SUMIFS('BS-KH26-KhanhNga'!T$2:T$51,'BS-KH26-KhanhNga'!$A$2:$A$51,'Consol BS-DTRG'!$A53)</f>
        <v>-30717916.666666683</v>
      </c>
      <c r="BY53" s="15">
        <f>SUMIFS('BS-KH26-KhanhNga'!U$2:U$51,'BS-KH26-KhanhNga'!$A$2:$A$51,'Consol BS-DTRG'!$A53)</f>
        <v>-34557656.250000015</v>
      </c>
      <c r="BZ53" s="15">
        <f>SUMIFS('BS-KH26-KhanhNga'!V$2:V$51,'BS-KH26-KhanhNga'!$A$2:$A$51,'Consol BS-DTRG'!$A53)</f>
        <v>-38397395.833333351</v>
      </c>
      <c r="CA53" s="15">
        <f>SUMIFS('BS-KH26-KhanhNga'!W$2:W$51,'BS-KH26-KhanhNga'!$A$2:$A$51,'Consol BS-DTRG'!$A53)</f>
        <v>-42237135.416666687</v>
      </c>
      <c r="CB53" s="15">
        <f>SUMIFS('BS-KH26-KhanhNga'!X$2:X$51,'BS-KH26-KhanhNga'!$A$2:$A$51,'Consol BS-DTRG'!$A53)</f>
        <v>-46076875.000000022</v>
      </c>
      <c r="CD53" s="15">
        <f>SUMIFS('BS-KH26-DaiLoc'!M$2:M$51,'BS-KH26-DaiLoc'!$A$2:$A$51,'Consol BS-DTRG'!$A53)</f>
        <v>-260947872.01754385</v>
      </c>
      <c r="CE53" s="15">
        <f>SUMIFS('BS-KH26-DaiLoc'!N$2:N$51,'BS-KH26-DaiLoc'!$A$2:$A$51,'Consol BS-DTRG'!$A53)</f>
        <v>-263591338.0350877</v>
      </c>
      <c r="CF53" s="15">
        <f>SUMIFS('BS-KH26-DaiLoc'!O$2:O$51,'BS-KH26-DaiLoc'!$A$2:$A$51,'Consol BS-DTRG'!$A53)</f>
        <v>-266234804.05263156</v>
      </c>
      <c r="CG53" s="15">
        <f>SUMIFS('BS-KH26-DaiLoc'!P$2:P$51,'BS-KH26-DaiLoc'!$A$2:$A$51,'Consol BS-DTRG'!$A53)</f>
        <v>-268878270.07017541</v>
      </c>
      <c r="CH53" s="15">
        <f>SUMIFS('BS-KH26-DaiLoc'!Q$2:Q$51,'BS-KH26-DaiLoc'!$A$2:$A$51,'Consol BS-DTRG'!$A53)</f>
        <v>-271521736.08771926</v>
      </c>
      <c r="CI53" s="15">
        <f>SUMIFS('BS-KH26-DaiLoc'!R$2:R$51,'BS-KH26-DaiLoc'!$A$2:$A$51,'Consol BS-DTRG'!$A53)</f>
        <v>-274165202.10526311</v>
      </c>
      <c r="CJ53" s="15">
        <f>SUMIFS('BS-KH26-DaiLoc'!S$2:S$51,'BS-KH26-DaiLoc'!$A$2:$A$51,'Consol BS-DTRG'!$A53)</f>
        <v>-276808668.12280697</v>
      </c>
      <c r="CK53" s="15">
        <f>SUMIFS('BS-KH26-DaiLoc'!T$2:T$51,'BS-KH26-DaiLoc'!$A$2:$A$51,'Consol BS-DTRG'!$A53)</f>
        <v>-279452134.14035082</v>
      </c>
      <c r="CL53" s="15">
        <f>SUMIFS('BS-KH26-DaiLoc'!U$2:U$51,'BS-KH26-DaiLoc'!$A$2:$A$51,'Consol BS-DTRG'!$A53)</f>
        <v>-282095600.15789467</v>
      </c>
      <c r="CM53" s="15">
        <f>SUMIFS('BS-KH26-DaiLoc'!V$2:V$51,'BS-KH26-DaiLoc'!$A$2:$A$51,'Consol BS-DTRG'!$A53)</f>
        <v>-284739066.17543852</v>
      </c>
      <c r="CN53" s="15">
        <f>SUMIFS('BS-KH26-DaiLoc'!W$2:W$51,'BS-KH26-DaiLoc'!$A$2:$A$51,'Consol BS-DTRG'!$A53)</f>
        <v>-287382532.19298238</v>
      </c>
      <c r="CO53" s="15">
        <f>SUMIFS('BS-KH26-DaiLoc'!X$2:X$51,'BS-KH26-DaiLoc'!$A$2:$A$51,'Consol BS-DTRG'!$A53)</f>
        <v>-290025998.21052623</v>
      </c>
      <c r="CQ53" s="15">
        <v>0</v>
      </c>
      <c r="CR53" s="15">
        <f t="shared" si="417"/>
        <v>0</v>
      </c>
      <c r="CS53" s="15">
        <f t="shared" si="417"/>
        <v>0</v>
      </c>
      <c r="CT53" s="15">
        <f t="shared" si="417"/>
        <v>0</v>
      </c>
      <c r="CU53" s="15">
        <f t="shared" si="417"/>
        <v>0</v>
      </c>
      <c r="CV53" s="15">
        <f t="shared" si="417"/>
        <v>0</v>
      </c>
      <c r="CW53" s="15">
        <f t="shared" si="417"/>
        <v>0</v>
      </c>
      <c r="CX53" s="15">
        <f t="shared" si="417"/>
        <v>0</v>
      </c>
      <c r="CY53" s="15">
        <f t="shared" si="417"/>
        <v>0</v>
      </c>
      <c r="CZ53" s="15">
        <f t="shared" si="417"/>
        <v>0</v>
      </c>
      <c r="DA53" s="15">
        <f t="shared" si="417"/>
        <v>0</v>
      </c>
      <c r="DB53" s="15">
        <f t="shared" si="417"/>
        <v>0</v>
      </c>
    </row>
    <row r="54" spans="1:106" collapsed="1">
      <c r="A54" s="1">
        <v>51</v>
      </c>
      <c r="B54" s="617" t="s">
        <v>305</v>
      </c>
      <c r="D54" s="15">
        <f t="shared" ref="D54:O54" si="418">SUM(D55,D60:D62)</f>
        <v>0</v>
      </c>
      <c r="E54" s="15">
        <f t="shared" si="418"/>
        <v>0</v>
      </c>
      <c r="F54" s="15">
        <f t="shared" si="418"/>
        <v>0</v>
      </c>
      <c r="G54" s="15">
        <f t="shared" si="418"/>
        <v>0</v>
      </c>
      <c r="H54" s="15">
        <f t="shared" si="418"/>
        <v>0</v>
      </c>
      <c r="I54" s="15">
        <f t="shared" si="418"/>
        <v>0</v>
      </c>
      <c r="J54" s="15">
        <f t="shared" si="418"/>
        <v>0</v>
      </c>
      <c r="K54" s="15">
        <f t="shared" si="418"/>
        <v>0</v>
      </c>
      <c r="L54" s="15">
        <f t="shared" si="418"/>
        <v>0</v>
      </c>
      <c r="M54" s="15">
        <f t="shared" si="418"/>
        <v>0</v>
      </c>
      <c r="N54" s="15">
        <f t="shared" si="418"/>
        <v>0</v>
      </c>
      <c r="O54" s="15">
        <f t="shared" si="418"/>
        <v>0</v>
      </c>
      <c r="Q54" s="15">
        <f t="shared" ref="Q54:AB54" si="419">SUM(Q55,Q60:Q62)</f>
        <v>0</v>
      </c>
      <c r="R54" s="15">
        <f t="shared" si="419"/>
        <v>0</v>
      </c>
      <c r="S54" s="15">
        <f t="shared" si="419"/>
        <v>0</v>
      </c>
      <c r="T54" s="15">
        <f t="shared" si="419"/>
        <v>0</v>
      </c>
      <c r="U54" s="15">
        <f t="shared" si="419"/>
        <v>0</v>
      </c>
      <c r="V54" s="15">
        <f t="shared" si="419"/>
        <v>0</v>
      </c>
      <c r="W54" s="15">
        <f t="shared" si="419"/>
        <v>0</v>
      </c>
      <c r="X54" s="15">
        <f t="shared" si="419"/>
        <v>0</v>
      </c>
      <c r="Y54" s="15">
        <f t="shared" si="419"/>
        <v>0</v>
      </c>
      <c r="Z54" s="15">
        <f t="shared" si="419"/>
        <v>0</v>
      </c>
      <c r="AA54" s="15">
        <f t="shared" si="419"/>
        <v>0</v>
      </c>
      <c r="AB54" s="15">
        <f t="shared" si="419"/>
        <v>0</v>
      </c>
      <c r="AD54" s="646">
        <f t="shared" ref="AD54" si="420">SUM(AD55,AD60:AD62)</f>
        <v>0</v>
      </c>
      <c r="AE54" s="15">
        <f t="shared" ref="AE54:AO54" si="421">SUM(AE55,AE60:AE62)</f>
        <v>0</v>
      </c>
      <c r="AF54" s="15">
        <f t="shared" si="421"/>
        <v>0</v>
      </c>
      <c r="AG54" s="15">
        <f t="shared" si="421"/>
        <v>0</v>
      </c>
      <c r="AH54" s="15">
        <f t="shared" si="421"/>
        <v>0</v>
      </c>
      <c r="AI54" s="15">
        <f t="shared" si="421"/>
        <v>0</v>
      </c>
      <c r="AJ54" s="15">
        <f t="shared" si="421"/>
        <v>0</v>
      </c>
      <c r="AK54" s="15">
        <f t="shared" si="421"/>
        <v>0</v>
      </c>
      <c r="AL54" s="15">
        <f t="shared" si="421"/>
        <v>0</v>
      </c>
      <c r="AM54" s="15">
        <f t="shared" si="421"/>
        <v>0</v>
      </c>
      <c r="AN54" s="15">
        <f t="shared" si="421"/>
        <v>0</v>
      </c>
      <c r="AO54" s="647">
        <f t="shared" si="421"/>
        <v>0</v>
      </c>
      <c r="AQ54" s="15">
        <f t="shared" ref="AQ54:BB54" si="422">SUM(AQ55,AQ60:AQ62)</f>
        <v>0</v>
      </c>
      <c r="AR54" s="15">
        <f t="shared" si="422"/>
        <v>0</v>
      </c>
      <c r="AS54" s="15">
        <f t="shared" si="422"/>
        <v>0</v>
      </c>
      <c r="AT54" s="15">
        <f t="shared" si="422"/>
        <v>0</v>
      </c>
      <c r="AU54" s="15">
        <f t="shared" si="422"/>
        <v>0</v>
      </c>
      <c r="AV54" s="15">
        <f t="shared" si="422"/>
        <v>0</v>
      </c>
      <c r="AW54" s="15">
        <f t="shared" si="422"/>
        <v>0</v>
      </c>
      <c r="AX54" s="15">
        <f t="shared" si="422"/>
        <v>0</v>
      </c>
      <c r="AY54" s="15">
        <f t="shared" si="422"/>
        <v>0</v>
      </c>
      <c r="AZ54" s="15">
        <f t="shared" si="422"/>
        <v>0</v>
      </c>
      <c r="BA54" s="15">
        <f t="shared" si="422"/>
        <v>0</v>
      </c>
      <c r="BB54" s="15">
        <f t="shared" si="422"/>
        <v>0</v>
      </c>
      <c r="BD54" s="15">
        <f t="shared" ref="BD54:BO54" si="423">SUM(BD55,BD60:BD62)</f>
        <v>0</v>
      </c>
      <c r="BE54" s="15">
        <f t="shared" si="423"/>
        <v>0</v>
      </c>
      <c r="BF54" s="15">
        <f t="shared" si="423"/>
        <v>0</v>
      </c>
      <c r="BG54" s="15">
        <f t="shared" si="423"/>
        <v>0</v>
      </c>
      <c r="BH54" s="15">
        <f t="shared" si="423"/>
        <v>0</v>
      </c>
      <c r="BI54" s="15">
        <f t="shared" si="423"/>
        <v>0</v>
      </c>
      <c r="BJ54" s="15">
        <f t="shared" si="423"/>
        <v>0</v>
      </c>
      <c r="BK54" s="15">
        <f t="shared" si="423"/>
        <v>0</v>
      </c>
      <c r="BL54" s="15">
        <f t="shared" si="423"/>
        <v>0</v>
      </c>
      <c r="BM54" s="15">
        <f t="shared" si="423"/>
        <v>0</v>
      </c>
      <c r="BN54" s="15">
        <f t="shared" si="423"/>
        <v>0</v>
      </c>
      <c r="BO54" s="15">
        <f t="shared" si="423"/>
        <v>0</v>
      </c>
      <c r="BQ54" s="15">
        <f t="shared" ref="BQ54:CB54" si="424">SUM(BQ55,BQ60:BQ62)</f>
        <v>0</v>
      </c>
      <c r="BR54" s="15">
        <f t="shared" si="424"/>
        <v>0</v>
      </c>
      <c r="BS54" s="15">
        <f t="shared" si="424"/>
        <v>0</v>
      </c>
      <c r="BT54" s="15">
        <f t="shared" si="424"/>
        <v>0</v>
      </c>
      <c r="BU54" s="15">
        <f t="shared" si="424"/>
        <v>0</v>
      </c>
      <c r="BV54" s="15">
        <f t="shared" si="424"/>
        <v>0</v>
      </c>
      <c r="BW54" s="15">
        <f t="shared" si="424"/>
        <v>0</v>
      </c>
      <c r="BX54" s="15">
        <f t="shared" si="424"/>
        <v>0</v>
      </c>
      <c r="BY54" s="15">
        <f t="shared" si="424"/>
        <v>0</v>
      </c>
      <c r="BZ54" s="15">
        <f t="shared" si="424"/>
        <v>0</v>
      </c>
      <c r="CA54" s="15">
        <f t="shared" si="424"/>
        <v>0</v>
      </c>
      <c r="CB54" s="15">
        <f t="shared" si="424"/>
        <v>0</v>
      </c>
      <c r="CD54" s="15">
        <f t="shared" ref="CD54:CO54" si="425">SUM(CD55,CD60:CD62)</f>
        <v>0</v>
      </c>
      <c r="CE54" s="15">
        <f t="shared" si="425"/>
        <v>0</v>
      </c>
      <c r="CF54" s="15">
        <f t="shared" si="425"/>
        <v>0</v>
      </c>
      <c r="CG54" s="15">
        <f t="shared" si="425"/>
        <v>0</v>
      </c>
      <c r="CH54" s="15">
        <f t="shared" si="425"/>
        <v>0</v>
      </c>
      <c r="CI54" s="15">
        <f t="shared" si="425"/>
        <v>0</v>
      </c>
      <c r="CJ54" s="15">
        <f t="shared" si="425"/>
        <v>0</v>
      </c>
      <c r="CK54" s="15">
        <f t="shared" si="425"/>
        <v>0</v>
      </c>
      <c r="CL54" s="15">
        <f t="shared" si="425"/>
        <v>0</v>
      </c>
      <c r="CM54" s="15">
        <f t="shared" si="425"/>
        <v>0</v>
      </c>
      <c r="CN54" s="15">
        <f t="shared" si="425"/>
        <v>0</v>
      </c>
      <c r="CO54" s="15">
        <f t="shared" si="425"/>
        <v>0</v>
      </c>
      <c r="CQ54" s="15">
        <f t="shared" ref="CQ54:DB54" si="426">SUM(CQ55,CQ60:CQ62)</f>
        <v>0</v>
      </c>
      <c r="CR54" s="15">
        <f t="shared" si="426"/>
        <v>0</v>
      </c>
      <c r="CS54" s="15">
        <f t="shared" si="426"/>
        <v>0</v>
      </c>
      <c r="CT54" s="15">
        <f t="shared" si="426"/>
        <v>0</v>
      </c>
      <c r="CU54" s="15">
        <f t="shared" si="426"/>
        <v>0</v>
      </c>
      <c r="CV54" s="15">
        <f t="shared" si="426"/>
        <v>0</v>
      </c>
      <c r="CW54" s="15">
        <f t="shared" si="426"/>
        <v>0</v>
      </c>
      <c r="CX54" s="15">
        <f t="shared" si="426"/>
        <v>0</v>
      </c>
      <c r="CY54" s="15">
        <f t="shared" si="426"/>
        <v>0</v>
      </c>
      <c r="CZ54" s="15">
        <f t="shared" si="426"/>
        <v>0</v>
      </c>
      <c r="DA54" s="15">
        <f t="shared" si="426"/>
        <v>0</v>
      </c>
      <c r="DB54" s="15">
        <f t="shared" si="426"/>
        <v>0</v>
      </c>
    </row>
    <row r="55" spans="1:106" hidden="1" outlineLevel="1">
      <c r="A55" s="633">
        <v>52</v>
      </c>
      <c r="B55" s="620" t="s">
        <v>306</v>
      </c>
      <c r="D55" s="15">
        <f t="shared" ref="D55:O57" si="427">SUM(D56:D57)</f>
        <v>0</v>
      </c>
      <c r="E55" s="15">
        <f t="shared" si="427"/>
        <v>0</v>
      </c>
      <c r="F55" s="15">
        <f t="shared" si="427"/>
        <v>0</v>
      </c>
      <c r="G55" s="15">
        <f t="shared" si="427"/>
        <v>0</v>
      </c>
      <c r="H55" s="15">
        <f t="shared" si="427"/>
        <v>0</v>
      </c>
      <c r="I55" s="15">
        <f t="shared" si="427"/>
        <v>0</v>
      </c>
      <c r="J55" s="15">
        <f t="shared" si="427"/>
        <v>0</v>
      </c>
      <c r="K55" s="15">
        <f t="shared" si="427"/>
        <v>0</v>
      </c>
      <c r="L55" s="15">
        <f t="shared" si="427"/>
        <v>0</v>
      </c>
      <c r="M55" s="15">
        <f t="shared" si="427"/>
        <v>0</v>
      </c>
      <c r="N55" s="15">
        <f t="shared" si="427"/>
        <v>0</v>
      </c>
      <c r="O55" s="15">
        <f t="shared" si="427"/>
        <v>0</v>
      </c>
      <c r="Q55" s="15">
        <f t="shared" ref="Q55:AB55" si="428">SUM(Q56:Q57)</f>
        <v>0</v>
      </c>
      <c r="R55" s="15">
        <f t="shared" si="428"/>
        <v>0</v>
      </c>
      <c r="S55" s="15">
        <f t="shared" si="428"/>
        <v>0</v>
      </c>
      <c r="T55" s="15">
        <f t="shared" si="428"/>
        <v>0</v>
      </c>
      <c r="U55" s="15">
        <f t="shared" si="428"/>
        <v>0</v>
      </c>
      <c r="V55" s="15">
        <f t="shared" si="428"/>
        <v>0</v>
      </c>
      <c r="W55" s="15">
        <f t="shared" si="428"/>
        <v>0</v>
      </c>
      <c r="X55" s="15">
        <f t="shared" si="428"/>
        <v>0</v>
      </c>
      <c r="Y55" s="15">
        <f t="shared" si="428"/>
        <v>0</v>
      </c>
      <c r="Z55" s="15">
        <f t="shared" si="428"/>
        <v>0</v>
      </c>
      <c r="AA55" s="15">
        <f t="shared" si="428"/>
        <v>0</v>
      </c>
      <c r="AB55" s="15">
        <f t="shared" si="428"/>
        <v>0</v>
      </c>
      <c r="AD55" s="646">
        <f t="shared" ref="AD55" si="429">SUM(AD56:AD57)</f>
        <v>0</v>
      </c>
      <c r="AE55" s="15">
        <f t="shared" ref="AE55:AO55" si="430">SUM(AE56:AE57)</f>
        <v>0</v>
      </c>
      <c r="AF55" s="15">
        <f t="shared" si="430"/>
        <v>0</v>
      </c>
      <c r="AG55" s="15">
        <f t="shared" si="430"/>
        <v>0</v>
      </c>
      <c r="AH55" s="15">
        <f t="shared" si="430"/>
        <v>0</v>
      </c>
      <c r="AI55" s="15">
        <f t="shared" si="430"/>
        <v>0</v>
      </c>
      <c r="AJ55" s="15">
        <f t="shared" si="430"/>
        <v>0</v>
      </c>
      <c r="AK55" s="15">
        <f t="shared" si="430"/>
        <v>0</v>
      </c>
      <c r="AL55" s="15">
        <f t="shared" si="430"/>
        <v>0</v>
      </c>
      <c r="AM55" s="15">
        <f t="shared" si="430"/>
        <v>0</v>
      </c>
      <c r="AN55" s="15">
        <f t="shared" si="430"/>
        <v>0</v>
      </c>
      <c r="AO55" s="647">
        <f t="shared" si="430"/>
        <v>0</v>
      </c>
      <c r="AQ55" s="15">
        <f t="shared" ref="AQ55:BB55" si="431">SUM(AQ56:AQ57)</f>
        <v>0</v>
      </c>
      <c r="AR55" s="15">
        <f t="shared" si="431"/>
        <v>0</v>
      </c>
      <c r="AS55" s="15">
        <f t="shared" si="431"/>
        <v>0</v>
      </c>
      <c r="AT55" s="15">
        <f t="shared" si="431"/>
        <v>0</v>
      </c>
      <c r="AU55" s="15">
        <f t="shared" si="431"/>
        <v>0</v>
      </c>
      <c r="AV55" s="15">
        <f t="shared" si="431"/>
        <v>0</v>
      </c>
      <c r="AW55" s="15">
        <f t="shared" si="431"/>
        <v>0</v>
      </c>
      <c r="AX55" s="15">
        <f t="shared" si="431"/>
        <v>0</v>
      </c>
      <c r="AY55" s="15">
        <f t="shared" si="431"/>
        <v>0</v>
      </c>
      <c r="AZ55" s="15">
        <f t="shared" si="431"/>
        <v>0</v>
      </c>
      <c r="BA55" s="15">
        <f t="shared" si="431"/>
        <v>0</v>
      </c>
      <c r="BB55" s="15">
        <f t="shared" si="431"/>
        <v>0</v>
      </c>
      <c r="BD55" s="15">
        <f t="shared" ref="BD55:BO55" si="432">SUM(BD56:BD57)</f>
        <v>0</v>
      </c>
      <c r="BE55" s="15">
        <f t="shared" si="432"/>
        <v>0</v>
      </c>
      <c r="BF55" s="15">
        <f t="shared" si="432"/>
        <v>0</v>
      </c>
      <c r="BG55" s="15">
        <f t="shared" si="432"/>
        <v>0</v>
      </c>
      <c r="BH55" s="15">
        <f t="shared" si="432"/>
        <v>0</v>
      </c>
      <c r="BI55" s="15">
        <f t="shared" si="432"/>
        <v>0</v>
      </c>
      <c r="BJ55" s="15">
        <f t="shared" si="432"/>
        <v>0</v>
      </c>
      <c r="BK55" s="15">
        <f t="shared" si="432"/>
        <v>0</v>
      </c>
      <c r="BL55" s="15">
        <f t="shared" si="432"/>
        <v>0</v>
      </c>
      <c r="BM55" s="15">
        <f t="shared" si="432"/>
        <v>0</v>
      </c>
      <c r="BN55" s="15">
        <f t="shared" si="432"/>
        <v>0</v>
      </c>
      <c r="BO55" s="15">
        <f t="shared" si="432"/>
        <v>0</v>
      </c>
      <c r="BQ55" s="15">
        <f t="shared" ref="BQ55:CB55" si="433">SUM(BQ56:BQ57)</f>
        <v>0</v>
      </c>
      <c r="BR55" s="15">
        <f t="shared" si="433"/>
        <v>0</v>
      </c>
      <c r="BS55" s="15">
        <f t="shared" si="433"/>
        <v>0</v>
      </c>
      <c r="BT55" s="15">
        <f t="shared" si="433"/>
        <v>0</v>
      </c>
      <c r="BU55" s="15">
        <f t="shared" si="433"/>
        <v>0</v>
      </c>
      <c r="BV55" s="15">
        <f t="shared" si="433"/>
        <v>0</v>
      </c>
      <c r="BW55" s="15">
        <f t="shared" si="433"/>
        <v>0</v>
      </c>
      <c r="BX55" s="15">
        <f t="shared" si="433"/>
        <v>0</v>
      </c>
      <c r="BY55" s="15">
        <f t="shared" si="433"/>
        <v>0</v>
      </c>
      <c r="BZ55" s="15">
        <f t="shared" si="433"/>
        <v>0</v>
      </c>
      <c r="CA55" s="15">
        <f t="shared" si="433"/>
        <v>0</v>
      </c>
      <c r="CB55" s="15">
        <f t="shared" si="433"/>
        <v>0</v>
      </c>
      <c r="CD55" s="15">
        <f t="shared" ref="CD55:CO55" si="434">SUM(CD56:CD57)</f>
        <v>0</v>
      </c>
      <c r="CE55" s="15">
        <f t="shared" si="434"/>
        <v>0</v>
      </c>
      <c r="CF55" s="15">
        <f t="shared" si="434"/>
        <v>0</v>
      </c>
      <c r="CG55" s="15">
        <f t="shared" si="434"/>
        <v>0</v>
      </c>
      <c r="CH55" s="15">
        <f t="shared" si="434"/>
        <v>0</v>
      </c>
      <c r="CI55" s="15">
        <f t="shared" si="434"/>
        <v>0</v>
      </c>
      <c r="CJ55" s="15">
        <f t="shared" si="434"/>
        <v>0</v>
      </c>
      <c r="CK55" s="15">
        <f t="shared" si="434"/>
        <v>0</v>
      </c>
      <c r="CL55" s="15">
        <f t="shared" si="434"/>
        <v>0</v>
      </c>
      <c r="CM55" s="15">
        <f t="shared" si="434"/>
        <v>0</v>
      </c>
      <c r="CN55" s="15">
        <f t="shared" si="434"/>
        <v>0</v>
      </c>
      <c r="CO55" s="15">
        <f t="shared" si="434"/>
        <v>0</v>
      </c>
      <c r="CQ55" s="15">
        <f t="shared" ref="CQ55:DB55" si="435">SUM(CQ56:CQ57)</f>
        <v>0</v>
      </c>
      <c r="CR55" s="15">
        <f t="shared" si="435"/>
        <v>0</v>
      </c>
      <c r="CS55" s="15">
        <f t="shared" si="435"/>
        <v>0</v>
      </c>
      <c r="CT55" s="15">
        <f t="shared" si="435"/>
        <v>0</v>
      </c>
      <c r="CU55" s="15">
        <f t="shared" si="435"/>
        <v>0</v>
      </c>
      <c r="CV55" s="15">
        <f t="shared" si="435"/>
        <v>0</v>
      </c>
      <c r="CW55" s="15">
        <f t="shared" si="435"/>
        <v>0</v>
      </c>
      <c r="CX55" s="15">
        <f t="shared" si="435"/>
        <v>0</v>
      </c>
      <c r="CY55" s="15">
        <f t="shared" si="435"/>
        <v>0</v>
      </c>
      <c r="CZ55" s="15">
        <f t="shared" si="435"/>
        <v>0</v>
      </c>
      <c r="DA55" s="15">
        <f t="shared" si="435"/>
        <v>0</v>
      </c>
      <c r="DB55" s="15">
        <f t="shared" si="435"/>
        <v>0</v>
      </c>
    </row>
    <row r="56" spans="1:106" hidden="1" outlineLevel="2">
      <c r="A56" s="633">
        <v>53</v>
      </c>
      <c r="B56" s="619" t="s">
        <v>307</v>
      </c>
      <c r="C56" t="s">
        <v>518</v>
      </c>
      <c r="D56" s="15">
        <f t="shared" ref="D56:O56" si="436">AD56+Q56</f>
        <v>0</v>
      </c>
      <c r="E56" s="15">
        <f t="shared" si="436"/>
        <v>0</v>
      </c>
      <c r="F56" s="15">
        <f t="shared" si="436"/>
        <v>0</v>
      </c>
      <c r="G56" s="15">
        <f t="shared" si="436"/>
        <v>0</v>
      </c>
      <c r="H56" s="15">
        <f t="shared" si="436"/>
        <v>0</v>
      </c>
      <c r="I56" s="15">
        <f t="shared" si="436"/>
        <v>0</v>
      </c>
      <c r="J56" s="15">
        <f t="shared" si="436"/>
        <v>0</v>
      </c>
      <c r="K56" s="15">
        <f t="shared" si="436"/>
        <v>0</v>
      </c>
      <c r="L56" s="15">
        <f t="shared" si="436"/>
        <v>0</v>
      </c>
      <c r="M56" s="15">
        <f t="shared" si="436"/>
        <v>0</v>
      </c>
      <c r="N56" s="15">
        <f t="shared" si="436"/>
        <v>0</v>
      </c>
      <c r="O56" s="15">
        <f t="shared" si="436"/>
        <v>0</v>
      </c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D56" s="646">
        <f t="shared" ref="AD56" si="437">AQ56+BD56+BQ56+CD56+CQ56</f>
        <v>0</v>
      </c>
      <c r="AE56" s="15">
        <f t="shared" ref="AE56" si="438">AR56+BE56+BR56+CE56+CR56</f>
        <v>0</v>
      </c>
      <c r="AF56" s="15">
        <f t="shared" ref="AF56" si="439">AS56+BF56+BS56+CF56+CS56</f>
        <v>0</v>
      </c>
      <c r="AG56" s="15">
        <f t="shared" ref="AG56" si="440">AT56+BG56+BT56+CG56+CT56</f>
        <v>0</v>
      </c>
      <c r="AH56" s="15">
        <f t="shared" ref="AH56" si="441">AU56+BH56+BU56+CH56+CU56</f>
        <v>0</v>
      </c>
      <c r="AI56" s="15">
        <f t="shared" ref="AI56" si="442">AV56+BI56+BV56+CI56+CV56</f>
        <v>0</v>
      </c>
      <c r="AJ56" s="15">
        <f t="shared" ref="AJ56" si="443">AW56+BJ56+BW56+CJ56+CW56</f>
        <v>0</v>
      </c>
      <c r="AK56" s="15">
        <f t="shared" ref="AK56" si="444">AX56+BK56+BX56+CK56+CX56</f>
        <v>0</v>
      </c>
      <c r="AL56" s="15">
        <f t="shared" ref="AL56" si="445">AY56+BL56+BY56+CL56+CY56</f>
        <v>0</v>
      </c>
      <c r="AM56" s="15">
        <f t="shared" ref="AM56" si="446">AZ56+BM56+BZ56+CM56+CZ56</f>
        <v>0</v>
      </c>
      <c r="AN56" s="15">
        <f t="shared" ref="AN56" si="447">BA56+BN56+CA56+CN56+DA56</f>
        <v>0</v>
      </c>
      <c r="AO56" s="647">
        <f t="shared" ref="AO56" si="448">BB56+BO56+CB56+CO56+DB56</f>
        <v>0</v>
      </c>
      <c r="AQ56" s="15">
        <f>SUMIFS('BS-KH26-DTR'!D$2:D$116,'BS-KH26-DTR'!$B$2:$B$116,$A56)</f>
        <v>0</v>
      </c>
      <c r="AR56" s="15">
        <f>SUMIFS('BS-KH26-DTR'!E$2:E$116,'BS-KH26-DTR'!$B$2:$B$116,$A56)</f>
        <v>0</v>
      </c>
      <c r="AS56" s="15">
        <f>SUMIFS('BS-KH26-DTR'!F$2:F$116,'BS-KH26-DTR'!$B$2:$B$116,$A56)</f>
        <v>0</v>
      </c>
      <c r="AT56" s="15">
        <f>SUMIFS('BS-KH26-DTR'!G$2:G$116,'BS-KH26-DTR'!$B$2:$B$116,$A56)</f>
        <v>0</v>
      </c>
      <c r="AU56" s="15">
        <f>SUMIFS('BS-KH26-DTR'!H$2:H$116,'BS-KH26-DTR'!$B$2:$B$116,$A56)</f>
        <v>0</v>
      </c>
      <c r="AV56" s="15">
        <f>SUMIFS('BS-KH26-DTR'!I$2:I$116,'BS-KH26-DTR'!$B$2:$B$116,$A56)</f>
        <v>0</v>
      </c>
      <c r="AW56" s="15">
        <f>SUMIFS('BS-KH26-DTR'!J$2:J$116,'BS-KH26-DTR'!$B$2:$B$116,$A56)</f>
        <v>0</v>
      </c>
      <c r="AX56" s="15">
        <f>SUMIFS('BS-KH26-DTR'!K$2:K$116,'BS-KH26-DTR'!$B$2:$B$116,$A56)</f>
        <v>0</v>
      </c>
      <c r="AY56" s="15">
        <f>SUMIFS('BS-KH26-DTR'!L$2:L$116,'BS-KH26-DTR'!$B$2:$B$116,$A56)</f>
        <v>0</v>
      </c>
      <c r="AZ56" s="15">
        <f>SUMIFS('BS-KH26-DTR'!M$2:M$116,'BS-KH26-DTR'!$B$2:$B$116,$A56)</f>
        <v>0</v>
      </c>
      <c r="BA56" s="15">
        <f>SUMIFS('BS-KH26-DTR'!N$2:N$116,'BS-KH26-DTR'!$B$2:$B$116,$A56)</f>
        <v>0</v>
      </c>
      <c r="BB56" s="15">
        <f>SUMIFS('BS-KH26-DTR'!O$2:O$116,'BS-KH26-DTR'!$B$2:$B$116,$A56)</f>
        <v>0</v>
      </c>
      <c r="BD56" s="15">
        <f>SUMIFS('BS-KH26-DongLam'!M$2:M$51,'BS-KH26-DongLam'!$A$2:$A$51,'Consol BS-DTRG'!$A56)</f>
        <v>0</v>
      </c>
      <c r="BE56" s="15">
        <f>SUMIFS('BS-KH26-DongLam'!N$2:N$51,'BS-KH26-DongLam'!$A$2:$A$51,'Consol BS-DTRG'!$A56)</f>
        <v>0</v>
      </c>
      <c r="BF56" s="15">
        <f>SUMIFS('BS-KH26-DongLam'!O$2:O$51,'BS-KH26-DongLam'!$A$2:$A$51,'Consol BS-DTRG'!$A56)</f>
        <v>0</v>
      </c>
      <c r="BG56" s="15">
        <f>SUMIFS('BS-KH26-DongLam'!P$2:P$51,'BS-KH26-DongLam'!$A$2:$A$51,'Consol BS-DTRG'!$A56)</f>
        <v>0</v>
      </c>
      <c r="BH56" s="15">
        <f>SUMIFS('BS-KH26-DongLam'!Q$2:Q$51,'BS-KH26-DongLam'!$A$2:$A$51,'Consol BS-DTRG'!$A56)</f>
        <v>0</v>
      </c>
      <c r="BI56" s="15">
        <f>SUMIFS('BS-KH26-DongLam'!R$2:R$51,'BS-KH26-DongLam'!$A$2:$A$51,'Consol BS-DTRG'!$A56)</f>
        <v>0</v>
      </c>
      <c r="BJ56" s="15">
        <f>SUMIFS('BS-KH26-DongLam'!S$2:S$51,'BS-KH26-DongLam'!$A$2:$A$51,'Consol BS-DTRG'!$A56)</f>
        <v>0</v>
      </c>
      <c r="BK56" s="15">
        <f>SUMIFS('BS-KH26-DongLam'!T$2:T$51,'BS-KH26-DongLam'!$A$2:$A$51,'Consol BS-DTRG'!$A56)</f>
        <v>0</v>
      </c>
      <c r="BL56" s="15">
        <f>SUMIFS('BS-KH26-DongLam'!U$2:U$51,'BS-KH26-DongLam'!$A$2:$A$51,'Consol BS-DTRG'!$A56)</f>
        <v>0</v>
      </c>
      <c r="BM56" s="15">
        <f>SUMIFS('BS-KH26-DongLam'!V$2:V$51,'BS-KH26-DongLam'!$A$2:$A$51,'Consol BS-DTRG'!$A56)</f>
        <v>0</v>
      </c>
      <c r="BN56" s="15">
        <f>SUMIFS('BS-KH26-DongLam'!W$2:W$51,'BS-KH26-DongLam'!$A$2:$A$51,'Consol BS-DTRG'!$A56)</f>
        <v>0</v>
      </c>
      <c r="BO56" s="15">
        <f>SUMIFS('BS-KH26-DongLam'!X$2:X$51,'BS-KH26-DongLam'!$A$2:$A$51,'Consol BS-DTRG'!$A56)</f>
        <v>0</v>
      </c>
      <c r="BQ56" s="15">
        <f>SUMIFS('BS-KH26-KhanhNga'!M$2:M$51,'BS-KH26-KhanhNga'!$A$2:$A$51,'Consol BS-DTRG'!$A56)</f>
        <v>0</v>
      </c>
      <c r="BR56" s="15">
        <f>SUMIFS('BS-KH26-KhanhNga'!N$2:N$51,'BS-KH26-KhanhNga'!$A$2:$A$51,'Consol BS-DTRG'!$A56)</f>
        <v>0</v>
      </c>
      <c r="BS56" s="15">
        <f>SUMIFS('BS-KH26-KhanhNga'!O$2:O$51,'BS-KH26-KhanhNga'!$A$2:$A$51,'Consol BS-DTRG'!$A56)</f>
        <v>0</v>
      </c>
      <c r="BT56" s="15">
        <f>SUMIFS('BS-KH26-KhanhNga'!P$2:P$51,'BS-KH26-KhanhNga'!$A$2:$A$51,'Consol BS-DTRG'!$A56)</f>
        <v>0</v>
      </c>
      <c r="BU56" s="15">
        <f>SUMIFS('BS-KH26-KhanhNga'!Q$2:Q$51,'BS-KH26-KhanhNga'!$A$2:$A$51,'Consol BS-DTRG'!$A56)</f>
        <v>0</v>
      </c>
      <c r="BV56" s="15">
        <f>SUMIFS('BS-KH26-KhanhNga'!R$2:R$51,'BS-KH26-KhanhNga'!$A$2:$A$51,'Consol BS-DTRG'!$A56)</f>
        <v>0</v>
      </c>
      <c r="BW56" s="15">
        <f>SUMIFS('BS-KH26-KhanhNga'!S$2:S$51,'BS-KH26-KhanhNga'!$A$2:$A$51,'Consol BS-DTRG'!$A56)</f>
        <v>0</v>
      </c>
      <c r="BX56" s="15">
        <f>SUMIFS('BS-KH26-KhanhNga'!T$2:T$51,'BS-KH26-KhanhNga'!$A$2:$A$51,'Consol BS-DTRG'!$A56)</f>
        <v>0</v>
      </c>
      <c r="BY56" s="15">
        <f>SUMIFS('BS-KH26-KhanhNga'!U$2:U$51,'BS-KH26-KhanhNga'!$A$2:$A$51,'Consol BS-DTRG'!$A56)</f>
        <v>0</v>
      </c>
      <c r="BZ56" s="15">
        <f>SUMIFS('BS-KH26-KhanhNga'!V$2:V$51,'BS-KH26-KhanhNga'!$A$2:$A$51,'Consol BS-DTRG'!$A56)</f>
        <v>0</v>
      </c>
      <c r="CA56" s="15">
        <f>SUMIFS('BS-KH26-KhanhNga'!W$2:W$51,'BS-KH26-KhanhNga'!$A$2:$A$51,'Consol BS-DTRG'!$A56)</f>
        <v>0</v>
      </c>
      <c r="CB56" s="15">
        <f>SUMIFS('BS-KH26-KhanhNga'!X$2:X$51,'BS-KH26-KhanhNga'!$A$2:$A$51,'Consol BS-DTRG'!$A56)</f>
        <v>0</v>
      </c>
      <c r="CD56" s="15">
        <f>SUMIFS('BS-KH26-DaiLoc'!M$2:M$51,'BS-KH26-DaiLoc'!$A$2:$A$51,'Consol BS-DTRG'!$A56)</f>
        <v>0</v>
      </c>
      <c r="CE56" s="15">
        <f>SUMIFS('BS-KH26-DaiLoc'!N$2:N$51,'BS-KH26-DaiLoc'!$A$2:$A$51,'Consol BS-DTRG'!$A56)</f>
        <v>0</v>
      </c>
      <c r="CF56" s="15">
        <f>SUMIFS('BS-KH26-DaiLoc'!O$2:O$51,'BS-KH26-DaiLoc'!$A$2:$A$51,'Consol BS-DTRG'!$A56)</f>
        <v>0</v>
      </c>
      <c r="CG56" s="15">
        <f>SUMIFS('BS-KH26-DaiLoc'!P$2:P$51,'BS-KH26-DaiLoc'!$A$2:$A$51,'Consol BS-DTRG'!$A56)</f>
        <v>0</v>
      </c>
      <c r="CH56" s="15">
        <f>SUMIFS('BS-KH26-DaiLoc'!Q$2:Q$51,'BS-KH26-DaiLoc'!$A$2:$A$51,'Consol BS-DTRG'!$A56)</f>
        <v>0</v>
      </c>
      <c r="CI56" s="15">
        <f>SUMIFS('BS-KH26-DaiLoc'!R$2:R$51,'BS-KH26-DaiLoc'!$A$2:$A$51,'Consol BS-DTRG'!$A56)</f>
        <v>0</v>
      </c>
      <c r="CJ56" s="15">
        <f>SUMIFS('BS-KH26-DaiLoc'!S$2:S$51,'BS-KH26-DaiLoc'!$A$2:$A$51,'Consol BS-DTRG'!$A56)</f>
        <v>0</v>
      </c>
      <c r="CK56" s="15">
        <f>SUMIFS('BS-KH26-DaiLoc'!T$2:T$51,'BS-KH26-DaiLoc'!$A$2:$A$51,'Consol BS-DTRG'!$A56)</f>
        <v>0</v>
      </c>
      <c r="CL56" s="15">
        <f>SUMIFS('BS-KH26-DaiLoc'!U$2:U$51,'BS-KH26-DaiLoc'!$A$2:$A$51,'Consol BS-DTRG'!$A56)</f>
        <v>0</v>
      </c>
      <c r="CM56" s="15">
        <f>SUMIFS('BS-KH26-DaiLoc'!V$2:V$51,'BS-KH26-DaiLoc'!$A$2:$A$51,'Consol BS-DTRG'!$A56)</f>
        <v>0</v>
      </c>
      <c r="CN56" s="15">
        <f>SUMIFS('BS-KH26-DaiLoc'!W$2:W$51,'BS-KH26-DaiLoc'!$A$2:$A$51,'Consol BS-DTRG'!$A56)</f>
        <v>0</v>
      </c>
      <c r="CO56" s="15">
        <f>SUMIFS('BS-KH26-DaiLoc'!X$2:X$51,'BS-KH26-DaiLoc'!$A$2:$A$51,'Consol BS-DTRG'!$A56)</f>
        <v>0</v>
      </c>
      <c r="CQ56" s="15">
        <v>0</v>
      </c>
      <c r="CR56" s="15">
        <f>CQ56</f>
        <v>0</v>
      </c>
      <c r="CS56" s="15">
        <f>CR56</f>
        <v>0</v>
      </c>
      <c r="CT56" s="15">
        <f t="shared" ref="CT56:DB56" si="449">CS56</f>
        <v>0</v>
      </c>
      <c r="CU56" s="15">
        <f t="shared" si="449"/>
        <v>0</v>
      </c>
      <c r="CV56" s="15">
        <f t="shared" si="449"/>
        <v>0</v>
      </c>
      <c r="CW56" s="15">
        <f t="shared" si="449"/>
        <v>0</v>
      </c>
      <c r="CX56" s="15">
        <f t="shared" si="449"/>
        <v>0</v>
      </c>
      <c r="CY56" s="15">
        <f t="shared" si="449"/>
        <v>0</v>
      </c>
      <c r="CZ56" s="15">
        <f t="shared" si="449"/>
        <v>0</v>
      </c>
      <c r="DA56" s="15">
        <f t="shared" si="449"/>
        <v>0</v>
      </c>
      <c r="DB56" s="15">
        <f t="shared" si="449"/>
        <v>0</v>
      </c>
    </row>
    <row r="57" spans="1:106" hidden="1" outlineLevel="2">
      <c r="A57" s="633">
        <v>54</v>
      </c>
      <c r="B57" s="619" t="s">
        <v>308</v>
      </c>
      <c r="D57" s="15">
        <f t="shared" si="427"/>
        <v>0</v>
      </c>
      <c r="E57" s="15">
        <f t="shared" si="427"/>
        <v>0</v>
      </c>
      <c r="F57" s="15">
        <f t="shared" si="427"/>
        <v>0</v>
      </c>
      <c r="G57" s="15">
        <f t="shared" si="427"/>
        <v>0</v>
      </c>
      <c r="H57" s="15">
        <f t="shared" si="427"/>
        <v>0</v>
      </c>
      <c r="I57" s="15">
        <f t="shared" si="427"/>
        <v>0</v>
      </c>
      <c r="J57" s="15">
        <f t="shared" si="427"/>
        <v>0</v>
      </c>
      <c r="K57" s="15">
        <f t="shared" si="427"/>
        <v>0</v>
      </c>
      <c r="L57" s="15">
        <f t="shared" si="427"/>
        <v>0</v>
      </c>
      <c r="M57" s="15">
        <f t="shared" si="427"/>
        <v>0</v>
      </c>
      <c r="N57" s="15">
        <f t="shared" si="427"/>
        <v>0</v>
      </c>
      <c r="O57" s="15">
        <f t="shared" si="427"/>
        <v>0</v>
      </c>
      <c r="Q57" s="15">
        <f t="shared" ref="Q57:AB57" si="450">SUM(Q58:Q59)</f>
        <v>0</v>
      </c>
      <c r="R57" s="15">
        <f t="shared" si="450"/>
        <v>0</v>
      </c>
      <c r="S57" s="15">
        <f t="shared" si="450"/>
        <v>0</v>
      </c>
      <c r="T57" s="15">
        <f t="shared" si="450"/>
        <v>0</v>
      </c>
      <c r="U57" s="15">
        <f t="shared" si="450"/>
        <v>0</v>
      </c>
      <c r="V57" s="15">
        <f t="shared" si="450"/>
        <v>0</v>
      </c>
      <c r="W57" s="15">
        <f t="shared" si="450"/>
        <v>0</v>
      </c>
      <c r="X57" s="15">
        <f t="shared" si="450"/>
        <v>0</v>
      </c>
      <c r="Y57" s="15">
        <f t="shared" si="450"/>
        <v>0</v>
      </c>
      <c r="Z57" s="15">
        <f t="shared" si="450"/>
        <v>0</v>
      </c>
      <c r="AA57" s="15">
        <f t="shared" si="450"/>
        <v>0</v>
      </c>
      <c r="AB57" s="15">
        <f t="shared" si="450"/>
        <v>0</v>
      </c>
      <c r="AD57" s="646">
        <f t="shared" ref="AD57" si="451">SUM(AD58:AD59)</f>
        <v>0</v>
      </c>
      <c r="AE57" s="15">
        <f t="shared" ref="AE57:AO57" si="452">SUM(AE58:AE59)</f>
        <v>0</v>
      </c>
      <c r="AF57" s="15">
        <f t="shared" si="452"/>
        <v>0</v>
      </c>
      <c r="AG57" s="15">
        <f t="shared" si="452"/>
        <v>0</v>
      </c>
      <c r="AH57" s="15">
        <f t="shared" si="452"/>
        <v>0</v>
      </c>
      <c r="AI57" s="15">
        <f t="shared" si="452"/>
        <v>0</v>
      </c>
      <c r="AJ57" s="15">
        <f t="shared" si="452"/>
        <v>0</v>
      </c>
      <c r="AK57" s="15">
        <f t="shared" si="452"/>
        <v>0</v>
      </c>
      <c r="AL57" s="15">
        <f t="shared" si="452"/>
        <v>0</v>
      </c>
      <c r="AM57" s="15">
        <f t="shared" si="452"/>
        <v>0</v>
      </c>
      <c r="AN57" s="15">
        <f t="shared" si="452"/>
        <v>0</v>
      </c>
      <c r="AO57" s="647">
        <f t="shared" si="452"/>
        <v>0</v>
      </c>
      <c r="AQ57" s="15">
        <f t="shared" ref="AQ57:BB57" si="453">SUM(AQ58:AQ59)</f>
        <v>0</v>
      </c>
      <c r="AR57" s="15">
        <f t="shared" si="453"/>
        <v>0</v>
      </c>
      <c r="AS57" s="15">
        <f t="shared" si="453"/>
        <v>0</v>
      </c>
      <c r="AT57" s="15">
        <f t="shared" si="453"/>
        <v>0</v>
      </c>
      <c r="AU57" s="15">
        <f t="shared" si="453"/>
        <v>0</v>
      </c>
      <c r="AV57" s="15">
        <f t="shared" si="453"/>
        <v>0</v>
      </c>
      <c r="AW57" s="15">
        <f t="shared" si="453"/>
        <v>0</v>
      </c>
      <c r="AX57" s="15">
        <f t="shared" si="453"/>
        <v>0</v>
      </c>
      <c r="AY57" s="15">
        <f t="shared" si="453"/>
        <v>0</v>
      </c>
      <c r="AZ57" s="15">
        <f t="shared" si="453"/>
        <v>0</v>
      </c>
      <c r="BA57" s="15">
        <f t="shared" si="453"/>
        <v>0</v>
      </c>
      <c r="BB57" s="15">
        <f t="shared" si="453"/>
        <v>0</v>
      </c>
      <c r="BD57" s="15">
        <f t="shared" ref="BD57:BO57" si="454">SUM(BD58:BD59)</f>
        <v>0</v>
      </c>
      <c r="BE57" s="15">
        <f t="shared" si="454"/>
        <v>0</v>
      </c>
      <c r="BF57" s="15">
        <f t="shared" si="454"/>
        <v>0</v>
      </c>
      <c r="BG57" s="15">
        <f t="shared" si="454"/>
        <v>0</v>
      </c>
      <c r="BH57" s="15">
        <f t="shared" si="454"/>
        <v>0</v>
      </c>
      <c r="BI57" s="15">
        <f t="shared" si="454"/>
        <v>0</v>
      </c>
      <c r="BJ57" s="15">
        <f t="shared" si="454"/>
        <v>0</v>
      </c>
      <c r="BK57" s="15">
        <f t="shared" si="454"/>
        <v>0</v>
      </c>
      <c r="BL57" s="15">
        <f t="shared" si="454"/>
        <v>0</v>
      </c>
      <c r="BM57" s="15">
        <f t="shared" si="454"/>
        <v>0</v>
      </c>
      <c r="BN57" s="15">
        <f t="shared" si="454"/>
        <v>0</v>
      </c>
      <c r="BO57" s="15">
        <f t="shared" si="454"/>
        <v>0</v>
      </c>
      <c r="BQ57" s="15">
        <f t="shared" ref="BQ57:CB57" si="455">SUM(BQ58:BQ59)</f>
        <v>0</v>
      </c>
      <c r="BR57" s="15">
        <f t="shared" si="455"/>
        <v>0</v>
      </c>
      <c r="BS57" s="15">
        <f t="shared" si="455"/>
        <v>0</v>
      </c>
      <c r="BT57" s="15">
        <f t="shared" si="455"/>
        <v>0</v>
      </c>
      <c r="BU57" s="15">
        <f t="shared" si="455"/>
        <v>0</v>
      </c>
      <c r="BV57" s="15">
        <f t="shared" si="455"/>
        <v>0</v>
      </c>
      <c r="BW57" s="15">
        <f t="shared" si="455"/>
        <v>0</v>
      </c>
      <c r="BX57" s="15">
        <f t="shared" si="455"/>
        <v>0</v>
      </c>
      <c r="BY57" s="15">
        <f t="shared" si="455"/>
        <v>0</v>
      </c>
      <c r="BZ57" s="15">
        <f t="shared" si="455"/>
        <v>0</v>
      </c>
      <c r="CA57" s="15">
        <f t="shared" si="455"/>
        <v>0</v>
      </c>
      <c r="CB57" s="15">
        <f t="shared" si="455"/>
        <v>0</v>
      </c>
      <c r="CD57" s="15">
        <f t="shared" ref="CD57:CO57" si="456">SUM(CD58:CD59)</f>
        <v>0</v>
      </c>
      <c r="CE57" s="15">
        <f t="shared" si="456"/>
        <v>0</v>
      </c>
      <c r="CF57" s="15">
        <f t="shared" si="456"/>
        <v>0</v>
      </c>
      <c r="CG57" s="15">
        <f t="shared" si="456"/>
        <v>0</v>
      </c>
      <c r="CH57" s="15">
        <f t="shared" si="456"/>
        <v>0</v>
      </c>
      <c r="CI57" s="15">
        <f t="shared" si="456"/>
        <v>0</v>
      </c>
      <c r="CJ57" s="15">
        <f t="shared" si="456"/>
        <v>0</v>
      </c>
      <c r="CK57" s="15">
        <f t="shared" si="456"/>
        <v>0</v>
      </c>
      <c r="CL57" s="15">
        <f t="shared" si="456"/>
        <v>0</v>
      </c>
      <c r="CM57" s="15">
        <f t="shared" si="456"/>
        <v>0</v>
      </c>
      <c r="CN57" s="15">
        <f t="shared" si="456"/>
        <v>0</v>
      </c>
      <c r="CO57" s="15">
        <f t="shared" si="456"/>
        <v>0</v>
      </c>
      <c r="CQ57" s="15">
        <f t="shared" ref="CQ57:DB57" si="457">SUM(CQ58:CQ59)</f>
        <v>0</v>
      </c>
      <c r="CR57" s="15">
        <f t="shared" si="457"/>
        <v>0</v>
      </c>
      <c r="CS57" s="15">
        <f t="shared" si="457"/>
        <v>0</v>
      </c>
      <c r="CT57" s="15">
        <f t="shared" si="457"/>
        <v>0</v>
      </c>
      <c r="CU57" s="15">
        <f t="shared" si="457"/>
        <v>0</v>
      </c>
      <c r="CV57" s="15">
        <f t="shared" si="457"/>
        <v>0</v>
      </c>
      <c r="CW57" s="15">
        <f t="shared" si="457"/>
        <v>0</v>
      </c>
      <c r="CX57" s="15">
        <f t="shared" si="457"/>
        <v>0</v>
      </c>
      <c r="CY57" s="15">
        <f t="shared" si="457"/>
        <v>0</v>
      </c>
      <c r="CZ57" s="15">
        <f t="shared" si="457"/>
        <v>0</v>
      </c>
      <c r="DA57" s="15">
        <f t="shared" si="457"/>
        <v>0</v>
      </c>
      <c r="DB57" s="15">
        <f t="shared" si="457"/>
        <v>0</v>
      </c>
    </row>
    <row r="58" spans="1:106" hidden="1" outlineLevel="1">
      <c r="A58" s="633">
        <v>55</v>
      </c>
      <c r="B58" s="621" t="s">
        <v>224</v>
      </c>
      <c r="C58" t="s">
        <v>518</v>
      </c>
      <c r="D58" s="15">
        <f t="shared" ref="D58:D62" si="458">AD58+Q58</f>
        <v>0</v>
      </c>
      <c r="E58" s="15">
        <f t="shared" ref="E58:E62" si="459">AE58+R58</f>
        <v>0</v>
      </c>
      <c r="F58" s="15">
        <f t="shared" ref="F58:F62" si="460">AF58+S58</f>
        <v>0</v>
      </c>
      <c r="G58" s="15">
        <f t="shared" ref="G58:G62" si="461">AG58+T58</f>
        <v>0</v>
      </c>
      <c r="H58" s="15">
        <f t="shared" ref="H58:H62" si="462">AH58+U58</f>
        <v>0</v>
      </c>
      <c r="I58" s="15">
        <f t="shared" ref="I58:I62" si="463">AI58+V58</f>
        <v>0</v>
      </c>
      <c r="J58" s="15">
        <f t="shared" ref="J58:J62" si="464">AJ58+W58</f>
        <v>0</v>
      </c>
      <c r="K58" s="15">
        <f t="shared" ref="K58:K62" si="465">AK58+X58</f>
        <v>0</v>
      </c>
      <c r="L58" s="15">
        <f t="shared" ref="L58:L62" si="466">AL58+Y58</f>
        <v>0</v>
      </c>
      <c r="M58" s="15">
        <f t="shared" ref="M58:M62" si="467">AM58+Z58</f>
        <v>0</v>
      </c>
      <c r="N58" s="15">
        <f t="shared" ref="N58:N62" si="468">AN58+AA58</f>
        <v>0</v>
      </c>
      <c r="O58" s="15">
        <f t="shared" ref="O58:O62" si="469">AO58+AB58</f>
        <v>0</v>
      </c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D58" s="646">
        <f t="shared" ref="AD58:AD62" si="470">AQ58+BD58+BQ58+CD58+CQ58</f>
        <v>0</v>
      </c>
      <c r="AE58" s="15">
        <f t="shared" ref="AE58:AE62" si="471">AR58+BE58+BR58+CE58+CR58</f>
        <v>0</v>
      </c>
      <c r="AF58" s="15">
        <f t="shared" ref="AF58:AF62" si="472">AS58+BF58+BS58+CF58+CS58</f>
        <v>0</v>
      </c>
      <c r="AG58" s="15">
        <f t="shared" ref="AG58:AG62" si="473">AT58+BG58+BT58+CG58+CT58</f>
        <v>0</v>
      </c>
      <c r="AH58" s="15">
        <f t="shared" ref="AH58:AH62" si="474">AU58+BH58+BU58+CH58+CU58</f>
        <v>0</v>
      </c>
      <c r="AI58" s="15">
        <f t="shared" ref="AI58:AI62" si="475">AV58+BI58+BV58+CI58+CV58</f>
        <v>0</v>
      </c>
      <c r="AJ58" s="15">
        <f t="shared" ref="AJ58:AJ62" si="476">AW58+BJ58+BW58+CJ58+CW58</f>
        <v>0</v>
      </c>
      <c r="AK58" s="15">
        <f t="shared" ref="AK58:AK62" si="477">AX58+BK58+BX58+CK58+CX58</f>
        <v>0</v>
      </c>
      <c r="AL58" s="15">
        <f t="shared" ref="AL58:AL62" si="478">AY58+BL58+BY58+CL58+CY58</f>
        <v>0</v>
      </c>
      <c r="AM58" s="15">
        <f t="shared" ref="AM58:AM62" si="479">AZ58+BM58+BZ58+CM58+CZ58</f>
        <v>0</v>
      </c>
      <c r="AN58" s="15">
        <f t="shared" ref="AN58:AN62" si="480">BA58+BN58+CA58+CN58+DA58</f>
        <v>0</v>
      </c>
      <c r="AO58" s="647">
        <f t="shared" ref="AO58:AO62" si="481">BB58+BO58+CB58+CO58+DB58</f>
        <v>0</v>
      </c>
      <c r="AQ58" s="15">
        <f>SUMIFS('BS-KH26-DTR'!D$2:D$116,'BS-KH26-DTR'!$B$2:$B$116,$A58)</f>
        <v>0</v>
      </c>
      <c r="AR58" s="15">
        <f>SUMIFS('BS-KH26-DTR'!E$2:E$116,'BS-KH26-DTR'!$B$2:$B$116,$A58)</f>
        <v>0</v>
      </c>
      <c r="AS58" s="15">
        <f>SUMIFS('BS-KH26-DTR'!F$2:F$116,'BS-KH26-DTR'!$B$2:$B$116,$A58)</f>
        <v>0</v>
      </c>
      <c r="AT58" s="15">
        <f>SUMIFS('BS-KH26-DTR'!G$2:G$116,'BS-KH26-DTR'!$B$2:$B$116,$A58)</f>
        <v>0</v>
      </c>
      <c r="AU58" s="15">
        <f>SUMIFS('BS-KH26-DTR'!H$2:H$116,'BS-KH26-DTR'!$B$2:$B$116,$A58)</f>
        <v>0</v>
      </c>
      <c r="AV58" s="15">
        <f>SUMIFS('BS-KH26-DTR'!I$2:I$116,'BS-KH26-DTR'!$B$2:$B$116,$A58)</f>
        <v>0</v>
      </c>
      <c r="AW58" s="15">
        <f>SUMIFS('BS-KH26-DTR'!J$2:J$116,'BS-KH26-DTR'!$B$2:$B$116,$A58)</f>
        <v>0</v>
      </c>
      <c r="AX58" s="15">
        <f>SUMIFS('BS-KH26-DTR'!K$2:K$116,'BS-KH26-DTR'!$B$2:$B$116,$A58)</f>
        <v>0</v>
      </c>
      <c r="AY58" s="15">
        <f>SUMIFS('BS-KH26-DTR'!L$2:L$116,'BS-KH26-DTR'!$B$2:$B$116,$A58)</f>
        <v>0</v>
      </c>
      <c r="AZ58" s="15">
        <f>SUMIFS('BS-KH26-DTR'!M$2:M$116,'BS-KH26-DTR'!$B$2:$B$116,$A58)</f>
        <v>0</v>
      </c>
      <c r="BA58" s="15">
        <f>SUMIFS('BS-KH26-DTR'!N$2:N$116,'BS-KH26-DTR'!$B$2:$B$116,$A58)</f>
        <v>0</v>
      </c>
      <c r="BB58" s="15">
        <f>SUMIFS('BS-KH26-DTR'!O$2:O$116,'BS-KH26-DTR'!$B$2:$B$116,$A58)</f>
        <v>0</v>
      </c>
      <c r="BD58" s="15">
        <f>SUMIFS('BS-KH26-DongLam'!M$2:M$51,'BS-KH26-DongLam'!$A$2:$A$51,'Consol BS-DTRG'!$A58)</f>
        <v>0</v>
      </c>
      <c r="BE58" s="15">
        <f>SUMIFS('BS-KH26-DongLam'!N$2:N$51,'BS-KH26-DongLam'!$A$2:$A$51,'Consol BS-DTRG'!$A58)</f>
        <v>0</v>
      </c>
      <c r="BF58" s="15">
        <f>SUMIFS('BS-KH26-DongLam'!O$2:O$51,'BS-KH26-DongLam'!$A$2:$A$51,'Consol BS-DTRG'!$A58)</f>
        <v>0</v>
      </c>
      <c r="BG58" s="15">
        <f>SUMIFS('BS-KH26-DongLam'!P$2:P$51,'BS-KH26-DongLam'!$A$2:$A$51,'Consol BS-DTRG'!$A58)</f>
        <v>0</v>
      </c>
      <c r="BH58" s="15">
        <f>SUMIFS('BS-KH26-DongLam'!Q$2:Q$51,'BS-KH26-DongLam'!$A$2:$A$51,'Consol BS-DTRG'!$A58)</f>
        <v>0</v>
      </c>
      <c r="BI58" s="15">
        <f>SUMIFS('BS-KH26-DongLam'!R$2:R$51,'BS-KH26-DongLam'!$A$2:$A$51,'Consol BS-DTRG'!$A58)</f>
        <v>0</v>
      </c>
      <c r="BJ58" s="15">
        <f>SUMIFS('BS-KH26-DongLam'!S$2:S$51,'BS-KH26-DongLam'!$A$2:$A$51,'Consol BS-DTRG'!$A58)</f>
        <v>0</v>
      </c>
      <c r="BK58" s="15">
        <f>SUMIFS('BS-KH26-DongLam'!T$2:T$51,'BS-KH26-DongLam'!$A$2:$A$51,'Consol BS-DTRG'!$A58)</f>
        <v>0</v>
      </c>
      <c r="BL58" s="15">
        <f>SUMIFS('BS-KH26-DongLam'!U$2:U$51,'BS-KH26-DongLam'!$A$2:$A$51,'Consol BS-DTRG'!$A58)</f>
        <v>0</v>
      </c>
      <c r="BM58" s="15">
        <f>SUMIFS('BS-KH26-DongLam'!V$2:V$51,'BS-KH26-DongLam'!$A$2:$A$51,'Consol BS-DTRG'!$A58)</f>
        <v>0</v>
      </c>
      <c r="BN58" s="15">
        <f>SUMIFS('BS-KH26-DongLam'!W$2:W$51,'BS-KH26-DongLam'!$A$2:$A$51,'Consol BS-DTRG'!$A58)</f>
        <v>0</v>
      </c>
      <c r="BO58" s="15">
        <f>SUMIFS('BS-KH26-DongLam'!X$2:X$51,'BS-KH26-DongLam'!$A$2:$A$51,'Consol BS-DTRG'!$A58)</f>
        <v>0</v>
      </c>
      <c r="BQ58" s="15">
        <f>SUMIFS('BS-KH26-KhanhNga'!M$2:M$51,'BS-KH26-KhanhNga'!$A$2:$A$51,'Consol BS-DTRG'!$A58)</f>
        <v>0</v>
      </c>
      <c r="BR58" s="15">
        <f>SUMIFS('BS-KH26-KhanhNga'!N$2:N$51,'BS-KH26-KhanhNga'!$A$2:$A$51,'Consol BS-DTRG'!$A58)</f>
        <v>0</v>
      </c>
      <c r="BS58" s="15">
        <f>SUMIFS('BS-KH26-KhanhNga'!O$2:O$51,'BS-KH26-KhanhNga'!$A$2:$A$51,'Consol BS-DTRG'!$A58)</f>
        <v>0</v>
      </c>
      <c r="BT58" s="15">
        <f>SUMIFS('BS-KH26-KhanhNga'!P$2:P$51,'BS-KH26-KhanhNga'!$A$2:$A$51,'Consol BS-DTRG'!$A58)</f>
        <v>0</v>
      </c>
      <c r="BU58" s="15">
        <f>SUMIFS('BS-KH26-KhanhNga'!Q$2:Q$51,'BS-KH26-KhanhNga'!$A$2:$A$51,'Consol BS-DTRG'!$A58)</f>
        <v>0</v>
      </c>
      <c r="BV58" s="15">
        <f>SUMIFS('BS-KH26-KhanhNga'!R$2:R$51,'BS-KH26-KhanhNga'!$A$2:$A$51,'Consol BS-DTRG'!$A58)</f>
        <v>0</v>
      </c>
      <c r="BW58" s="15">
        <f>SUMIFS('BS-KH26-KhanhNga'!S$2:S$51,'BS-KH26-KhanhNga'!$A$2:$A$51,'Consol BS-DTRG'!$A58)</f>
        <v>0</v>
      </c>
      <c r="BX58" s="15">
        <f>SUMIFS('BS-KH26-KhanhNga'!T$2:T$51,'BS-KH26-KhanhNga'!$A$2:$A$51,'Consol BS-DTRG'!$A58)</f>
        <v>0</v>
      </c>
      <c r="BY58" s="15">
        <f>SUMIFS('BS-KH26-KhanhNga'!U$2:U$51,'BS-KH26-KhanhNga'!$A$2:$A$51,'Consol BS-DTRG'!$A58)</f>
        <v>0</v>
      </c>
      <c r="BZ58" s="15">
        <f>SUMIFS('BS-KH26-KhanhNga'!V$2:V$51,'BS-KH26-KhanhNga'!$A$2:$A$51,'Consol BS-DTRG'!$A58)</f>
        <v>0</v>
      </c>
      <c r="CA58" s="15">
        <f>SUMIFS('BS-KH26-KhanhNga'!W$2:W$51,'BS-KH26-KhanhNga'!$A$2:$A$51,'Consol BS-DTRG'!$A58)</f>
        <v>0</v>
      </c>
      <c r="CB58" s="15">
        <f>SUMIFS('BS-KH26-KhanhNga'!X$2:X$51,'BS-KH26-KhanhNga'!$A$2:$A$51,'Consol BS-DTRG'!$A58)</f>
        <v>0</v>
      </c>
      <c r="CD58" s="15">
        <f>SUMIFS('BS-KH26-DaiLoc'!M$2:M$51,'BS-KH26-DaiLoc'!$A$2:$A$51,'Consol BS-DTRG'!$A58)</f>
        <v>0</v>
      </c>
      <c r="CE58" s="15">
        <f>SUMIFS('BS-KH26-DaiLoc'!N$2:N$51,'BS-KH26-DaiLoc'!$A$2:$A$51,'Consol BS-DTRG'!$A58)</f>
        <v>0</v>
      </c>
      <c r="CF58" s="15">
        <f>SUMIFS('BS-KH26-DaiLoc'!O$2:O$51,'BS-KH26-DaiLoc'!$A$2:$A$51,'Consol BS-DTRG'!$A58)</f>
        <v>0</v>
      </c>
      <c r="CG58" s="15">
        <f>SUMIFS('BS-KH26-DaiLoc'!P$2:P$51,'BS-KH26-DaiLoc'!$A$2:$A$51,'Consol BS-DTRG'!$A58)</f>
        <v>0</v>
      </c>
      <c r="CH58" s="15">
        <f>SUMIFS('BS-KH26-DaiLoc'!Q$2:Q$51,'BS-KH26-DaiLoc'!$A$2:$A$51,'Consol BS-DTRG'!$A58)</f>
        <v>0</v>
      </c>
      <c r="CI58" s="15">
        <f>SUMIFS('BS-KH26-DaiLoc'!R$2:R$51,'BS-KH26-DaiLoc'!$A$2:$A$51,'Consol BS-DTRG'!$A58)</f>
        <v>0</v>
      </c>
      <c r="CJ58" s="15">
        <f>SUMIFS('BS-KH26-DaiLoc'!S$2:S$51,'BS-KH26-DaiLoc'!$A$2:$A$51,'Consol BS-DTRG'!$A58)</f>
        <v>0</v>
      </c>
      <c r="CK58" s="15">
        <f>SUMIFS('BS-KH26-DaiLoc'!T$2:T$51,'BS-KH26-DaiLoc'!$A$2:$A$51,'Consol BS-DTRG'!$A58)</f>
        <v>0</v>
      </c>
      <c r="CL58" s="15">
        <f>SUMIFS('BS-KH26-DaiLoc'!U$2:U$51,'BS-KH26-DaiLoc'!$A$2:$A$51,'Consol BS-DTRG'!$A58)</f>
        <v>0</v>
      </c>
      <c r="CM58" s="15">
        <f>SUMIFS('BS-KH26-DaiLoc'!V$2:V$51,'BS-KH26-DaiLoc'!$A$2:$A$51,'Consol BS-DTRG'!$A58)</f>
        <v>0</v>
      </c>
      <c r="CN58" s="15">
        <f>SUMIFS('BS-KH26-DaiLoc'!W$2:W$51,'BS-KH26-DaiLoc'!$A$2:$A$51,'Consol BS-DTRG'!$A58)</f>
        <v>0</v>
      </c>
      <c r="CO58" s="15">
        <f>SUMIFS('BS-KH26-DaiLoc'!X$2:X$51,'BS-KH26-DaiLoc'!$A$2:$A$51,'Consol BS-DTRG'!$A58)</f>
        <v>0</v>
      </c>
      <c r="CQ58" s="15">
        <v>0</v>
      </c>
      <c r="CR58" s="15">
        <f t="shared" ref="CR58:DB62" si="482">CQ58</f>
        <v>0</v>
      </c>
      <c r="CS58" s="15">
        <f t="shared" si="482"/>
        <v>0</v>
      </c>
      <c r="CT58" s="15">
        <f t="shared" si="482"/>
        <v>0</v>
      </c>
      <c r="CU58" s="15">
        <f t="shared" si="482"/>
        <v>0</v>
      </c>
      <c r="CV58" s="15">
        <f t="shared" si="482"/>
        <v>0</v>
      </c>
      <c r="CW58" s="15">
        <f t="shared" si="482"/>
        <v>0</v>
      </c>
      <c r="CX58" s="15">
        <f t="shared" si="482"/>
        <v>0</v>
      </c>
      <c r="CY58" s="15">
        <f t="shared" si="482"/>
        <v>0</v>
      </c>
      <c r="CZ58" s="15">
        <f t="shared" si="482"/>
        <v>0</v>
      </c>
      <c r="DA58" s="15">
        <f t="shared" si="482"/>
        <v>0</v>
      </c>
      <c r="DB58" s="15">
        <f t="shared" si="482"/>
        <v>0</v>
      </c>
    </row>
    <row r="59" spans="1:106" hidden="1" outlineLevel="1">
      <c r="A59" s="633">
        <v>56</v>
      </c>
      <c r="B59" s="621" t="s">
        <v>309</v>
      </c>
      <c r="C59" t="s">
        <v>518</v>
      </c>
      <c r="D59" s="15">
        <f t="shared" si="458"/>
        <v>0</v>
      </c>
      <c r="E59" s="15">
        <f t="shared" si="459"/>
        <v>0</v>
      </c>
      <c r="F59" s="15">
        <f t="shared" si="460"/>
        <v>0</v>
      </c>
      <c r="G59" s="15">
        <f t="shared" si="461"/>
        <v>0</v>
      </c>
      <c r="H59" s="15">
        <f t="shared" si="462"/>
        <v>0</v>
      </c>
      <c r="I59" s="15">
        <f t="shared" si="463"/>
        <v>0</v>
      </c>
      <c r="J59" s="15">
        <f t="shared" si="464"/>
        <v>0</v>
      </c>
      <c r="K59" s="15">
        <f t="shared" si="465"/>
        <v>0</v>
      </c>
      <c r="L59" s="15">
        <f t="shared" si="466"/>
        <v>0</v>
      </c>
      <c r="M59" s="15">
        <f t="shared" si="467"/>
        <v>0</v>
      </c>
      <c r="N59" s="15">
        <f t="shared" si="468"/>
        <v>0</v>
      </c>
      <c r="O59" s="15">
        <f t="shared" si="469"/>
        <v>0</v>
      </c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D59" s="646">
        <f t="shared" si="470"/>
        <v>0</v>
      </c>
      <c r="AE59" s="15">
        <f t="shared" si="471"/>
        <v>0</v>
      </c>
      <c r="AF59" s="15">
        <f t="shared" si="472"/>
        <v>0</v>
      </c>
      <c r="AG59" s="15">
        <f t="shared" si="473"/>
        <v>0</v>
      </c>
      <c r="AH59" s="15">
        <f t="shared" si="474"/>
        <v>0</v>
      </c>
      <c r="AI59" s="15">
        <f t="shared" si="475"/>
        <v>0</v>
      </c>
      <c r="AJ59" s="15">
        <f t="shared" si="476"/>
        <v>0</v>
      </c>
      <c r="AK59" s="15">
        <f t="shared" si="477"/>
        <v>0</v>
      </c>
      <c r="AL59" s="15">
        <f t="shared" si="478"/>
        <v>0</v>
      </c>
      <c r="AM59" s="15">
        <f t="shared" si="479"/>
        <v>0</v>
      </c>
      <c r="AN59" s="15">
        <f t="shared" si="480"/>
        <v>0</v>
      </c>
      <c r="AO59" s="647">
        <f t="shared" si="481"/>
        <v>0</v>
      </c>
      <c r="AQ59" s="15">
        <f>SUMIFS('BS-KH26-DTR'!D$2:D$116,'BS-KH26-DTR'!$B$2:$B$116,$A59)</f>
        <v>0</v>
      </c>
      <c r="AR59" s="15">
        <f>SUMIFS('BS-KH26-DTR'!E$2:E$116,'BS-KH26-DTR'!$B$2:$B$116,$A59)</f>
        <v>0</v>
      </c>
      <c r="AS59" s="15">
        <f>SUMIFS('BS-KH26-DTR'!F$2:F$116,'BS-KH26-DTR'!$B$2:$B$116,$A59)</f>
        <v>0</v>
      </c>
      <c r="AT59" s="15">
        <f>SUMIFS('BS-KH26-DTR'!G$2:G$116,'BS-KH26-DTR'!$B$2:$B$116,$A59)</f>
        <v>0</v>
      </c>
      <c r="AU59" s="15">
        <f>SUMIFS('BS-KH26-DTR'!H$2:H$116,'BS-KH26-DTR'!$B$2:$B$116,$A59)</f>
        <v>0</v>
      </c>
      <c r="AV59" s="15">
        <f>SUMIFS('BS-KH26-DTR'!I$2:I$116,'BS-KH26-DTR'!$B$2:$B$116,$A59)</f>
        <v>0</v>
      </c>
      <c r="AW59" s="15">
        <f>SUMIFS('BS-KH26-DTR'!J$2:J$116,'BS-KH26-DTR'!$B$2:$B$116,$A59)</f>
        <v>0</v>
      </c>
      <c r="AX59" s="15">
        <f>SUMIFS('BS-KH26-DTR'!K$2:K$116,'BS-KH26-DTR'!$B$2:$B$116,$A59)</f>
        <v>0</v>
      </c>
      <c r="AY59" s="15">
        <f>SUMIFS('BS-KH26-DTR'!L$2:L$116,'BS-KH26-DTR'!$B$2:$B$116,$A59)</f>
        <v>0</v>
      </c>
      <c r="AZ59" s="15">
        <f>SUMIFS('BS-KH26-DTR'!M$2:M$116,'BS-KH26-DTR'!$B$2:$B$116,$A59)</f>
        <v>0</v>
      </c>
      <c r="BA59" s="15">
        <f>SUMIFS('BS-KH26-DTR'!N$2:N$116,'BS-KH26-DTR'!$B$2:$B$116,$A59)</f>
        <v>0</v>
      </c>
      <c r="BB59" s="15">
        <f>SUMIFS('BS-KH26-DTR'!O$2:O$116,'BS-KH26-DTR'!$B$2:$B$116,$A59)</f>
        <v>0</v>
      </c>
      <c r="BD59" s="15">
        <f>SUMIFS('BS-KH26-DongLam'!M$2:M$51,'BS-KH26-DongLam'!$A$2:$A$51,'Consol BS-DTRG'!$A59)</f>
        <v>0</v>
      </c>
      <c r="BE59" s="15">
        <f>SUMIFS('BS-KH26-DongLam'!N$2:N$51,'BS-KH26-DongLam'!$A$2:$A$51,'Consol BS-DTRG'!$A59)</f>
        <v>0</v>
      </c>
      <c r="BF59" s="15">
        <f>SUMIFS('BS-KH26-DongLam'!O$2:O$51,'BS-KH26-DongLam'!$A$2:$A$51,'Consol BS-DTRG'!$A59)</f>
        <v>0</v>
      </c>
      <c r="BG59" s="15">
        <f>SUMIFS('BS-KH26-DongLam'!P$2:P$51,'BS-KH26-DongLam'!$A$2:$A$51,'Consol BS-DTRG'!$A59)</f>
        <v>0</v>
      </c>
      <c r="BH59" s="15">
        <f>SUMIFS('BS-KH26-DongLam'!Q$2:Q$51,'BS-KH26-DongLam'!$A$2:$A$51,'Consol BS-DTRG'!$A59)</f>
        <v>0</v>
      </c>
      <c r="BI59" s="15">
        <f>SUMIFS('BS-KH26-DongLam'!R$2:R$51,'BS-KH26-DongLam'!$A$2:$A$51,'Consol BS-DTRG'!$A59)</f>
        <v>0</v>
      </c>
      <c r="BJ59" s="15">
        <f>SUMIFS('BS-KH26-DongLam'!S$2:S$51,'BS-KH26-DongLam'!$A$2:$A$51,'Consol BS-DTRG'!$A59)</f>
        <v>0</v>
      </c>
      <c r="BK59" s="15">
        <f>SUMIFS('BS-KH26-DongLam'!T$2:T$51,'BS-KH26-DongLam'!$A$2:$A$51,'Consol BS-DTRG'!$A59)</f>
        <v>0</v>
      </c>
      <c r="BL59" s="15">
        <f>SUMIFS('BS-KH26-DongLam'!U$2:U$51,'BS-KH26-DongLam'!$A$2:$A$51,'Consol BS-DTRG'!$A59)</f>
        <v>0</v>
      </c>
      <c r="BM59" s="15">
        <f>SUMIFS('BS-KH26-DongLam'!V$2:V$51,'BS-KH26-DongLam'!$A$2:$A$51,'Consol BS-DTRG'!$A59)</f>
        <v>0</v>
      </c>
      <c r="BN59" s="15">
        <f>SUMIFS('BS-KH26-DongLam'!W$2:W$51,'BS-KH26-DongLam'!$A$2:$A$51,'Consol BS-DTRG'!$A59)</f>
        <v>0</v>
      </c>
      <c r="BO59" s="15">
        <f>SUMIFS('BS-KH26-DongLam'!X$2:X$51,'BS-KH26-DongLam'!$A$2:$A$51,'Consol BS-DTRG'!$A59)</f>
        <v>0</v>
      </c>
      <c r="BQ59" s="15">
        <f>SUMIFS('BS-KH26-KhanhNga'!M$2:M$51,'BS-KH26-KhanhNga'!$A$2:$A$51,'Consol BS-DTRG'!$A59)</f>
        <v>0</v>
      </c>
      <c r="BR59" s="15">
        <f>SUMIFS('BS-KH26-KhanhNga'!N$2:N$51,'BS-KH26-KhanhNga'!$A$2:$A$51,'Consol BS-DTRG'!$A59)</f>
        <v>0</v>
      </c>
      <c r="BS59" s="15">
        <f>SUMIFS('BS-KH26-KhanhNga'!O$2:O$51,'BS-KH26-KhanhNga'!$A$2:$A$51,'Consol BS-DTRG'!$A59)</f>
        <v>0</v>
      </c>
      <c r="BT59" s="15">
        <f>SUMIFS('BS-KH26-KhanhNga'!P$2:P$51,'BS-KH26-KhanhNga'!$A$2:$A$51,'Consol BS-DTRG'!$A59)</f>
        <v>0</v>
      </c>
      <c r="BU59" s="15">
        <f>SUMIFS('BS-KH26-KhanhNga'!Q$2:Q$51,'BS-KH26-KhanhNga'!$A$2:$A$51,'Consol BS-DTRG'!$A59)</f>
        <v>0</v>
      </c>
      <c r="BV59" s="15">
        <f>SUMIFS('BS-KH26-KhanhNga'!R$2:R$51,'BS-KH26-KhanhNga'!$A$2:$A$51,'Consol BS-DTRG'!$A59)</f>
        <v>0</v>
      </c>
      <c r="BW59" s="15">
        <f>SUMIFS('BS-KH26-KhanhNga'!S$2:S$51,'BS-KH26-KhanhNga'!$A$2:$A$51,'Consol BS-DTRG'!$A59)</f>
        <v>0</v>
      </c>
      <c r="BX59" s="15">
        <f>SUMIFS('BS-KH26-KhanhNga'!T$2:T$51,'BS-KH26-KhanhNga'!$A$2:$A$51,'Consol BS-DTRG'!$A59)</f>
        <v>0</v>
      </c>
      <c r="BY59" s="15">
        <f>SUMIFS('BS-KH26-KhanhNga'!U$2:U$51,'BS-KH26-KhanhNga'!$A$2:$A$51,'Consol BS-DTRG'!$A59)</f>
        <v>0</v>
      </c>
      <c r="BZ59" s="15">
        <f>SUMIFS('BS-KH26-KhanhNga'!V$2:V$51,'BS-KH26-KhanhNga'!$A$2:$A$51,'Consol BS-DTRG'!$A59)</f>
        <v>0</v>
      </c>
      <c r="CA59" s="15">
        <f>SUMIFS('BS-KH26-KhanhNga'!W$2:W$51,'BS-KH26-KhanhNga'!$A$2:$A$51,'Consol BS-DTRG'!$A59)</f>
        <v>0</v>
      </c>
      <c r="CB59" s="15">
        <f>SUMIFS('BS-KH26-KhanhNga'!X$2:X$51,'BS-KH26-KhanhNga'!$A$2:$A$51,'Consol BS-DTRG'!$A59)</f>
        <v>0</v>
      </c>
      <c r="CD59" s="15">
        <f>SUMIFS('BS-KH26-DaiLoc'!M$2:M$51,'BS-KH26-DaiLoc'!$A$2:$A$51,'Consol BS-DTRG'!$A59)</f>
        <v>0</v>
      </c>
      <c r="CE59" s="15">
        <f>SUMIFS('BS-KH26-DaiLoc'!N$2:N$51,'BS-KH26-DaiLoc'!$A$2:$A$51,'Consol BS-DTRG'!$A59)</f>
        <v>0</v>
      </c>
      <c r="CF59" s="15">
        <f>SUMIFS('BS-KH26-DaiLoc'!O$2:O$51,'BS-KH26-DaiLoc'!$A$2:$A$51,'Consol BS-DTRG'!$A59)</f>
        <v>0</v>
      </c>
      <c r="CG59" s="15">
        <f>SUMIFS('BS-KH26-DaiLoc'!P$2:P$51,'BS-KH26-DaiLoc'!$A$2:$A$51,'Consol BS-DTRG'!$A59)</f>
        <v>0</v>
      </c>
      <c r="CH59" s="15">
        <f>SUMIFS('BS-KH26-DaiLoc'!Q$2:Q$51,'BS-KH26-DaiLoc'!$A$2:$A$51,'Consol BS-DTRG'!$A59)</f>
        <v>0</v>
      </c>
      <c r="CI59" s="15">
        <f>SUMIFS('BS-KH26-DaiLoc'!R$2:R$51,'BS-KH26-DaiLoc'!$A$2:$A$51,'Consol BS-DTRG'!$A59)</f>
        <v>0</v>
      </c>
      <c r="CJ59" s="15">
        <f>SUMIFS('BS-KH26-DaiLoc'!S$2:S$51,'BS-KH26-DaiLoc'!$A$2:$A$51,'Consol BS-DTRG'!$A59)</f>
        <v>0</v>
      </c>
      <c r="CK59" s="15">
        <f>SUMIFS('BS-KH26-DaiLoc'!T$2:T$51,'BS-KH26-DaiLoc'!$A$2:$A$51,'Consol BS-DTRG'!$A59)</f>
        <v>0</v>
      </c>
      <c r="CL59" s="15">
        <f>SUMIFS('BS-KH26-DaiLoc'!U$2:U$51,'BS-KH26-DaiLoc'!$A$2:$A$51,'Consol BS-DTRG'!$A59)</f>
        <v>0</v>
      </c>
      <c r="CM59" s="15">
        <f>SUMIFS('BS-KH26-DaiLoc'!V$2:V$51,'BS-KH26-DaiLoc'!$A$2:$A$51,'Consol BS-DTRG'!$A59)</f>
        <v>0</v>
      </c>
      <c r="CN59" s="15">
        <f>SUMIFS('BS-KH26-DaiLoc'!W$2:W$51,'BS-KH26-DaiLoc'!$A$2:$A$51,'Consol BS-DTRG'!$A59)</f>
        <v>0</v>
      </c>
      <c r="CO59" s="15">
        <f>SUMIFS('BS-KH26-DaiLoc'!X$2:X$51,'BS-KH26-DaiLoc'!$A$2:$A$51,'Consol BS-DTRG'!$A59)</f>
        <v>0</v>
      </c>
      <c r="CQ59" s="15">
        <v>0</v>
      </c>
      <c r="CR59" s="15">
        <f t="shared" si="482"/>
        <v>0</v>
      </c>
      <c r="CS59" s="15">
        <f t="shared" si="482"/>
        <v>0</v>
      </c>
      <c r="CT59" s="15">
        <f t="shared" si="482"/>
        <v>0</v>
      </c>
      <c r="CU59" s="15">
        <f t="shared" si="482"/>
        <v>0</v>
      </c>
      <c r="CV59" s="15">
        <f t="shared" si="482"/>
        <v>0</v>
      </c>
      <c r="CW59" s="15">
        <f t="shared" si="482"/>
        <v>0</v>
      </c>
      <c r="CX59" s="15">
        <f t="shared" si="482"/>
        <v>0</v>
      </c>
      <c r="CY59" s="15">
        <f t="shared" si="482"/>
        <v>0</v>
      </c>
      <c r="CZ59" s="15">
        <f t="shared" si="482"/>
        <v>0</v>
      </c>
      <c r="DA59" s="15">
        <f t="shared" si="482"/>
        <v>0</v>
      </c>
      <c r="DB59" s="15">
        <f t="shared" si="482"/>
        <v>0</v>
      </c>
    </row>
    <row r="60" spans="1:106" hidden="1" outlineLevel="1">
      <c r="A60" s="633">
        <v>57</v>
      </c>
      <c r="B60" s="620" t="s">
        <v>310</v>
      </c>
      <c r="C60" t="s">
        <v>518</v>
      </c>
      <c r="D60" s="15">
        <f t="shared" si="458"/>
        <v>0</v>
      </c>
      <c r="E60" s="15">
        <f t="shared" si="459"/>
        <v>0</v>
      </c>
      <c r="F60" s="15">
        <f t="shared" si="460"/>
        <v>0</v>
      </c>
      <c r="G60" s="15">
        <f t="shared" si="461"/>
        <v>0</v>
      </c>
      <c r="H60" s="15">
        <f t="shared" si="462"/>
        <v>0</v>
      </c>
      <c r="I60" s="15">
        <f t="shared" si="463"/>
        <v>0</v>
      </c>
      <c r="J60" s="15">
        <f t="shared" si="464"/>
        <v>0</v>
      </c>
      <c r="K60" s="15">
        <f t="shared" si="465"/>
        <v>0</v>
      </c>
      <c r="L60" s="15">
        <f t="shared" si="466"/>
        <v>0</v>
      </c>
      <c r="M60" s="15">
        <f t="shared" si="467"/>
        <v>0</v>
      </c>
      <c r="N60" s="15">
        <f t="shared" si="468"/>
        <v>0</v>
      </c>
      <c r="O60" s="15">
        <f t="shared" si="469"/>
        <v>0</v>
      </c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D60" s="646">
        <f t="shared" si="470"/>
        <v>0</v>
      </c>
      <c r="AE60" s="15">
        <f t="shared" si="471"/>
        <v>0</v>
      </c>
      <c r="AF60" s="15">
        <f t="shared" si="472"/>
        <v>0</v>
      </c>
      <c r="AG60" s="15">
        <f t="shared" si="473"/>
        <v>0</v>
      </c>
      <c r="AH60" s="15">
        <f t="shared" si="474"/>
        <v>0</v>
      </c>
      <c r="AI60" s="15">
        <f t="shared" si="475"/>
        <v>0</v>
      </c>
      <c r="AJ60" s="15">
        <f t="shared" si="476"/>
        <v>0</v>
      </c>
      <c r="AK60" s="15">
        <f t="shared" si="477"/>
        <v>0</v>
      </c>
      <c r="AL60" s="15">
        <f t="shared" si="478"/>
        <v>0</v>
      </c>
      <c r="AM60" s="15">
        <f t="shared" si="479"/>
        <v>0</v>
      </c>
      <c r="AN60" s="15">
        <f t="shared" si="480"/>
        <v>0</v>
      </c>
      <c r="AO60" s="647">
        <f t="shared" si="481"/>
        <v>0</v>
      </c>
      <c r="AQ60" s="15">
        <f>SUMIFS('BS-KH26-DTR'!D$2:D$116,'BS-KH26-DTR'!$B$2:$B$116,$A60)</f>
        <v>0</v>
      </c>
      <c r="AR60" s="15">
        <f>SUMIFS('BS-KH26-DTR'!E$2:E$116,'BS-KH26-DTR'!$B$2:$B$116,$A60)</f>
        <v>0</v>
      </c>
      <c r="AS60" s="15">
        <f>SUMIFS('BS-KH26-DTR'!F$2:F$116,'BS-KH26-DTR'!$B$2:$B$116,$A60)</f>
        <v>0</v>
      </c>
      <c r="AT60" s="15">
        <f>SUMIFS('BS-KH26-DTR'!G$2:G$116,'BS-KH26-DTR'!$B$2:$B$116,$A60)</f>
        <v>0</v>
      </c>
      <c r="AU60" s="15">
        <f>SUMIFS('BS-KH26-DTR'!H$2:H$116,'BS-KH26-DTR'!$B$2:$B$116,$A60)</f>
        <v>0</v>
      </c>
      <c r="AV60" s="15">
        <f>SUMIFS('BS-KH26-DTR'!I$2:I$116,'BS-KH26-DTR'!$B$2:$B$116,$A60)</f>
        <v>0</v>
      </c>
      <c r="AW60" s="15">
        <f>SUMIFS('BS-KH26-DTR'!J$2:J$116,'BS-KH26-DTR'!$B$2:$B$116,$A60)</f>
        <v>0</v>
      </c>
      <c r="AX60" s="15">
        <f>SUMIFS('BS-KH26-DTR'!K$2:K$116,'BS-KH26-DTR'!$B$2:$B$116,$A60)</f>
        <v>0</v>
      </c>
      <c r="AY60" s="15">
        <f>SUMIFS('BS-KH26-DTR'!L$2:L$116,'BS-KH26-DTR'!$B$2:$B$116,$A60)</f>
        <v>0</v>
      </c>
      <c r="AZ60" s="15">
        <f>SUMIFS('BS-KH26-DTR'!M$2:M$116,'BS-KH26-DTR'!$B$2:$B$116,$A60)</f>
        <v>0</v>
      </c>
      <c r="BA60" s="15">
        <f>SUMIFS('BS-KH26-DTR'!N$2:N$116,'BS-KH26-DTR'!$B$2:$B$116,$A60)</f>
        <v>0</v>
      </c>
      <c r="BB60" s="15">
        <f>SUMIFS('BS-KH26-DTR'!O$2:O$116,'BS-KH26-DTR'!$B$2:$B$116,$A60)</f>
        <v>0</v>
      </c>
      <c r="BD60" s="15">
        <f>SUMIFS('BS-KH26-DongLam'!M$2:M$51,'BS-KH26-DongLam'!$A$2:$A$51,'Consol BS-DTRG'!$A60)</f>
        <v>0</v>
      </c>
      <c r="BE60" s="15">
        <f>SUMIFS('BS-KH26-DongLam'!N$2:N$51,'BS-KH26-DongLam'!$A$2:$A$51,'Consol BS-DTRG'!$A60)</f>
        <v>0</v>
      </c>
      <c r="BF60" s="15">
        <f>SUMIFS('BS-KH26-DongLam'!O$2:O$51,'BS-KH26-DongLam'!$A$2:$A$51,'Consol BS-DTRG'!$A60)</f>
        <v>0</v>
      </c>
      <c r="BG60" s="15">
        <f>SUMIFS('BS-KH26-DongLam'!P$2:P$51,'BS-KH26-DongLam'!$A$2:$A$51,'Consol BS-DTRG'!$A60)</f>
        <v>0</v>
      </c>
      <c r="BH60" s="15">
        <f>SUMIFS('BS-KH26-DongLam'!Q$2:Q$51,'BS-KH26-DongLam'!$A$2:$A$51,'Consol BS-DTRG'!$A60)</f>
        <v>0</v>
      </c>
      <c r="BI60" s="15">
        <f>SUMIFS('BS-KH26-DongLam'!R$2:R$51,'BS-KH26-DongLam'!$A$2:$A$51,'Consol BS-DTRG'!$A60)</f>
        <v>0</v>
      </c>
      <c r="BJ60" s="15">
        <f>SUMIFS('BS-KH26-DongLam'!S$2:S$51,'BS-KH26-DongLam'!$A$2:$A$51,'Consol BS-DTRG'!$A60)</f>
        <v>0</v>
      </c>
      <c r="BK60" s="15">
        <f>SUMIFS('BS-KH26-DongLam'!T$2:T$51,'BS-KH26-DongLam'!$A$2:$A$51,'Consol BS-DTRG'!$A60)</f>
        <v>0</v>
      </c>
      <c r="BL60" s="15">
        <f>SUMIFS('BS-KH26-DongLam'!U$2:U$51,'BS-KH26-DongLam'!$A$2:$A$51,'Consol BS-DTRG'!$A60)</f>
        <v>0</v>
      </c>
      <c r="BM60" s="15">
        <f>SUMIFS('BS-KH26-DongLam'!V$2:V$51,'BS-KH26-DongLam'!$A$2:$A$51,'Consol BS-DTRG'!$A60)</f>
        <v>0</v>
      </c>
      <c r="BN60" s="15">
        <f>SUMIFS('BS-KH26-DongLam'!W$2:W$51,'BS-KH26-DongLam'!$A$2:$A$51,'Consol BS-DTRG'!$A60)</f>
        <v>0</v>
      </c>
      <c r="BO60" s="15">
        <f>SUMIFS('BS-KH26-DongLam'!X$2:X$51,'BS-KH26-DongLam'!$A$2:$A$51,'Consol BS-DTRG'!$A60)</f>
        <v>0</v>
      </c>
      <c r="BQ60" s="15">
        <f>SUMIFS('BS-KH26-KhanhNga'!M$2:M$51,'BS-KH26-KhanhNga'!$A$2:$A$51,'Consol BS-DTRG'!$A60)</f>
        <v>0</v>
      </c>
      <c r="BR60" s="15">
        <f>SUMIFS('BS-KH26-KhanhNga'!N$2:N$51,'BS-KH26-KhanhNga'!$A$2:$A$51,'Consol BS-DTRG'!$A60)</f>
        <v>0</v>
      </c>
      <c r="BS60" s="15">
        <f>SUMIFS('BS-KH26-KhanhNga'!O$2:O$51,'BS-KH26-KhanhNga'!$A$2:$A$51,'Consol BS-DTRG'!$A60)</f>
        <v>0</v>
      </c>
      <c r="BT60" s="15">
        <f>SUMIFS('BS-KH26-KhanhNga'!P$2:P$51,'BS-KH26-KhanhNga'!$A$2:$A$51,'Consol BS-DTRG'!$A60)</f>
        <v>0</v>
      </c>
      <c r="BU60" s="15">
        <f>SUMIFS('BS-KH26-KhanhNga'!Q$2:Q$51,'BS-KH26-KhanhNga'!$A$2:$A$51,'Consol BS-DTRG'!$A60)</f>
        <v>0</v>
      </c>
      <c r="BV60" s="15">
        <f>SUMIFS('BS-KH26-KhanhNga'!R$2:R$51,'BS-KH26-KhanhNga'!$A$2:$A$51,'Consol BS-DTRG'!$A60)</f>
        <v>0</v>
      </c>
      <c r="BW60" s="15">
        <f>SUMIFS('BS-KH26-KhanhNga'!S$2:S$51,'BS-KH26-KhanhNga'!$A$2:$A$51,'Consol BS-DTRG'!$A60)</f>
        <v>0</v>
      </c>
      <c r="BX60" s="15">
        <f>SUMIFS('BS-KH26-KhanhNga'!T$2:T$51,'BS-KH26-KhanhNga'!$A$2:$A$51,'Consol BS-DTRG'!$A60)</f>
        <v>0</v>
      </c>
      <c r="BY60" s="15">
        <f>SUMIFS('BS-KH26-KhanhNga'!U$2:U$51,'BS-KH26-KhanhNga'!$A$2:$A$51,'Consol BS-DTRG'!$A60)</f>
        <v>0</v>
      </c>
      <c r="BZ60" s="15">
        <f>SUMIFS('BS-KH26-KhanhNga'!V$2:V$51,'BS-KH26-KhanhNga'!$A$2:$A$51,'Consol BS-DTRG'!$A60)</f>
        <v>0</v>
      </c>
      <c r="CA60" s="15">
        <f>SUMIFS('BS-KH26-KhanhNga'!W$2:W$51,'BS-KH26-KhanhNga'!$A$2:$A$51,'Consol BS-DTRG'!$A60)</f>
        <v>0</v>
      </c>
      <c r="CB60" s="15">
        <f>SUMIFS('BS-KH26-KhanhNga'!X$2:X$51,'BS-KH26-KhanhNga'!$A$2:$A$51,'Consol BS-DTRG'!$A60)</f>
        <v>0</v>
      </c>
      <c r="CD60" s="15">
        <f>SUMIFS('BS-KH26-DaiLoc'!M$2:M$51,'BS-KH26-DaiLoc'!$A$2:$A$51,'Consol BS-DTRG'!$A60)</f>
        <v>0</v>
      </c>
      <c r="CE60" s="15">
        <f>SUMIFS('BS-KH26-DaiLoc'!N$2:N$51,'BS-KH26-DaiLoc'!$A$2:$A$51,'Consol BS-DTRG'!$A60)</f>
        <v>0</v>
      </c>
      <c r="CF60" s="15">
        <f>SUMIFS('BS-KH26-DaiLoc'!O$2:O$51,'BS-KH26-DaiLoc'!$A$2:$A$51,'Consol BS-DTRG'!$A60)</f>
        <v>0</v>
      </c>
      <c r="CG60" s="15">
        <f>SUMIFS('BS-KH26-DaiLoc'!P$2:P$51,'BS-KH26-DaiLoc'!$A$2:$A$51,'Consol BS-DTRG'!$A60)</f>
        <v>0</v>
      </c>
      <c r="CH60" s="15">
        <f>SUMIFS('BS-KH26-DaiLoc'!Q$2:Q$51,'BS-KH26-DaiLoc'!$A$2:$A$51,'Consol BS-DTRG'!$A60)</f>
        <v>0</v>
      </c>
      <c r="CI60" s="15">
        <f>SUMIFS('BS-KH26-DaiLoc'!R$2:R$51,'BS-KH26-DaiLoc'!$A$2:$A$51,'Consol BS-DTRG'!$A60)</f>
        <v>0</v>
      </c>
      <c r="CJ60" s="15">
        <f>SUMIFS('BS-KH26-DaiLoc'!S$2:S$51,'BS-KH26-DaiLoc'!$A$2:$A$51,'Consol BS-DTRG'!$A60)</f>
        <v>0</v>
      </c>
      <c r="CK60" s="15">
        <f>SUMIFS('BS-KH26-DaiLoc'!T$2:T$51,'BS-KH26-DaiLoc'!$A$2:$A$51,'Consol BS-DTRG'!$A60)</f>
        <v>0</v>
      </c>
      <c r="CL60" s="15">
        <f>SUMIFS('BS-KH26-DaiLoc'!U$2:U$51,'BS-KH26-DaiLoc'!$A$2:$A$51,'Consol BS-DTRG'!$A60)</f>
        <v>0</v>
      </c>
      <c r="CM60" s="15">
        <f>SUMIFS('BS-KH26-DaiLoc'!V$2:V$51,'BS-KH26-DaiLoc'!$A$2:$A$51,'Consol BS-DTRG'!$A60)</f>
        <v>0</v>
      </c>
      <c r="CN60" s="15">
        <f>SUMIFS('BS-KH26-DaiLoc'!W$2:W$51,'BS-KH26-DaiLoc'!$A$2:$A$51,'Consol BS-DTRG'!$A60)</f>
        <v>0</v>
      </c>
      <c r="CO60" s="15">
        <f>SUMIFS('BS-KH26-DaiLoc'!X$2:X$51,'BS-KH26-DaiLoc'!$A$2:$A$51,'Consol BS-DTRG'!$A60)</f>
        <v>0</v>
      </c>
      <c r="CQ60" s="15">
        <v>0</v>
      </c>
      <c r="CR60" s="15">
        <f t="shared" si="482"/>
        <v>0</v>
      </c>
      <c r="CS60" s="15">
        <f t="shared" si="482"/>
        <v>0</v>
      </c>
      <c r="CT60" s="15">
        <f t="shared" si="482"/>
        <v>0</v>
      </c>
      <c r="CU60" s="15">
        <f t="shared" si="482"/>
        <v>0</v>
      </c>
      <c r="CV60" s="15">
        <f t="shared" si="482"/>
        <v>0</v>
      </c>
      <c r="CW60" s="15">
        <f t="shared" si="482"/>
        <v>0</v>
      </c>
      <c r="CX60" s="15">
        <f t="shared" si="482"/>
        <v>0</v>
      </c>
      <c r="CY60" s="15">
        <f t="shared" si="482"/>
        <v>0</v>
      </c>
      <c r="CZ60" s="15">
        <f t="shared" si="482"/>
        <v>0</v>
      </c>
      <c r="DA60" s="15">
        <f t="shared" si="482"/>
        <v>0</v>
      </c>
      <c r="DB60" s="15">
        <f t="shared" si="482"/>
        <v>0</v>
      </c>
    </row>
    <row r="61" spans="1:106" hidden="1" outlineLevel="1">
      <c r="A61" s="633">
        <v>58</v>
      </c>
      <c r="B61" s="620" t="s">
        <v>311</v>
      </c>
      <c r="C61" t="s">
        <v>518</v>
      </c>
      <c r="D61" s="15">
        <f t="shared" si="458"/>
        <v>0</v>
      </c>
      <c r="E61" s="15">
        <f t="shared" si="459"/>
        <v>0</v>
      </c>
      <c r="F61" s="15">
        <f t="shared" si="460"/>
        <v>0</v>
      </c>
      <c r="G61" s="15">
        <f t="shared" si="461"/>
        <v>0</v>
      </c>
      <c r="H61" s="15">
        <f t="shared" si="462"/>
        <v>0</v>
      </c>
      <c r="I61" s="15">
        <f t="shared" si="463"/>
        <v>0</v>
      </c>
      <c r="J61" s="15">
        <f t="shared" si="464"/>
        <v>0</v>
      </c>
      <c r="K61" s="15">
        <f t="shared" si="465"/>
        <v>0</v>
      </c>
      <c r="L61" s="15">
        <f t="shared" si="466"/>
        <v>0</v>
      </c>
      <c r="M61" s="15">
        <f t="shared" si="467"/>
        <v>0</v>
      </c>
      <c r="N61" s="15">
        <f t="shared" si="468"/>
        <v>0</v>
      </c>
      <c r="O61" s="15">
        <f t="shared" si="469"/>
        <v>0</v>
      </c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D61" s="646">
        <f t="shared" si="470"/>
        <v>0</v>
      </c>
      <c r="AE61" s="15">
        <f t="shared" si="471"/>
        <v>0</v>
      </c>
      <c r="AF61" s="15">
        <f t="shared" si="472"/>
        <v>0</v>
      </c>
      <c r="AG61" s="15">
        <f t="shared" si="473"/>
        <v>0</v>
      </c>
      <c r="AH61" s="15">
        <f t="shared" si="474"/>
        <v>0</v>
      </c>
      <c r="AI61" s="15">
        <f t="shared" si="475"/>
        <v>0</v>
      </c>
      <c r="AJ61" s="15">
        <f t="shared" si="476"/>
        <v>0</v>
      </c>
      <c r="AK61" s="15">
        <f t="shared" si="477"/>
        <v>0</v>
      </c>
      <c r="AL61" s="15">
        <f t="shared" si="478"/>
        <v>0</v>
      </c>
      <c r="AM61" s="15">
        <f t="shared" si="479"/>
        <v>0</v>
      </c>
      <c r="AN61" s="15">
        <f t="shared" si="480"/>
        <v>0</v>
      </c>
      <c r="AO61" s="647">
        <f t="shared" si="481"/>
        <v>0</v>
      </c>
      <c r="AQ61" s="15">
        <f>SUMIFS('BS-KH26-DTR'!D$2:D$116,'BS-KH26-DTR'!$B$2:$B$116,$A61)</f>
        <v>0</v>
      </c>
      <c r="AR61" s="15">
        <f>SUMIFS('BS-KH26-DTR'!E$2:E$116,'BS-KH26-DTR'!$B$2:$B$116,$A61)</f>
        <v>0</v>
      </c>
      <c r="AS61" s="15">
        <f>SUMIFS('BS-KH26-DTR'!F$2:F$116,'BS-KH26-DTR'!$B$2:$B$116,$A61)</f>
        <v>0</v>
      </c>
      <c r="AT61" s="15">
        <f>SUMIFS('BS-KH26-DTR'!G$2:G$116,'BS-KH26-DTR'!$B$2:$B$116,$A61)</f>
        <v>0</v>
      </c>
      <c r="AU61" s="15">
        <f>SUMIFS('BS-KH26-DTR'!H$2:H$116,'BS-KH26-DTR'!$B$2:$B$116,$A61)</f>
        <v>0</v>
      </c>
      <c r="AV61" s="15">
        <f>SUMIFS('BS-KH26-DTR'!I$2:I$116,'BS-KH26-DTR'!$B$2:$B$116,$A61)</f>
        <v>0</v>
      </c>
      <c r="AW61" s="15">
        <f>SUMIFS('BS-KH26-DTR'!J$2:J$116,'BS-KH26-DTR'!$B$2:$B$116,$A61)</f>
        <v>0</v>
      </c>
      <c r="AX61" s="15">
        <f>SUMIFS('BS-KH26-DTR'!K$2:K$116,'BS-KH26-DTR'!$B$2:$B$116,$A61)</f>
        <v>0</v>
      </c>
      <c r="AY61" s="15">
        <f>SUMIFS('BS-KH26-DTR'!L$2:L$116,'BS-KH26-DTR'!$B$2:$B$116,$A61)</f>
        <v>0</v>
      </c>
      <c r="AZ61" s="15">
        <f>SUMIFS('BS-KH26-DTR'!M$2:M$116,'BS-KH26-DTR'!$B$2:$B$116,$A61)</f>
        <v>0</v>
      </c>
      <c r="BA61" s="15">
        <f>SUMIFS('BS-KH26-DTR'!N$2:N$116,'BS-KH26-DTR'!$B$2:$B$116,$A61)</f>
        <v>0</v>
      </c>
      <c r="BB61" s="15">
        <f>SUMIFS('BS-KH26-DTR'!O$2:O$116,'BS-KH26-DTR'!$B$2:$B$116,$A61)</f>
        <v>0</v>
      </c>
      <c r="BD61" s="15">
        <f>SUMIFS('BS-KH26-DongLam'!M$2:M$51,'BS-KH26-DongLam'!$A$2:$A$51,'Consol BS-DTRG'!$A61)</f>
        <v>0</v>
      </c>
      <c r="BE61" s="15">
        <f>SUMIFS('BS-KH26-DongLam'!N$2:N$51,'BS-KH26-DongLam'!$A$2:$A$51,'Consol BS-DTRG'!$A61)</f>
        <v>0</v>
      </c>
      <c r="BF61" s="15">
        <f>SUMIFS('BS-KH26-DongLam'!O$2:O$51,'BS-KH26-DongLam'!$A$2:$A$51,'Consol BS-DTRG'!$A61)</f>
        <v>0</v>
      </c>
      <c r="BG61" s="15">
        <f>SUMIFS('BS-KH26-DongLam'!P$2:P$51,'BS-KH26-DongLam'!$A$2:$A$51,'Consol BS-DTRG'!$A61)</f>
        <v>0</v>
      </c>
      <c r="BH61" s="15">
        <f>SUMIFS('BS-KH26-DongLam'!Q$2:Q$51,'BS-KH26-DongLam'!$A$2:$A$51,'Consol BS-DTRG'!$A61)</f>
        <v>0</v>
      </c>
      <c r="BI61" s="15">
        <f>SUMIFS('BS-KH26-DongLam'!R$2:R$51,'BS-KH26-DongLam'!$A$2:$A$51,'Consol BS-DTRG'!$A61)</f>
        <v>0</v>
      </c>
      <c r="BJ61" s="15">
        <f>SUMIFS('BS-KH26-DongLam'!S$2:S$51,'BS-KH26-DongLam'!$A$2:$A$51,'Consol BS-DTRG'!$A61)</f>
        <v>0</v>
      </c>
      <c r="BK61" s="15">
        <f>SUMIFS('BS-KH26-DongLam'!T$2:T$51,'BS-KH26-DongLam'!$A$2:$A$51,'Consol BS-DTRG'!$A61)</f>
        <v>0</v>
      </c>
      <c r="BL61" s="15">
        <f>SUMIFS('BS-KH26-DongLam'!U$2:U$51,'BS-KH26-DongLam'!$A$2:$A$51,'Consol BS-DTRG'!$A61)</f>
        <v>0</v>
      </c>
      <c r="BM61" s="15">
        <f>SUMIFS('BS-KH26-DongLam'!V$2:V$51,'BS-KH26-DongLam'!$A$2:$A$51,'Consol BS-DTRG'!$A61)</f>
        <v>0</v>
      </c>
      <c r="BN61" s="15">
        <f>SUMIFS('BS-KH26-DongLam'!W$2:W$51,'BS-KH26-DongLam'!$A$2:$A$51,'Consol BS-DTRG'!$A61)</f>
        <v>0</v>
      </c>
      <c r="BO61" s="15">
        <f>SUMIFS('BS-KH26-DongLam'!X$2:X$51,'BS-KH26-DongLam'!$A$2:$A$51,'Consol BS-DTRG'!$A61)</f>
        <v>0</v>
      </c>
      <c r="BQ61" s="15">
        <f>SUMIFS('BS-KH26-KhanhNga'!M$2:M$51,'BS-KH26-KhanhNga'!$A$2:$A$51,'Consol BS-DTRG'!$A61)</f>
        <v>0</v>
      </c>
      <c r="BR61" s="15">
        <f>SUMIFS('BS-KH26-KhanhNga'!N$2:N$51,'BS-KH26-KhanhNga'!$A$2:$A$51,'Consol BS-DTRG'!$A61)</f>
        <v>0</v>
      </c>
      <c r="BS61" s="15">
        <f>SUMIFS('BS-KH26-KhanhNga'!O$2:O$51,'BS-KH26-KhanhNga'!$A$2:$A$51,'Consol BS-DTRG'!$A61)</f>
        <v>0</v>
      </c>
      <c r="BT61" s="15">
        <f>SUMIFS('BS-KH26-KhanhNga'!P$2:P$51,'BS-KH26-KhanhNga'!$A$2:$A$51,'Consol BS-DTRG'!$A61)</f>
        <v>0</v>
      </c>
      <c r="BU61" s="15">
        <f>SUMIFS('BS-KH26-KhanhNga'!Q$2:Q$51,'BS-KH26-KhanhNga'!$A$2:$A$51,'Consol BS-DTRG'!$A61)</f>
        <v>0</v>
      </c>
      <c r="BV61" s="15">
        <f>SUMIFS('BS-KH26-KhanhNga'!R$2:R$51,'BS-KH26-KhanhNga'!$A$2:$A$51,'Consol BS-DTRG'!$A61)</f>
        <v>0</v>
      </c>
      <c r="BW61" s="15">
        <f>SUMIFS('BS-KH26-KhanhNga'!S$2:S$51,'BS-KH26-KhanhNga'!$A$2:$A$51,'Consol BS-DTRG'!$A61)</f>
        <v>0</v>
      </c>
      <c r="BX61" s="15">
        <f>SUMIFS('BS-KH26-KhanhNga'!T$2:T$51,'BS-KH26-KhanhNga'!$A$2:$A$51,'Consol BS-DTRG'!$A61)</f>
        <v>0</v>
      </c>
      <c r="BY61" s="15">
        <f>SUMIFS('BS-KH26-KhanhNga'!U$2:U$51,'BS-KH26-KhanhNga'!$A$2:$A$51,'Consol BS-DTRG'!$A61)</f>
        <v>0</v>
      </c>
      <c r="BZ61" s="15">
        <f>SUMIFS('BS-KH26-KhanhNga'!V$2:V$51,'BS-KH26-KhanhNga'!$A$2:$A$51,'Consol BS-DTRG'!$A61)</f>
        <v>0</v>
      </c>
      <c r="CA61" s="15">
        <f>SUMIFS('BS-KH26-KhanhNga'!W$2:W$51,'BS-KH26-KhanhNga'!$A$2:$A$51,'Consol BS-DTRG'!$A61)</f>
        <v>0</v>
      </c>
      <c r="CB61" s="15">
        <f>SUMIFS('BS-KH26-KhanhNga'!X$2:X$51,'BS-KH26-KhanhNga'!$A$2:$A$51,'Consol BS-DTRG'!$A61)</f>
        <v>0</v>
      </c>
      <c r="CD61" s="15">
        <f>SUMIFS('BS-KH26-DaiLoc'!M$2:M$51,'BS-KH26-DaiLoc'!$A$2:$A$51,'Consol BS-DTRG'!$A61)</f>
        <v>0</v>
      </c>
      <c r="CE61" s="15">
        <f>SUMIFS('BS-KH26-DaiLoc'!N$2:N$51,'BS-KH26-DaiLoc'!$A$2:$A$51,'Consol BS-DTRG'!$A61)</f>
        <v>0</v>
      </c>
      <c r="CF61" s="15">
        <f>SUMIFS('BS-KH26-DaiLoc'!O$2:O$51,'BS-KH26-DaiLoc'!$A$2:$A$51,'Consol BS-DTRG'!$A61)</f>
        <v>0</v>
      </c>
      <c r="CG61" s="15">
        <f>SUMIFS('BS-KH26-DaiLoc'!P$2:P$51,'BS-KH26-DaiLoc'!$A$2:$A$51,'Consol BS-DTRG'!$A61)</f>
        <v>0</v>
      </c>
      <c r="CH61" s="15">
        <f>SUMIFS('BS-KH26-DaiLoc'!Q$2:Q$51,'BS-KH26-DaiLoc'!$A$2:$A$51,'Consol BS-DTRG'!$A61)</f>
        <v>0</v>
      </c>
      <c r="CI61" s="15">
        <f>SUMIFS('BS-KH26-DaiLoc'!R$2:R$51,'BS-KH26-DaiLoc'!$A$2:$A$51,'Consol BS-DTRG'!$A61)</f>
        <v>0</v>
      </c>
      <c r="CJ61" s="15">
        <f>SUMIFS('BS-KH26-DaiLoc'!S$2:S$51,'BS-KH26-DaiLoc'!$A$2:$A$51,'Consol BS-DTRG'!$A61)</f>
        <v>0</v>
      </c>
      <c r="CK61" s="15">
        <f>SUMIFS('BS-KH26-DaiLoc'!T$2:T$51,'BS-KH26-DaiLoc'!$A$2:$A$51,'Consol BS-DTRG'!$A61)</f>
        <v>0</v>
      </c>
      <c r="CL61" s="15">
        <f>SUMIFS('BS-KH26-DaiLoc'!U$2:U$51,'BS-KH26-DaiLoc'!$A$2:$A$51,'Consol BS-DTRG'!$A61)</f>
        <v>0</v>
      </c>
      <c r="CM61" s="15">
        <f>SUMIFS('BS-KH26-DaiLoc'!V$2:V$51,'BS-KH26-DaiLoc'!$A$2:$A$51,'Consol BS-DTRG'!$A61)</f>
        <v>0</v>
      </c>
      <c r="CN61" s="15">
        <f>SUMIFS('BS-KH26-DaiLoc'!W$2:W$51,'BS-KH26-DaiLoc'!$A$2:$A$51,'Consol BS-DTRG'!$A61)</f>
        <v>0</v>
      </c>
      <c r="CO61" s="15">
        <f>SUMIFS('BS-KH26-DaiLoc'!X$2:X$51,'BS-KH26-DaiLoc'!$A$2:$A$51,'Consol BS-DTRG'!$A61)</f>
        <v>0</v>
      </c>
      <c r="CQ61" s="15">
        <v>0</v>
      </c>
      <c r="CR61" s="15">
        <f t="shared" si="482"/>
        <v>0</v>
      </c>
      <c r="CS61" s="15">
        <f t="shared" si="482"/>
        <v>0</v>
      </c>
      <c r="CT61" s="15">
        <f t="shared" si="482"/>
        <v>0</v>
      </c>
      <c r="CU61" s="15">
        <f t="shared" si="482"/>
        <v>0</v>
      </c>
      <c r="CV61" s="15">
        <f t="shared" si="482"/>
        <v>0</v>
      </c>
      <c r="CW61" s="15">
        <f t="shared" si="482"/>
        <v>0</v>
      </c>
      <c r="CX61" s="15">
        <f t="shared" si="482"/>
        <v>0</v>
      </c>
      <c r="CY61" s="15">
        <f t="shared" si="482"/>
        <v>0</v>
      </c>
      <c r="CZ61" s="15">
        <f t="shared" si="482"/>
        <v>0</v>
      </c>
      <c r="DA61" s="15">
        <f t="shared" si="482"/>
        <v>0</v>
      </c>
      <c r="DB61" s="15">
        <f t="shared" si="482"/>
        <v>0</v>
      </c>
    </row>
    <row r="62" spans="1:106" hidden="1" outlineLevel="1">
      <c r="A62" s="633">
        <v>59</v>
      </c>
      <c r="B62" s="620" t="s">
        <v>312</v>
      </c>
      <c r="C62" t="s">
        <v>518</v>
      </c>
      <c r="D62" s="15">
        <f t="shared" si="458"/>
        <v>0</v>
      </c>
      <c r="E62" s="15">
        <f t="shared" si="459"/>
        <v>0</v>
      </c>
      <c r="F62" s="15">
        <f t="shared" si="460"/>
        <v>0</v>
      </c>
      <c r="G62" s="15">
        <f t="shared" si="461"/>
        <v>0</v>
      </c>
      <c r="H62" s="15">
        <f t="shared" si="462"/>
        <v>0</v>
      </c>
      <c r="I62" s="15">
        <f t="shared" si="463"/>
        <v>0</v>
      </c>
      <c r="J62" s="15">
        <f t="shared" si="464"/>
        <v>0</v>
      </c>
      <c r="K62" s="15">
        <f t="shared" si="465"/>
        <v>0</v>
      </c>
      <c r="L62" s="15">
        <f t="shared" si="466"/>
        <v>0</v>
      </c>
      <c r="M62" s="15">
        <f t="shared" si="467"/>
        <v>0</v>
      </c>
      <c r="N62" s="15">
        <f t="shared" si="468"/>
        <v>0</v>
      </c>
      <c r="O62" s="15">
        <f t="shared" si="469"/>
        <v>0</v>
      </c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D62" s="646">
        <f t="shared" si="470"/>
        <v>0</v>
      </c>
      <c r="AE62" s="15">
        <f t="shared" si="471"/>
        <v>0</v>
      </c>
      <c r="AF62" s="15">
        <f t="shared" si="472"/>
        <v>0</v>
      </c>
      <c r="AG62" s="15">
        <f t="shared" si="473"/>
        <v>0</v>
      </c>
      <c r="AH62" s="15">
        <f t="shared" si="474"/>
        <v>0</v>
      </c>
      <c r="AI62" s="15">
        <f t="shared" si="475"/>
        <v>0</v>
      </c>
      <c r="AJ62" s="15">
        <f t="shared" si="476"/>
        <v>0</v>
      </c>
      <c r="AK62" s="15">
        <f t="shared" si="477"/>
        <v>0</v>
      </c>
      <c r="AL62" s="15">
        <f t="shared" si="478"/>
        <v>0</v>
      </c>
      <c r="AM62" s="15">
        <f t="shared" si="479"/>
        <v>0</v>
      </c>
      <c r="AN62" s="15">
        <f t="shared" si="480"/>
        <v>0</v>
      </c>
      <c r="AO62" s="647">
        <f t="shared" si="481"/>
        <v>0</v>
      </c>
      <c r="AQ62" s="15">
        <f>SUMIFS('BS-KH26-DTR'!D$2:D$116,'BS-KH26-DTR'!$B$2:$B$116,$A62)</f>
        <v>0</v>
      </c>
      <c r="AR62" s="15">
        <f>SUMIFS('BS-KH26-DTR'!E$2:E$116,'BS-KH26-DTR'!$B$2:$B$116,$A62)</f>
        <v>0</v>
      </c>
      <c r="AS62" s="15">
        <f>SUMIFS('BS-KH26-DTR'!F$2:F$116,'BS-KH26-DTR'!$B$2:$B$116,$A62)</f>
        <v>0</v>
      </c>
      <c r="AT62" s="15">
        <f>SUMIFS('BS-KH26-DTR'!G$2:G$116,'BS-KH26-DTR'!$B$2:$B$116,$A62)</f>
        <v>0</v>
      </c>
      <c r="AU62" s="15">
        <f>SUMIFS('BS-KH26-DTR'!H$2:H$116,'BS-KH26-DTR'!$B$2:$B$116,$A62)</f>
        <v>0</v>
      </c>
      <c r="AV62" s="15">
        <f>SUMIFS('BS-KH26-DTR'!I$2:I$116,'BS-KH26-DTR'!$B$2:$B$116,$A62)</f>
        <v>0</v>
      </c>
      <c r="AW62" s="15">
        <f>SUMIFS('BS-KH26-DTR'!J$2:J$116,'BS-KH26-DTR'!$B$2:$B$116,$A62)</f>
        <v>0</v>
      </c>
      <c r="AX62" s="15">
        <f>SUMIFS('BS-KH26-DTR'!K$2:K$116,'BS-KH26-DTR'!$B$2:$B$116,$A62)</f>
        <v>0</v>
      </c>
      <c r="AY62" s="15">
        <f>SUMIFS('BS-KH26-DTR'!L$2:L$116,'BS-KH26-DTR'!$B$2:$B$116,$A62)</f>
        <v>0</v>
      </c>
      <c r="AZ62" s="15">
        <f>SUMIFS('BS-KH26-DTR'!M$2:M$116,'BS-KH26-DTR'!$B$2:$B$116,$A62)</f>
        <v>0</v>
      </c>
      <c r="BA62" s="15">
        <f>SUMIFS('BS-KH26-DTR'!N$2:N$116,'BS-KH26-DTR'!$B$2:$B$116,$A62)</f>
        <v>0</v>
      </c>
      <c r="BB62" s="15">
        <f>SUMIFS('BS-KH26-DTR'!O$2:O$116,'BS-KH26-DTR'!$B$2:$B$116,$A62)</f>
        <v>0</v>
      </c>
      <c r="BD62" s="15">
        <f>SUMIFS('BS-KH26-DongLam'!M$2:M$51,'BS-KH26-DongLam'!$A$2:$A$51,'Consol BS-DTRG'!$A62)</f>
        <v>0</v>
      </c>
      <c r="BE62" s="15">
        <f>SUMIFS('BS-KH26-DongLam'!N$2:N$51,'BS-KH26-DongLam'!$A$2:$A$51,'Consol BS-DTRG'!$A62)</f>
        <v>0</v>
      </c>
      <c r="BF62" s="15">
        <f>SUMIFS('BS-KH26-DongLam'!O$2:O$51,'BS-KH26-DongLam'!$A$2:$A$51,'Consol BS-DTRG'!$A62)</f>
        <v>0</v>
      </c>
      <c r="BG62" s="15">
        <f>SUMIFS('BS-KH26-DongLam'!P$2:P$51,'BS-KH26-DongLam'!$A$2:$A$51,'Consol BS-DTRG'!$A62)</f>
        <v>0</v>
      </c>
      <c r="BH62" s="15">
        <f>SUMIFS('BS-KH26-DongLam'!Q$2:Q$51,'BS-KH26-DongLam'!$A$2:$A$51,'Consol BS-DTRG'!$A62)</f>
        <v>0</v>
      </c>
      <c r="BI62" s="15">
        <f>SUMIFS('BS-KH26-DongLam'!R$2:R$51,'BS-KH26-DongLam'!$A$2:$A$51,'Consol BS-DTRG'!$A62)</f>
        <v>0</v>
      </c>
      <c r="BJ62" s="15">
        <f>SUMIFS('BS-KH26-DongLam'!S$2:S$51,'BS-KH26-DongLam'!$A$2:$A$51,'Consol BS-DTRG'!$A62)</f>
        <v>0</v>
      </c>
      <c r="BK62" s="15">
        <f>SUMIFS('BS-KH26-DongLam'!T$2:T$51,'BS-KH26-DongLam'!$A$2:$A$51,'Consol BS-DTRG'!$A62)</f>
        <v>0</v>
      </c>
      <c r="BL62" s="15">
        <f>SUMIFS('BS-KH26-DongLam'!U$2:U$51,'BS-KH26-DongLam'!$A$2:$A$51,'Consol BS-DTRG'!$A62)</f>
        <v>0</v>
      </c>
      <c r="BM62" s="15">
        <f>SUMIFS('BS-KH26-DongLam'!V$2:V$51,'BS-KH26-DongLam'!$A$2:$A$51,'Consol BS-DTRG'!$A62)</f>
        <v>0</v>
      </c>
      <c r="BN62" s="15">
        <f>SUMIFS('BS-KH26-DongLam'!W$2:W$51,'BS-KH26-DongLam'!$A$2:$A$51,'Consol BS-DTRG'!$A62)</f>
        <v>0</v>
      </c>
      <c r="BO62" s="15">
        <f>SUMIFS('BS-KH26-DongLam'!X$2:X$51,'BS-KH26-DongLam'!$A$2:$A$51,'Consol BS-DTRG'!$A62)</f>
        <v>0</v>
      </c>
      <c r="BQ62" s="15">
        <f>SUMIFS('BS-KH26-KhanhNga'!M$2:M$51,'BS-KH26-KhanhNga'!$A$2:$A$51,'Consol BS-DTRG'!$A62)</f>
        <v>0</v>
      </c>
      <c r="BR62" s="15">
        <f>SUMIFS('BS-KH26-KhanhNga'!N$2:N$51,'BS-KH26-KhanhNga'!$A$2:$A$51,'Consol BS-DTRG'!$A62)</f>
        <v>0</v>
      </c>
      <c r="BS62" s="15">
        <f>SUMIFS('BS-KH26-KhanhNga'!O$2:O$51,'BS-KH26-KhanhNga'!$A$2:$A$51,'Consol BS-DTRG'!$A62)</f>
        <v>0</v>
      </c>
      <c r="BT62" s="15">
        <f>SUMIFS('BS-KH26-KhanhNga'!P$2:P$51,'BS-KH26-KhanhNga'!$A$2:$A$51,'Consol BS-DTRG'!$A62)</f>
        <v>0</v>
      </c>
      <c r="BU62" s="15">
        <f>SUMIFS('BS-KH26-KhanhNga'!Q$2:Q$51,'BS-KH26-KhanhNga'!$A$2:$A$51,'Consol BS-DTRG'!$A62)</f>
        <v>0</v>
      </c>
      <c r="BV62" s="15">
        <f>SUMIFS('BS-KH26-KhanhNga'!R$2:R$51,'BS-KH26-KhanhNga'!$A$2:$A$51,'Consol BS-DTRG'!$A62)</f>
        <v>0</v>
      </c>
      <c r="BW62" s="15">
        <f>SUMIFS('BS-KH26-KhanhNga'!S$2:S$51,'BS-KH26-KhanhNga'!$A$2:$A$51,'Consol BS-DTRG'!$A62)</f>
        <v>0</v>
      </c>
      <c r="BX62" s="15">
        <f>SUMIFS('BS-KH26-KhanhNga'!T$2:T$51,'BS-KH26-KhanhNga'!$A$2:$A$51,'Consol BS-DTRG'!$A62)</f>
        <v>0</v>
      </c>
      <c r="BY62" s="15">
        <f>SUMIFS('BS-KH26-KhanhNga'!U$2:U$51,'BS-KH26-KhanhNga'!$A$2:$A$51,'Consol BS-DTRG'!$A62)</f>
        <v>0</v>
      </c>
      <c r="BZ62" s="15">
        <f>SUMIFS('BS-KH26-KhanhNga'!V$2:V$51,'BS-KH26-KhanhNga'!$A$2:$A$51,'Consol BS-DTRG'!$A62)</f>
        <v>0</v>
      </c>
      <c r="CA62" s="15">
        <f>SUMIFS('BS-KH26-KhanhNga'!W$2:W$51,'BS-KH26-KhanhNga'!$A$2:$A$51,'Consol BS-DTRG'!$A62)</f>
        <v>0</v>
      </c>
      <c r="CB62" s="15">
        <f>SUMIFS('BS-KH26-KhanhNga'!X$2:X$51,'BS-KH26-KhanhNga'!$A$2:$A$51,'Consol BS-DTRG'!$A62)</f>
        <v>0</v>
      </c>
      <c r="CD62" s="15">
        <f>SUMIFS('BS-KH26-DaiLoc'!M$2:M$51,'BS-KH26-DaiLoc'!$A$2:$A$51,'Consol BS-DTRG'!$A62)</f>
        <v>0</v>
      </c>
      <c r="CE62" s="15">
        <f>SUMIFS('BS-KH26-DaiLoc'!N$2:N$51,'BS-KH26-DaiLoc'!$A$2:$A$51,'Consol BS-DTRG'!$A62)</f>
        <v>0</v>
      </c>
      <c r="CF62" s="15">
        <f>SUMIFS('BS-KH26-DaiLoc'!O$2:O$51,'BS-KH26-DaiLoc'!$A$2:$A$51,'Consol BS-DTRG'!$A62)</f>
        <v>0</v>
      </c>
      <c r="CG62" s="15">
        <f>SUMIFS('BS-KH26-DaiLoc'!P$2:P$51,'BS-KH26-DaiLoc'!$A$2:$A$51,'Consol BS-DTRG'!$A62)</f>
        <v>0</v>
      </c>
      <c r="CH62" s="15">
        <f>SUMIFS('BS-KH26-DaiLoc'!Q$2:Q$51,'BS-KH26-DaiLoc'!$A$2:$A$51,'Consol BS-DTRG'!$A62)</f>
        <v>0</v>
      </c>
      <c r="CI62" s="15">
        <f>SUMIFS('BS-KH26-DaiLoc'!R$2:R$51,'BS-KH26-DaiLoc'!$A$2:$A$51,'Consol BS-DTRG'!$A62)</f>
        <v>0</v>
      </c>
      <c r="CJ62" s="15">
        <f>SUMIFS('BS-KH26-DaiLoc'!S$2:S$51,'BS-KH26-DaiLoc'!$A$2:$A$51,'Consol BS-DTRG'!$A62)</f>
        <v>0</v>
      </c>
      <c r="CK62" s="15">
        <f>SUMIFS('BS-KH26-DaiLoc'!T$2:T$51,'BS-KH26-DaiLoc'!$A$2:$A$51,'Consol BS-DTRG'!$A62)</f>
        <v>0</v>
      </c>
      <c r="CL62" s="15">
        <f>SUMIFS('BS-KH26-DaiLoc'!U$2:U$51,'BS-KH26-DaiLoc'!$A$2:$A$51,'Consol BS-DTRG'!$A62)</f>
        <v>0</v>
      </c>
      <c r="CM62" s="15">
        <f>SUMIFS('BS-KH26-DaiLoc'!V$2:V$51,'BS-KH26-DaiLoc'!$A$2:$A$51,'Consol BS-DTRG'!$A62)</f>
        <v>0</v>
      </c>
      <c r="CN62" s="15">
        <f>SUMIFS('BS-KH26-DaiLoc'!W$2:W$51,'BS-KH26-DaiLoc'!$A$2:$A$51,'Consol BS-DTRG'!$A62)</f>
        <v>0</v>
      </c>
      <c r="CO62" s="15">
        <f>SUMIFS('BS-KH26-DaiLoc'!X$2:X$51,'BS-KH26-DaiLoc'!$A$2:$A$51,'Consol BS-DTRG'!$A62)</f>
        <v>0</v>
      </c>
      <c r="CQ62" s="15">
        <v>0</v>
      </c>
      <c r="CR62" s="15">
        <f t="shared" si="482"/>
        <v>0</v>
      </c>
      <c r="CS62" s="15">
        <f t="shared" si="482"/>
        <v>0</v>
      </c>
      <c r="CT62" s="15">
        <f t="shared" si="482"/>
        <v>0</v>
      </c>
      <c r="CU62" s="15">
        <f t="shared" si="482"/>
        <v>0</v>
      </c>
      <c r="CV62" s="15">
        <f t="shared" si="482"/>
        <v>0</v>
      </c>
      <c r="CW62" s="15">
        <f t="shared" si="482"/>
        <v>0</v>
      </c>
      <c r="CX62" s="15">
        <f t="shared" si="482"/>
        <v>0</v>
      </c>
      <c r="CY62" s="15">
        <f t="shared" si="482"/>
        <v>0</v>
      </c>
      <c r="CZ62" s="15">
        <f t="shared" si="482"/>
        <v>0</v>
      </c>
      <c r="DA62" s="15">
        <f t="shared" si="482"/>
        <v>0</v>
      </c>
      <c r="DB62" s="15">
        <f t="shared" si="482"/>
        <v>0</v>
      </c>
    </row>
    <row r="63" spans="1:106" collapsed="1">
      <c r="A63" s="1">
        <v>60</v>
      </c>
      <c r="B63" s="617" t="s">
        <v>313</v>
      </c>
      <c r="D63" s="16">
        <f t="shared" ref="D63:O66" si="483">SUM(D64:D65)</f>
        <v>0</v>
      </c>
      <c r="E63" s="16">
        <f t="shared" si="483"/>
        <v>0</v>
      </c>
      <c r="F63" s="16">
        <f t="shared" si="483"/>
        <v>0</v>
      </c>
      <c r="G63" s="16">
        <f t="shared" si="483"/>
        <v>0</v>
      </c>
      <c r="H63" s="16">
        <f t="shared" si="483"/>
        <v>0</v>
      </c>
      <c r="I63" s="16">
        <f t="shared" si="483"/>
        <v>0</v>
      </c>
      <c r="J63" s="16">
        <f t="shared" si="483"/>
        <v>0</v>
      </c>
      <c r="K63" s="16">
        <f t="shared" si="483"/>
        <v>0</v>
      </c>
      <c r="L63" s="16">
        <f t="shared" si="483"/>
        <v>0</v>
      </c>
      <c r="M63" s="16">
        <f t="shared" si="483"/>
        <v>0</v>
      </c>
      <c r="N63" s="16">
        <f t="shared" si="483"/>
        <v>0</v>
      </c>
      <c r="O63" s="16">
        <f t="shared" si="483"/>
        <v>0</v>
      </c>
      <c r="Q63" s="16">
        <f t="shared" ref="Q63:AB63" si="484">SUM(Q64:Q65)</f>
        <v>0</v>
      </c>
      <c r="R63" s="16">
        <f t="shared" si="484"/>
        <v>0</v>
      </c>
      <c r="S63" s="16">
        <f t="shared" si="484"/>
        <v>0</v>
      </c>
      <c r="T63" s="16">
        <f t="shared" si="484"/>
        <v>0</v>
      </c>
      <c r="U63" s="16">
        <f t="shared" si="484"/>
        <v>0</v>
      </c>
      <c r="V63" s="16">
        <f t="shared" si="484"/>
        <v>0</v>
      </c>
      <c r="W63" s="16">
        <f t="shared" si="484"/>
        <v>0</v>
      </c>
      <c r="X63" s="16">
        <f t="shared" si="484"/>
        <v>0</v>
      </c>
      <c r="Y63" s="16">
        <f t="shared" si="484"/>
        <v>0</v>
      </c>
      <c r="Z63" s="16">
        <f t="shared" si="484"/>
        <v>0</v>
      </c>
      <c r="AA63" s="16">
        <f t="shared" si="484"/>
        <v>0</v>
      </c>
      <c r="AB63" s="16">
        <f t="shared" si="484"/>
        <v>0</v>
      </c>
      <c r="AD63" s="648">
        <f t="shared" ref="AD63" si="485">SUM(AD64:AD65)</f>
        <v>0</v>
      </c>
      <c r="AE63" s="16">
        <f t="shared" ref="AE63:AO63" si="486">SUM(AE64:AE65)</f>
        <v>0</v>
      </c>
      <c r="AF63" s="16">
        <f t="shared" si="486"/>
        <v>0</v>
      </c>
      <c r="AG63" s="16">
        <f t="shared" si="486"/>
        <v>0</v>
      </c>
      <c r="AH63" s="16">
        <f t="shared" si="486"/>
        <v>0</v>
      </c>
      <c r="AI63" s="16">
        <f t="shared" si="486"/>
        <v>0</v>
      </c>
      <c r="AJ63" s="16">
        <f t="shared" si="486"/>
        <v>0</v>
      </c>
      <c r="AK63" s="16">
        <f t="shared" si="486"/>
        <v>0</v>
      </c>
      <c r="AL63" s="16">
        <f t="shared" si="486"/>
        <v>0</v>
      </c>
      <c r="AM63" s="16">
        <f t="shared" si="486"/>
        <v>0</v>
      </c>
      <c r="AN63" s="16">
        <f t="shared" si="486"/>
        <v>0</v>
      </c>
      <c r="AO63" s="649">
        <f t="shared" si="486"/>
        <v>0</v>
      </c>
      <c r="AQ63" s="16">
        <f t="shared" ref="AQ63:BB63" si="487">SUM(AQ64:AQ65)</f>
        <v>0</v>
      </c>
      <c r="AR63" s="16">
        <f t="shared" si="487"/>
        <v>0</v>
      </c>
      <c r="AS63" s="16">
        <f t="shared" si="487"/>
        <v>0</v>
      </c>
      <c r="AT63" s="16">
        <f t="shared" si="487"/>
        <v>0</v>
      </c>
      <c r="AU63" s="16">
        <f t="shared" si="487"/>
        <v>0</v>
      </c>
      <c r="AV63" s="16">
        <f t="shared" si="487"/>
        <v>0</v>
      </c>
      <c r="AW63" s="16">
        <f t="shared" si="487"/>
        <v>0</v>
      </c>
      <c r="AX63" s="16">
        <f t="shared" si="487"/>
        <v>0</v>
      </c>
      <c r="AY63" s="16">
        <f t="shared" si="487"/>
        <v>0</v>
      </c>
      <c r="AZ63" s="16">
        <f t="shared" si="487"/>
        <v>0</v>
      </c>
      <c r="BA63" s="16">
        <f t="shared" si="487"/>
        <v>0</v>
      </c>
      <c r="BB63" s="16">
        <f t="shared" si="487"/>
        <v>0</v>
      </c>
      <c r="BD63" s="16">
        <f t="shared" ref="BD63:BO63" si="488">SUM(BD64:BD65)</f>
        <v>0</v>
      </c>
      <c r="BE63" s="16">
        <f t="shared" si="488"/>
        <v>0</v>
      </c>
      <c r="BF63" s="16">
        <f t="shared" si="488"/>
        <v>0</v>
      </c>
      <c r="BG63" s="16">
        <f t="shared" si="488"/>
        <v>0</v>
      </c>
      <c r="BH63" s="16">
        <f t="shared" si="488"/>
        <v>0</v>
      </c>
      <c r="BI63" s="16">
        <f t="shared" si="488"/>
        <v>0</v>
      </c>
      <c r="BJ63" s="16">
        <f t="shared" si="488"/>
        <v>0</v>
      </c>
      <c r="BK63" s="16">
        <f t="shared" si="488"/>
        <v>0</v>
      </c>
      <c r="BL63" s="16">
        <f t="shared" si="488"/>
        <v>0</v>
      </c>
      <c r="BM63" s="16">
        <f t="shared" si="488"/>
        <v>0</v>
      </c>
      <c r="BN63" s="16">
        <f t="shared" si="488"/>
        <v>0</v>
      </c>
      <c r="BO63" s="16">
        <f t="shared" si="488"/>
        <v>0</v>
      </c>
      <c r="BQ63" s="16">
        <f t="shared" ref="BQ63:CB63" si="489">SUM(BQ64:BQ65)</f>
        <v>0</v>
      </c>
      <c r="BR63" s="16">
        <f t="shared" si="489"/>
        <v>0</v>
      </c>
      <c r="BS63" s="16">
        <f t="shared" si="489"/>
        <v>0</v>
      </c>
      <c r="BT63" s="16">
        <f t="shared" si="489"/>
        <v>0</v>
      </c>
      <c r="BU63" s="16">
        <f t="shared" si="489"/>
        <v>0</v>
      </c>
      <c r="BV63" s="16">
        <f t="shared" si="489"/>
        <v>0</v>
      </c>
      <c r="BW63" s="16">
        <f t="shared" si="489"/>
        <v>0</v>
      </c>
      <c r="BX63" s="16">
        <f t="shared" si="489"/>
        <v>0</v>
      </c>
      <c r="BY63" s="16">
        <f t="shared" si="489"/>
        <v>0</v>
      </c>
      <c r="BZ63" s="16">
        <f t="shared" si="489"/>
        <v>0</v>
      </c>
      <c r="CA63" s="16">
        <f t="shared" si="489"/>
        <v>0</v>
      </c>
      <c r="CB63" s="16">
        <f t="shared" si="489"/>
        <v>0</v>
      </c>
      <c r="CD63" s="16">
        <f t="shared" ref="CD63:CO63" si="490">SUM(CD64:CD65)</f>
        <v>0</v>
      </c>
      <c r="CE63" s="16">
        <f t="shared" si="490"/>
        <v>0</v>
      </c>
      <c r="CF63" s="16">
        <f t="shared" si="490"/>
        <v>0</v>
      </c>
      <c r="CG63" s="16">
        <f t="shared" si="490"/>
        <v>0</v>
      </c>
      <c r="CH63" s="16">
        <f t="shared" si="490"/>
        <v>0</v>
      </c>
      <c r="CI63" s="16">
        <f t="shared" si="490"/>
        <v>0</v>
      </c>
      <c r="CJ63" s="16">
        <f t="shared" si="490"/>
        <v>0</v>
      </c>
      <c r="CK63" s="16">
        <f t="shared" si="490"/>
        <v>0</v>
      </c>
      <c r="CL63" s="16">
        <f t="shared" si="490"/>
        <v>0</v>
      </c>
      <c r="CM63" s="16">
        <f t="shared" si="490"/>
        <v>0</v>
      </c>
      <c r="CN63" s="16">
        <f t="shared" si="490"/>
        <v>0</v>
      </c>
      <c r="CO63" s="16">
        <f t="shared" si="490"/>
        <v>0</v>
      </c>
      <c r="CQ63" s="16">
        <f t="shared" ref="CQ63:DB63" si="491">SUM(CQ64:CQ65)</f>
        <v>0</v>
      </c>
      <c r="CR63" s="16">
        <f t="shared" si="491"/>
        <v>0</v>
      </c>
      <c r="CS63" s="16">
        <f t="shared" si="491"/>
        <v>0</v>
      </c>
      <c r="CT63" s="16">
        <f t="shared" si="491"/>
        <v>0</v>
      </c>
      <c r="CU63" s="16">
        <f t="shared" si="491"/>
        <v>0</v>
      </c>
      <c r="CV63" s="16">
        <f t="shared" si="491"/>
        <v>0</v>
      </c>
      <c r="CW63" s="16">
        <f t="shared" si="491"/>
        <v>0</v>
      </c>
      <c r="CX63" s="16">
        <f t="shared" si="491"/>
        <v>0</v>
      </c>
      <c r="CY63" s="16">
        <f t="shared" si="491"/>
        <v>0</v>
      </c>
      <c r="CZ63" s="16">
        <f t="shared" si="491"/>
        <v>0</v>
      </c>
      <c r="DA63" s="16">
        <f t="shared" si="491"/>
        <v>0</v>
      </c>
      <c r="DB63" s="16">
        <f t="shared" si="491"/>
        <v>0</v>
      </c>
    </row>
    <row r="64" spans="1:106" hidden="1" outlineLevel="1">
      <c r="A64" s="633">
        <v>61</v>
      </c>
      <c r="B64" s="612" t="s">
        <v>314</v>
      </c>
      <c r="C64" t="s">
        <v>518</v>
      </c>
      <c r="D64" s="15">
        <f t="shared" ref="D64:D65" si="492">AD64+Q64</f>
        <v>0</v>
      </c>
      <c r="E64" s="15">
        <f t="shared" ref="E64:E65" si="493">AE64+R64</f>
        <v>0</v>
      </c>
      <c r="F64" s="15">
        <f t="shared" ref="F64:F65" si="494">AF64+S64</f>
        <v>0</v>
      </c>
      <c r="G64" s="15">
        <f t="shared" ref="G64:G65" si="495">AG64+T64</f>
        <v>0</v>
      </c>
      <c r="H64" s="15">
        <f t="shared" ref="H64:H65" si="496">AH64+U64</f>
        <v>0</v>
      </c>
      <c r="I64" s="15">
        <f t="shared" ref="I64:I65" si="497">AI64+V64</f>
        <v>0</v>
      </c>
      <c r="J64" s="15">
        <f t="shared" ref="J64:J65" si="498">AJ64+W64</f>
        <v>0</v>
      </c>
      <c r="K64" s="15">
        <f t="shared" ref="K64:K65" si="499">AK64+X64</f>
        <v>0</v>
      </c>
      <c r="L64" s="15">
        <f t="shared" ref="L64:L65" si="500">AL64+Y64</f>
        <v>0</v>
      </c>
      <c r="M64" s="15">
        <f t="shared" ref="M64:M65" si="501">AM64+Z64</f>
        <v>0</v>
      </c>
      <c r="N64" s="15">
        <f t="shared" ref="N64:N65" si="502">AN64+AA64</f>
        <v>0</v>
      </c>
      <c r="O64" s="15">
        <f t="shared" ref="O64:O65" si="503">AO64+AB64</f>
        <v>0</v>
      </c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D64" s="646">
        <f t="shared" ref="AD64:AD65" si="504">AQ64+BD64+BQ64+CD64+CQ64</f>
        <v>0</v>
      </c>
      <c r="AE64" s="15">
        <f t="shared" ref="AE64:AE65" si="505">AR64+BE64+BR64+CE64+CR64</f>
        <v>0</v>
      </c>
      <c r="AF64" s="15">
        <f t="shared" ref="AF64:AF65" si="506">AS64+BF64+BS64+CF64+CS64</f>
        <v>0</v>
      </c>
      <c r="AG64" s="15">
        <f t="shared" ref="AG64:AG65" si="507">AT64+BG64+BT64+CG64+CT64</f>
        <v>0</v>
      </c>
      <c r="AH64" s="15">
        <f t="shared" ref="AH64:AH65" si="508">AU64+BH64+BU64+CH64+CU64</f>
        <v>0</v>
      </c>
      <c r="AI64" s="15">
        <f t="shared" ref="AI64:AI65" si="509">AV64+BI64+BV64+CI64+CV64</f>
        <v>0</v>
      </c>
      <c r="AJ64" s="15">
        <f t="shared" ref="AJ64:AJ65" si="510">AW64+BJ64+BW64+CJ64+CW64</f>
        <v>0</v>
      </c>
      <c r="AK64" s="15">
        <f t="shared" ref="AK64:AK65" si="511">AX64+BK64+BX64+CK64+CX64</f>
        <v>0</v>
      </c>
      <c r="AL64" s="15">
        <f t="shared" ref="AL64:AL65" si="512">AY64+BL64+BY64+CL64+CY64</f>
        <v>0</v>
      </c>
      <c r="AM64" s="15">
        <f t="shared" ref="AM64:AM65" si="513">AZ64+BM64+BZ64+CM64+CZ64</f>
        <v>0</v>
      </c>
      <c r="AN64" s="15">
        <f t="shared" ref="AN64:AN65" si="514">BA64+BN64+CA64+CN64+DA64</f>
        <v>0</v>
      </c>
      <c r="AO64" s="647">
        <f t="shared" ref="AO64:AO65" si="515">BB64+BO64+CB64+CO64+DB64</f>
        <v>0</v>
      </c>
      <c r="AQ64" s="15">
        <f>SUMIFS('BS-KH26-DTR'!D$2:D$116,'BS-KH26-DTR'!$B$2:$B$116,$A64)</f>
        <v>0</v>
      </c>
      <c r="AR64" s="15">
        <f>SUMIFS('BS-KH26-DTR'!E$2:E$116,'BS-KH26-DTR'!$B$2:$B$116,$A64)</f>
        <v>0</v>
      </c>
      <c r="AS64" s="15">
        <f>SUMIFS('BS-KH26-DTR'!F$2:F$116,'BS-KH26-DTR'!$B$2:$B$116,$A64)</f>
        <v>0</v>
      </c>
      <c r="AT64" s="15">
        <f>SUMIFS('BS-KH26-DTR'!G$2:G$116,'BS-KH26-DTR'!$B$2:$B$116,$A64)</f>
        <v>0</v>
      </c>
      <c r="AU64" s="15">
        <f>SUMIFS('BS-KH26-DTR'!H$2:H$116,'BS-KH26-DTR'!$B$2:$B$116,$A64)</f>
        <v>0</v>
      </c>
      <c r="AV64" s="15">
        <f>SUMIFS('BS-KH26-DTR'!I$2:I$116,'BS-KH26-DTR'!$B$2:$B$116,$A64)</f>
        <v>0</v>
      </c>
      <c r="AW64" s="15">
        <f>SUMIFS('BS-KH26-DTR'!J$2:J$116,'BS-KH26-DTR'!$B$2:$B$116,$A64)</f>
        <v>0</v>
      </c>
      <c r="AX64" s="15">
        <f>SUMIFS('BS-KH26-DTR'!K$2:K$116,'BS-KH26-DTR'!$B$2:$B$116,$A64)</f>
        <v>0</v>
      </c>
      <c r="AY64" s="15">
        <f>SUMIFS('BS-KH26-DTR'!L$2:L$116,'BS-KH26-DTR'!$B$2:$B$116,$A64)</f>
        <v>0</v>
      </c>
      <c r="AZ64" s="15">
        <f>SUMIFS('BS-KH26-DTR'!M$2:M$116,'BS-KH26-DTR'!$B$2:$B$116,$A64)</f>
        <v>0</v>
      </c>
      <c r="BA64" s="15">
        <f>SUMIFS('BS-KH26-DTR'!N$2:N$116,'BS-KH26-DTR'!$B$2:$B$116,$A64)</f>
        <v>0</v>
      </c>
      <c r="BB64" s="15">
        <f>SUMIFS('BS-KH26-DTR'!O$2:O$116,'BS-KH26-DTR'!$B$2:$B$116,$A64)</f>
        <v>0</v>
      </c>
      <c r="BD64" s="15">
        <f>SUMIFS('BS-KH26-DongLam'!M$2:M$51,'BS-KH26-DongLam'!$A$2:$A$51,'Consol BS-DTRG'!$A64)</f>
        <v>0</v>
      </c>
      <c r="BE64" s="15">
        <f>SUMIFS('BS-KH26-DongLam'!N$2:N$51,'BS-KH26-DongLam'!$A$2:$A$51,'Consol BS-DTRG'!$A64)</f>
        <v>0</v>
      </c>
      <c r="BF64" s="15">
        <f>SUMIFS('BS-KH26-DongLam'!O$2:O$51,'BS-KH26-DongLam'!$A$2:$A$51,'Consol BS-DTRG'!$A64)</f>
        <v>0</v>
      </c>
      <c r="BG64" s="15">
        <f>SUMIFS('BS-KH26-DongLam'!P$2:P$51,'BS-KH26-DongLam'!$A$2:$A$51,'Consol BS-DTRG'!$A64)</f>
        <v>0</v>
      </c>
      <c r="BH64" s="15">
        <f>SUMIFS('BS-KH26-DongLam'!Q$2:Q$51,'BS-KH26-DongLam'!$A$2:$A$51,'Consol BS-DTRG'!$A64)</f>
        <v>0</v>
      </c>
      <c r="BI64" s="15">
        <f>SUMIFS('BS-KH26-DongLam'!R$2:R$51,'BS-KH26-DongLam'!$A$2:$A$51,'Consol BS-DTRG'!$A64)</f>
        <v>0</v>
      </c>
      <c r="BJ64" s="15">
        <f>SUMIFS('BS-KH26-DongLam'!S$2:S$51,'BS-KH26-DongLam'!$A$2:$A$51,'Consol BS-DTRG'!$A64)</f>
        <v>0</v>
      </c>
      <c r="BK64" s="15">
        <f>SUMIFS('BS-KH26-DongLam'!T$2:T$51,'BS-KH26-DongLam'!$A$2:$A$51,'Consol BS-DTRG'!$A64)</f>
        <v>0</v>
      </c>
      <c r="BL64" s="15">
        <f>SUMIFS('BS-KH26-DongLam'!U$2:U$51,'BS-KH26-DongLam'!$A$2:$A$51,'Consol BS-DTRG'!$A64)</f>
        <v>0</v>
      </c>
      <c r="BM64" s="15">
        <f>SUMIFS('BS-KH26-DongLam'!V$2:V$51,'BS-KH26-DongLam'!$A$2:$A$51,'Consol BS-DTRG'!$A64)</f>
        <v>0</v>
      </c>
      <c r="BN64" s="15">
        <f>SUMIFS('BS-KH26-DongLam'!W$2:W$51,'BS-KH26-DongLam'!$A$2:$A$51,'Consol BS-DTRG'!$A64)</f>
        <v>0</v>
      </c>
      <c r="BO64" s="15">
        <f>SUMIFS('BS-KH26-DongLam'!X$2:X$51,'BS-KH26-DongLam'!$A$2:$A$51,'Consol BS-DTRG'!$A64)</f>
        <v>0</v>
      </c>
      <c r="BQ64" s="15">
        <f>SUMIFS('BS-KH26-KhanhNga'!M$2:M$51,'BS-KH26-KhanhNga'!$A$2:$A$51,'Consol BS-DTRG'!$A64)</f>
        <v>0</v>
      </c>
      <c r="BR64" s="15">
        <f>SUMIFS('BS-KH26-KhanhNga'!N$2:N$51,'BS-KH26-KhanhNga'!$A$2:$A$51,'Consol BS-DTRG'!$A64)</f>
        <v>0</v>
      </c>
      <c r="BS64" s="15">
        <f>SUMIFS('BS-KH26-KhanhNga'!O$2:O$51,'BS-KH26-KhanhNga'!$A$2:$A$51,'Consol BS-DTRG'!$A64)</f>
        <v>0</v>
      </c>
      <c r="BT64" s="15">
        <f>SUMIFS('BS-KH26-KhanhNga'!P$2:P$51,'BS-KH26-KhanhNga'!$A$2:$A$51,'Consol BS-DTRG'!$A64)</f>
        <v>0</v>
      </c>
      <c r="BU64" s="15">
        <f>SUMIFS('BS-KH26-KhanhNga'!Q$2:Q$51,'BS-KH26-KhanhNga'!$A$2:$A$51,'Consol BS-DTRG'!$A64)</f>
        <v>0</v>
      </c>
      <c r="BV64" s="15">
        <f>SUMIFS('BS-KH26-KhanhNga'!R$2:R$51,'BS-KH26-KhanhNga'!$A$2:$A$51,'Consol BS-DTRG'!$A64)</f>
        <v>0</v>
      </c>
      <c r="BW64" s="15">
        <f>SUMIFS('BS-KH26-KhanhNga'!S$2:S$51,'BS-KH26-KhanhNga'!$A$2:$A$51,'Consol BS-DTRG'!$A64)</f>
        <v>0</v>
      </c>
      <c r="BX64" s="15">
        <f>SUMIFS('BS-KH26-KhanhNga'!T$2:T$51,'BS-KH26-KhanhNga'!$A$2:$A$51,'Consol BS-DTRG'!$A64)</f>
        <v>0</v>
      </c>
      <c r="BY64" s="15">
        <f>SUMIFS('BS-KH26-KhanhNga'!U$2:U$51,'BS-KH26-KhanhNga'!$A$2:$A$51,'Consol BS-DTRG'!$A64)</f>
        <v>0</v>
      </c>
      <c r="BZ64" s="15">
        <f>SUMIFS('BS-KH26-KhanhNga'!V$2:V$51,'BS-KH26-KhanhNga'!$A$2:$A$51,'Consol BS-DTRG'!$A64)</f>
        <v>0</v>
      </c>
      <c r="CA64" s="15">
        <f>SUMIFS('BS-KH26-KhanhNga'!W$2:W$51,'BS-KH26-KhanhNga'!$A$2:$A$51,'Consol BS-DTRG'!$A64)</f>
        <v>0</v>
      </c>
      <c r="CB64" s="15">
        <f>SUMIFS('BS-KH26-KhanhNga'!X$2:X$51,'BS-KH26-KhanhNga'!$A$2:$A$51,'Consol BS-DTRG'!$A64)</f>
        <v>0</v>
      </c>
      <c r="CD64" s="15">
        <f>SUMIFS('BS-KH26-DaiLoc'!M$2:M$51,'BS-KH26-DaiLoc'!$A$2:$A$51,'Consol BS-DTRG'!$A64)</f>
        <v>0</v>
      </c>
      <c r="CE64" s="15">
        <f>SUMIFS('BS-KH26-DaiLoc'!N$2:N$51,'BS-KH26-DaiLoc'!$A$2:$A$51,'Consol BS-DTRG'!$A64)</f>
        <v>0</v>
      </c>
      <c r="CF64" s="15">
        <f>SUMIFS('BS-KH26-DaiLoc'!O$2:O$51,'BS-KH26-DaiLoc'!$A$2:$A$51,'Consol BS-DTRG'!$A64)</f>
        <v>0</v>
      </c>
      <c r="CG64" s="15">
        <f>SUMIFS('BS-KH26-DaiLoc'!P$2:P$51,'BS-KH26-DaiLoc'!$A$2:$A$51,'Consol BS-DTRG'!$A64)</f>
        <v>0</v>
      </c>
      <c r="CH64" s="15">
        <f>SUMIFS('BS-KH26-DaiLoc'!Q$2:Q$51,'BS-KH26-DaiLoc'!$A$2:$A$51,'Consol BS-DTRG'!$A64)</f>
        <v>0</v>
      </c>
      <c r="CI64" s="15">
        <f>SUMIFS('BS-KH26-DaiLoc'!R$2:R$51,'BS-KH26-DaiLoc'!$A$2:$A$51,'Consol BS-DTRG'!$A64)</f>
        <v>0</v>
      </c>
      <c r="CJ64" s="15">
        <f>SUMIFS('BS-KH26-DaiLoc'!S$2:S$51,'BS-KH26-DaiLoc'!$A$2:$A$51,'Consol BS-DTRG'!$A64)</f>
        <v>0</v>
      </c>
      <c r="CK64" s="15">
        <f>SUMIFS('BS-KH26-DaiLoc'!T$2:T$51,'BS-KH26-DaiLoc'!$A$2:$A$51,'Consol BS-DTRG'!$A64)</f>
        <v>0</v>
      </c>
      <c r="CL64" s="15">
        <f>SUMIFS('BS-KH26-DaiLoc'!U$2:U$51,'BS-KH26-DaiLoc'!$A$2:$A$51,'Consol BS-DTRG'!$A64)</f>
        <v>0</v>
      </c>
      <c r="CM64" s="15">
        <f>SUMIFS('BS-KH26-DaiLoc'!V$2:V$51,'BS-KH26-DaiLoc'!$A$2:$A$51,'Consol BS-DTRG'!$A64)</f>
        <v>0</v>
      </c>
      <c r="CN64" s="15">
        <f>SUMIFS('BS-KH26-DaiLoc'!W$2:W$51,'BS-KH26-DaiLoc'!$A$2:$A$51,'Consol BS-DTRG'!$A64)</f>
        <v>0</v>
      </c>
      <c r="CO64" s="15">
        <f>SUMIFS('BS-KH26-DaiLoc'!X$2:X$51,'BS-KH26-DaiLoc'!$A$2:$A$51,'Consol BS-DTRG'!$A64)</f>
        <v>0</v>
      </c>
      <c r="CQ64" s="15">
        <v>0</v>
      </c>
      <c r="CR64" s="15">
        <f t="shared" ref="CR64:DB65" si="516">CQ64</f>
        <v>0</v>
      </c>
      <c r="CS64" s="15">
        <f t="shared" si="516"/>
        <v>0</v>
      </c>
      <c r="CT64" s="15">
        <f t="shared" si="516"/>
        <v>0</v>
      </c>
      <c r="CU64" s="15">
        <f t="shared" si="516"/>
        <v>0</v>
      </c>
      <c r="CV64" s="15">
        <f t="shared" si="516"/>
        <v>0</v>
      </c>
      <c r="CW64" s="15">
        <f t="shared" si="516"/>
        <v>0</v>
      </c>
      <c r="CX64" s="15">
        <f t="shared" si="516"/>
        <v>0</v>
      </c>
      <c r="CY64" s="15">
        <f t="shared" si="516"/>
        <v>0</v>
      </c>
      <c r="CZ64" s="15">
        <f t="shared" si="516"/>
        <v>0</v>
      </c>
      <c r="DA64" s="15">
        <f t="shared" si="516"/>
        <v>0</v>
      </c>
      <c r="DB64" s="15">
        <f t="shared" si="516"/>
        <v>0</v>
      </c>
    </row>
    <row r="65" spans="1:106" hidden="1" outlineLevel="1">
      <c r="A65" s="633">
        <v>62</v>
      </c>
      <c r="B65" s="612" t="s">
        <v>315</v>
      </c>
      <c r="C65" t="s">
        <v>518</v>
      </c>
      <c r="D65" s="15">
        <f t="shared" si="492"/>
        <v>0</v>
      </c>
      <c r="E65" s="15">
        <f t="shared" si="493"/>
        <v>0</v>
      </c>
      <c r="F65" s="15">
        <f t="shared" si="494"/>
        <v>0</v>
      </c>
      <c r="G65" s="15">
        <f t="shared" si="495"/>
        <v>0</v>
      </c>
      <c r="H65" s="15">
        <f t="shared" si="496"/>
        <v>0</v>
      </c>
      <c r="I65" s="15">
        <f t="shared" si="497"/>
        <v>0</v>
      </c>
      <c r="J65" s="15">
        <f t="shared" si="498"/>
        <v>0</v>
      </c>
      <c r="K65" s="15">
        <f t="shared" si="499"/>
        <v>0</v>
      </c>
      <c r="L65" s="15">
        <f t="shared" si="500"/>
        <v>0</v>
      </c>
      <c r="M65" s="15">
        <f t="shared" si="501"/>
        <v>0</v>
      </c>
      <c r="N65" s="15">
        <f t="shared" si="502"/>
        <v>0</v>
      </c>
      <c r="O65" s="15">
        <f t="shared" si="503"/>
        <v>0</v>
      </c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D65" s="646">
        <f t="shared" si="504"/>
        <v>0</v>
      </c>
      <c r="AE65" s="15">
        <f t="shared" si="505"/>
        <v>0</v>
      </c>
      <c r="AF65" s="15">
        <f t="shared" si="506"/>
        <v>0</v>
      </c>
      <c r="AG65" s="15">
        <f t="shared" si="507"/>
        <v>0</v>
      </c>
      <c r="AH65" s="15">
        <f t="shared" si="508"/>
        <v>0</v>
      </c>
      <c r="AI65" s="15">
        <f t="shared" si="509"/>
        <v>0</v>
      </c>
      <c r="AJ65" s="15">
        <f t="shared" si="510"/>
        <v>0</v>
      </c>
      <c r="AK65" s="15">
        <f t="shared" si="511"/>
        <v>0</v>
      </c>
      <c r="AL65" s="15">
        <f t="shared" si="512"/>
        <v>0</v>
      </c>
      <c r="AM65" s="15">
        <f t="shared" si="513"/>
        <v>0</v>
      </c>
      <c r="AN65" s="15">
        <f t="shared" si="514"/>
        <v>0</v>
      </c>
      <c r="AO65" s="647">
        <f t="shared" si="515"/>
        <v>0</v>
      </c>
      <c r="AQ65" s="15">
        <f>SUMIFS('BS-KH26-DTR'!D$2:D$116,'BS-KH26-DTR'!$B$2:$B$116,$A65)</f>
        <v>0</v>
      </c>
      <c r="AR65" s="15">
        <f>SUMIFS('BS-KH26-DTR'!E$2:E$116,'BS-KH26-DTR'!$B$2:$B$116,$A65)</f>
        <v>0</v>
      </c>
      <c r="AS65" s="15">
        <f>SUMIFS('BS-KH26-DTR'!F$2:F$116,'BS-KH26-DTR'!$B$2:$B$116,$A65)</f>
        <v>0</v>
      </c>
      <c r="AT65" s="15">
        <f>SUMIFS('BS-KH26-DTR'!G$2:G$116,'BS-KH26-DTR'!$B$2:$B$116,$A65)</f>
        <v>0</v>
      </c>
      <c r="AU65" s="15">
        <f>SUMIFS('BS-KH26-DTR'!H$2:H$116,'BS-KH26-DTR'!$B$2:$B$116,$A65)</f>
        <v>0</v>
      </c>
      <c r="AV65" s="15">
        <f>SUMIFS('BS-KH26-DTR'!I$2:I$116,'BS-KH26-DTR'!$B$2:$B$116,$A65)</f>
        <v>0</v>
      </c>
      <c r="AW65" s="15">
        <f>SUMIFS('BS-KH26-DTR'!J$2:J$116,'BS-KH26-DTR'!$B$2:$B$116,$A65)</f>
        <v>0</v>
      </c>
      <c r="AX65" s="15">
        <f>SUMIFS('BS-KH26-DTR'!K$2:K$116,'BS-KH26-DTR'!$B$2:$B$116,$A65)</f>
        <v>0</v>
      </c>
      <c r="AY65" s="15">
        <f>SUMIFS('BS-KH26-DTR'!L$2:L$116,'BS-KH26-DTR'!$B$2:$B$116,$A65)</f>
        <v>0</v>
      </c>
      <c r="AZ65" s="15">
        <f>SUMIFS('BS-KH26-DTR'!M$2:M$116,'BS-KH26-DTR'!$B$2:$B$116,$A65)</f>
        <v>0</v>
      </c>
      <c r="BA65" s="15">
        <f>SUMIFS('BS-KH26-DTR'!N$2:N$116,'BS-KH26-DTR'!$B$2:$B$116,$A65)</f>
        <v>0</v>
      </c>
      <c r="BB65" s="15">
        <f>SUMIFS('BS-KH26-DTR'!O$2:O$116,'BS-KH26-DTR'!$B$2:$B$116,$A65)</f>
        <v>0</v>
      </c>
      <c r="BD65" s="15">
        <f>SUMIFS('BS-KH26-DongLam'!M$2:M$51,'BS-KH26-DongLam'!$A$2:$A$51,'Consol BS-DTRG'!$A65)</f>
        <v>0</v>
      </c>
      <c r="BE65" s="15">
        <f>SUMIFS('BS-KH26-DongLam'!N$2:N$51,'BS-KH26-DongLam'!$A$2:$A$51,'Consol BS-DTRG'!$A65)</f>
        <v>0</v>
      </c>
      <c r="BF65" s="15">
        <f>SUMIFS('BS-KH26-DongLam'!O$2:O$51,'BS-KH26-DongLam'!$A$2:$A$51,'Consol BS-DTRG'!$A65)</f>
        <v>0</v>
      </c>
      <c r="BG65" s="15">
        <f>SUMIFS('BS-KH26-DongLam'!P$2:P$51,'BS-KH26-DongLam'!$A$2:$A$51,'Consol BS-DTRG'!$A65)</f>
        <v>0</v>
      </c>
      <c r="BH65" s="15">
        <f>SUMIFS('BS-KH26-DongLam'!Q$2:Q$51,'BS-KH26-DongLam'!$A$2:$A$51,'Consol BS-DTRG'!$A65)</f>
        <v>0</v>
      </c>
      <c r="BI65" s="15">
        <f>SUMIFS('BS-KH26-DongLam'!R$2:R$51,'BS-KH26-DongLam'!$A$2:$A$51,'Consol BS-DTRG'!$A65)</f>
        <v>0</v>
      </c>
      <c r="BJ65" s="15">
        <f>SUMIFS('BS-KH26-DongLam'!S$2:S$51,'BS-KH26-DongLam'!$A$2:$A$51,'Consol BS-DTRG'!$A65)</f>
        <v>0</v>
      </c>
      <c r="BK65" s="15">
        <f>SUMIFS('BS-KH26-DongLam'!T$2:T$51,'BS-KH26-DongLam'!$A$2:$A$51,'Consol BS-DTRG'!$A65)</f>
        <v>0</v>
      </c>
      <c r="BL65" s="15">
        <f>SUMIFS('BS-KH26-DongLam'!U$2:U$51,'BS-KH26-DongLam'!$A$2:$A$51,'Consol BS-DTRG'!$A65)</f>
        <v>0</v>
      </c>
      <c r="BM65" s="15">
        <f>SUMIFS('BS-KH26-DongLam'!V$2:V$51,'BS-KH26-DongLam'!$A$2:$A$51,'Consol BS-DTRG'!$A65)</f>
        <v>0</v>
      </c>
      <c r="BN65" s="15">
        <f>SUMIFS('BS-KH26-DongLam'!W$2:W$51,'BS-KH26-DongLam'!$A$2:$A$51,'Consol BS-DTRG'!$A65)</f>
        <v>0</v>
      </c>
      <c r="BO65" s="15">
        <f>SUMIFS('BS-KH26-DongLam'!X$2:X$51,'BS-KH26-DongLam'!$A$2:$A$51,'Consol BS-DTRG'!$A65)</f>
        <v>0</v>
      </c>
      <c r="BQ65" s="15">
        <f>SUMIFS('BS-KH26-KhanhNga'!M$2:M$51,'BS-KH26-KhanhNga'!$A$2:$A$51,'Consol BS-DTRG'!$A65)</f>
        <v>0</v>
      </c>
      <c r="BR65" s="15">
        <f>SUMIFS('BS-KH26-KhanhNga'!N$2:N$51,'BS-KH26-KhanhNga'!$A$2:$A$51,'Consol BS-DTRG'!$A65)</f>
        <v>0</v>
      </c>
      <c r="BS65" s="15">
        <f>SUMIFS('BS-KH26-KhanhNga'!O$2:O$51,'BS-KH26-KhanhNga'!$A$2:$A$51,'Consol BS-DTRG'!$A65)</f>
        <v>0</v>
      </c>
      <c r="BT65" s="15">
        <f>SUMIFS('BS-KH26-KhanhNga'!P$2:P$51,'BS-KH26-KhanhNga'!$A$2:$A$51,'Consol BS-DTRG'!$A65)</f>
        <v>0</v>
      </c>
      <c r="BU65" s="15">
        <f>SUMIFS('BS-KH26-KhanhNga'!Q$2:Q$51,'BS-KH26-KhanhNga'!$A$2:$A$51,'Consol BS-DTRG'!$A65)</f>
        <v>0</v>
      </c>
      <c r="BV65" s="15">
        <f>SUMIFS('BS-KH26-KhanhNga'!R$2:R$51,'BS-KH26-KhanhNga'!$A$2:$A$51,'Consol BS-DTRG'!$A65)</f>
        <v>0</v>
      </c>
      <c r="BW65" s="15">
        <f>SUMIFS('BS-KH26-KhanhNga'!S$2:S$51,'BS-KH26-KhanhNga'!$A$2:$A$51,'Consol BS-DTRG'!$A65)</f>
        <v>0</v>
      </c>
      <c r="BX65" s="15">
        <f>SUMIFS('BS-KH26-KhanhNga'!T$2:T$51,'BS-KH26-KhanhNga'!$A$2:$A$51,'Consol BS-DTRG'!$A65)</f>
        <v>0</v>
      </c>
      <c r="BY65" s="15">
        <f>SUMIFS('BS-KH26-KhanhNga'!U$2:U$51,'BS-KH26-KhanhNga'!$A$2:$A$51,'Consol BS-DTRG'!$A65)</f>
        <v>0</v>
      </c>
      <c r="BZ65" s="15">
        <f>SUMIFS('BS-KH26-KhanhNga'!V$2:V$51,'BS-KH26-KhanhNga'!$A$2:$A$51,'Consol BS-DTRG'!$A65)</f>
        <v>0</v>
      </c>
      <c r="CA65" s="15">
        <f>SUMIFS('BS-KH26-KhanhNga'!W$2:W$51,'BS-KH26-KhanhNga'!$A$2:$A$51,'Consol BS-DTRG'!$A65)</f>
        <v>0</v>
      </c>
      <c r="CB65" s="15">
        <f>SUMIFS('BS-KH26-KhanhNga'!X$2:X$51,'BS-KH26-KhanhNga'!$A$2:$A$51,'Consol BS-DTRG'!$A65)</f>
        <v>0</v>
      </c>
      <c r="CD65" s="15">
        <f>SUMIFS('BS-KH26-DaiLoc'!M$2:M$51,'BS-KH26-DaiLoc'!$A$2:$A$51,'Consol BS-DTRG'!$A65)</f>
        <v>0</v>
      </c>
      <c r="CE65" s="15">
        <f>SUMIFS('BS-KH26-DaiLoc'!N$2:N$51,'BS-KH26-DaiLoc'!$A$2:$A$51,'Consol BS-DTRG'!$A65)</f>
        <v>0</v>
      </c>
      <c r="CF65" s="15">
        <f>SUMIFS('BS-KH26-DaiLoc'!O$2:O$51,'BS-KH26-DaiLoc'!$A$2:$A$51,'Consol BS-DTRG'!$A65)</f>
        <v>0</v>
      </c>
      <c r="CG65" s="15">
        <f>SUMIFS('BS-KH26-DaiLoc'!P$2:P$51,'BS-KH26-DaiLoc'!$A$2:$A$51,'Consol BS-DTRG'!$A65)</f>
        <v>0</v>
      </c>
      <c r="CH65" s="15">
        <f>SUMIFS('BS-KH26-DaiLoc'!Q$2:Q$51,'BS-KH26-DaiLoc'!$A$2:$A$51,'Consol BS-DTRG'!$A65)</f>
        <v>0</v>
      </c>
      <c r="CI65" s="15">
        <f>SUMIFS('BS-KH26-DaiLoc'!R$2:R$51,'BS-KH26-DaiLoc'!$A$2:$A$51,'Consol BS-DTRG'!$A65)</f>
        <v>0</v>
      </c>
      <c r="CJ65" s="15">
        <f>SUMIFS('BS-KH26-DaiLoc'!S$2:S$51,'BS-KH26-DaiLoc'!$A$2:$A$51,'Consol BS-DTRG'!$A65)</f>
        <v>0</v>
      </c>
      <c r="CK65" s="15">
        <f>SUMIFS('BS-KH26-DaiLoc'!T$2:T$51,'BS-KH26-DaiLoc'!$A$2:$A$51,'Consol BS-DTRG'!$A65)</f>
        <v>0</v>
      </c>
      <c r="CL65" s="15">
        <f>SUMIFS('BS-KH26-DaiLoc'!U$2:U$51,'BS-KH26-DaiLoc'!$A$2:$A$51,'Consol BS-DTRG'!$A65)</f>
        <v>0</v>
      </c>
      <c r="CM65" s="15">
        <f>SUMIFS('BS-KH26-DaiLoc'!V$2:V$51,'BS-KH26-DaiLoc'!$A$2:$A$51,'Consol BS-DTRG'!$A65)</f>
        <v>0</v>
      </c>
      <c r="CN65" s="15">
        <f>SUMIFS('BS-KH26-DaiLoc'!W$2:W$51,'BS-KH26-DaiLoc'!$A$2:$A$51,'Consol BS-DTRG'!$A65)</f>
        <v>0</v>
      </c>
      <c r="CO65" s="15">
        <f>SUMIFS('BS-KH26-DaiLoc'!X$2:X$51,'BS-KH26-DaiLoc'!$A$2:$A$51,'Consol BS-DTRG'!$A65)</f>
        <v>0</v>
      </c>
      <c r="CQ65" s="15">
        <v>0</v>
      </c>
      <c r="CR65" s="15">
        <f t="shared" si="516"/>
        <v>0</v>
      </c>
      <c r="CS65" s="15">
        <f t="shared" si="516"/>
        <v>0</v>
      </c>
      <c r="CT65" s="15">
        <f t="shared" si="516"/>
        <v>0</v>
      </c>
      <c r="CU65" s="15">
        <f t="shared" si="516"/>
        <v>0</v>
      </c>
      <c r="CV65" s="15">
        <f t="shared" si="516"/>
        <v>0</v>
      </c>
      <c r="CW65" s="15">
        <f t="shared" si="516"/>
        <v>0</v>
      </c>
      <c r="CX65" s="15">
        <f t="shared" si="516"/>
        <v>0</v>
      </c>
      <c r="CY65" s="15">
        <f t="shared" si="516"/>
        <v>0</v>
      </c>
      <c r="CZ65" s="15">
        <f t="shared" si="516"/>
        <v>0</v>
      </c>
      <c r="DA65" s="15">
        <f t="shared" si="516"/>
        <v>0</v>
      </c>
      <c r="DB65" s="15">
        <f t="shared" si="516"/>
        <v>0</v>
      </c>
    </row>
    <row r="66" spans="1:106" collapsed="1">
      <c r="A66" s="1">
        <v>63</v>
      </c>
      <c r="B66" s="617" t="s">
        <v>316</v>
      </c>
      <c r="D66" s="14">
        <f t="shared" si="483"/>
        <v>0</v>
      </c>
      <c r="E66" s="14">
        <f t="shared" si="483"/>
        <v>0</v>
      </c>
      <c r="F66" s="14">
        <f t="shared" si="483"/>
        <v>0</v>
      </c>
      <c r="G66" s="14">
        <f t="shared" si="483"/>
        <v>0</v>
      </c>
      <c r="H66" s="14">
        <f t="shared" si="483"/>
        <v>0</v>
      </c>
      <c r="I66" s="14">
        <f t="shared" si="483"/>
        <v>0</v>
      </c>
      <c r="J66" s="14">
        <f t="shared" si="483"/>
        <v>0</v>
      </c>
      <c r="K66" s="14">
        <f t="shared" si="483"/>
        <v>0</v>
      </c>
      <c r="L66" s="14">
        <f t="shared" si="483"/>
        <v>0</v>
      </c>
      <c r="M66" s="14">
        <f t="shared" si="483"/>
        <v>0</v>
      </c>
      <c r="N66" s="14">
        <f t="shared" si="483"/>
        <v>0</v>
      </c>
      <c r="O66" s="14">
        <f t="shared" si="483"/>
        <v>0</v>
      </c>
      <c r="Q66" s="14">
        <f t="shared" ref="Q66:AB66" si="517">SUM(Q67:Q68)</f>
        <v>0</v>
      </c>
      <c r="R66" s="14">
        <f t="shared" si="517"/>
        <v>0</v>
      </c>
      <c r="S66" s="14">
        <f t="shared" si="517"/>
        <v>0</v>
      </c>
      <c r="T66" s="14">
        <f t="shared" si="517"/>
        <v>0</v>
      </c>
      <c r="U66" s="14">
        <f t="shared" si="517"/>
        <v>0</v>
      </c>
      <c r="V66" s="14">
        <f t="shared" si="517"/>
        <v>0</v>
      </c>
      <c r="W66" s="14">
        <f t="shared" si="517"/>
        <v>0</v>
      </c>
      <c r="X66" s="14">
        <f t="shared" si="517"/>
        <v>0</v>
      </c>
      <c r="Y66" s="14">
        <f t="shared" si="517"/>
        <v>0</v>
      </c>
      <c r="Z66" s="14">
        <f t="shared" si="517"/>
        <v>0</v>
      </c>
      <c r="AA66" s="14">
        <f t="shared" si="517"/>
        <v>0</v>
      </c>
      <c r="AB66" s="14">
        <f t="shared" si="517"/>
        <v>0</v>
      </c>
      <c r="AD66" s="644">
        <f t="shared" ref="AD66" si="518">SUM(AD67:AD68)</f>
        <v>0</v>
      </c>
      <c r="AE66" s="14">
        <f t="shared" ref="AE66:AO66" si="519">SUM(AE67:AE68)</f>
        <v>0</v>
      </c>
      <c r="AF66" s="14">
        <f t="shared" si="519"/>
        <v>0</v>
      </c>
      <c r="AG66" s="14">
        <f t="shared" si="519"/>
        <v>0</v>
      </c>
      <c r="AH66" s="14">
        <f t="shared" si="519"/>
        <v>0</v>
      </c>
      <c r="AI66" s="14">
        <f t="shared" si="519"/>
        <v>0</v>
      </c>
      <c r="AJ66" s="14">
        <f t="shared" si="519"/>
        <v>0</v>
      </c>
      <c r="AK66" s="14">
        <f t="shared" si="519"/>
        <v>0</v>
      </c>
      <c r="AL66" s="14">
        <f t="shared" si="519"/>
        <v>0</v>
      </c>
      <c r="AM66" s="14">
        <f t="shared" si="519"/>
        <v>0</v>
      </c>
      <c r="AN66" s="14">
        <f t="shared" si="519"/>
        <v>0</v>
      </c>
      <c r="AO66" s="645">
        <f t="shared" si="519"/>
        <v>0</v>
      </c>
      <c r="AQ66" s="14">
        <f t="shared" ref="AQ66:BB66" si="520">SUM(AQ67:AQ68)</f>
        <v>0</v>
      </c>
      <c r="AR66" s="14">
        <f t="shared" si="520"/>
        <v>0</v>
      </c>
      <c r="AS66" s="14">
        <f t="shared" si="520"/>
        <v>0</v>
      </c>
      <c r="AT66" s="14">
        <f t="shared" si="520"/>
        <v>0</v>
      </c>
      <c r="AU66" s="14">
        <f t="shared" si="520"/>
        <v>0</v>
      </c>
      <c r="AV66" s="14">
        <f t="shared" si="520"/>
        <v>0</v>
      </c>
      <c r="AW66" s="14">
        <f t="shared" si="520"/>
        <v>0</v>
      </c>
      <c r="AX66" s="14">
        <f t="shared" si="520"/>
        <v>0</v>
      </c>
      <c r="AY66" s="14">
        <f t="shared" si="520"/>
        <v>0</v>
      </c>
      <c r="AZ66" s="14">
        <f t="shared" si="520"/>
        <v>0</v>
      </c>
      <c r="BA66" s="14">
        <f t="shared" si="520"/>
        <v>0</v>
      </c>
      <c r="BB66" s="14">
        <f t="shared" si="520"/>
        <v>0</v>
      </c>
      <c r="BD66" s="14">
        <f t="shared" ref="BD66:BO66" si="521">SUM(BD67:BD68)</f>
        <v>0</v>
      </c>
      <c r="BE66" s="14">
        <f t="shared" si="521"/>
        <v>0</v>
      </c>
      <c r="BF66" s="14">
        <f t="shared" si="521"/>
        <v>0</v>
      </c>
      <c r="BG66" s="14">
        <f t="shared" si="521"/>
        <v>0</v>
      </c>
      <c r="BH66" s="14">
        <f t="shared" si="521"/>
        <v>0</v>
      </c>
      <c r="BI66" s="14">
        <f t="shared" si="521"/>
        <v>0</v>
      </c>
      <c r="BJ66" s="14">
        <f t="shared" si="521"/>
        <v>0</v>
      </c>
      <c r="BK66" s="14">
        <f t="shared" si="521"/>
        <v>0</v>
      </c>
      <c r="BL66" s="14">
        <f t="shared" si="521"/>
        <v>0</v>
      </c>
      <c r="BM66" s="14">
        <f t="shared" si="521"/>
        <v>0</v>
      </c>
      <c r="BN66" s="14">
        <f t="shared" si="521"/>
        <v>0</v>
      </c>
      <c r="BO66" s="14">
        <f t="shared" si="521"/>
        <v>0</v>
      </c>
      <c r="BQ66" s="14">
        <f t="shared" ref="BQ66:CB66" si="522">SUM(BQ67:BQ68)</f>
        <v>0</v>
      </c>
      <c r="BR66" s="14">
        <f t="shared" si="522"/>
        <v>0</v>
      </c>
      <c r="BS66" s="14">
        <f t="shared" si="522"/>
        <v>0</v>
      </c>
      <c r="BT66" s="14">
        <f t="shared" si="522"/>
        <v>0</v>
      </c>
      <c r="BU66" s="14">
        <f t="shared" si="522"/>
        <v>0</v>
      </c>
      <c r="BV66" s="14">
        <f t="shared" si="522"/>
        <v>0</v>
      </c>
      <c r="BW66" s="14">
        <f t="shared" si="522"/>
        <v>0</v>
      </c>
      <c r="BX66" s="14">
        <f t="shared" si="522"/>
        <v>0</v>
      </c>
      <c r="BY66" s="14">
        <f t="shared" si="522"/>
        <v>0</v>
      </c>
      <c r="BZ66" s="14">
        <f t="shared" si="522"/>
        <v>0</v>
      </c>
      <c r="CA66" s="14">
        <f t="shared" si="522"/>
        <v>0</v>
      </c>
      <c r="CB66" s="14">
        <f t="shared" si="522"/>
        <v>0</v>
      </c>
      <c r="CD66" s="14">
        <f t="shared" ref="CD66:CO66" si="523">SUM(CD67:CD68)</f>
        <v>0</v>
      </c>
      <c r="CE66" s="14">
        <f t="shared" si="523"/>
        <v>0</v>
      </c>
      <c r="CF66" s="14">
        <f t="shared" si="523"/>
        <v>0</v>
      </c>
      <c r="CG66" s="14">
        <f t="shared" si="523"/>
        <v>0</v>
      </c>
      <c r="CH66" s="14">
        <f t="shared" si="523"/>
        <v>0</v>
      </c>
      <c r="CI66" s="14">
        <f t="shared" si="523"/>
        <v>0</v>
      </c>
      <c r="CJ66" s="14">
        <f t="shared" si="523"/>
        <v>0</v>
      </c>
      <c r="CK66" s="14">
        <f t="shared" si="523"/>
        <v>0</v>
      </c>
      <c r="CL66" s="14">
        <f t="shared" si="523"/>
        <v>0</v>
      </c>
      <c r="CM66" s="14">
        <f t="shared" si="523"/>
        <v>0</v>
      </c>
      <c r="CN66" s="14">
        <f t="shared" si="523"/>
        <v>0</v>
      </c>
      <c r="CO66" s="14">
        <f t="shared" si="523"/>
        <v>0</v>
      </c>
      <c r="CQ66" s="14">
        <f t="shared" ref="CQ66:DB66" si="524">SUM(CQ67:CQ68)</f>
        <v>0</v>
      </c>
      <c r="CR66" s="14">
        <f t="shared" si="524"/>
        <v>0</v>
      </c>
      <c r="CS66" s="14">
        <f t="shared" si="524"/>
        <v>0</v>
      </c>
      <c r="CT66" s="14">
        <f t="shared" si="524"/>
        <v>0</v>
      </c>
      <c r="CU66" s="14">
        <f t="shared" si="524"/>
        <v>0</v>
      </c>
      <c r="CV66" s="14">
        <f t="shared" si="524"/>
        <v>0</v>
      </c>
      <c r="CW66" s="14">
        <f t="shared" si="524"/>
        <v>0</v>
      </c>
      <c r="CX66" s="14">
        <f t="shared" si="524"/>
        <v>0</v>
      </c>
      <c r="CY66" s="14">
        <f t="shared" si="524"/>
        <v>0</v>
      </c>
      <c r="CZ66" s="14">
        <f t="shared" si="524"/>
        <v>0</v>
      </c>
      <c r="DA66" s="14">
        <f t="shared" si="524"/>
        <v>0</v>
      </c>
      <c r="DB66" s="14">
        <f t="shared" si="524"/>
        <v>0</v>
      </c>
    </row>
    <row r="67" spans="1:106" hidden="1" outlineLevel="1">
      <c r="A67" s="633">
        <v>64</v>
      </c>
      <c r="B67" s="612" t="s">
        <v>317</v>
      </c>
      <c r="C67" t="s">
        <v>518</v>
      </c>
      <c r="D67" s="15">
        <f t="shared" ref="D67:D68" si="525">AD67+Q67</f>
        <v>0</v>
      </c>
      <c r="E67" s="15">
        <f t="shared" ref="E67:E68" si="526">AE67+R67</f>
        <v>0</v>
      </c>
      <c r="F67" s="15">
        <f t="shared" ref="F67:F68" si="527">AF67+S67</f>
        <v>0</v>
      </c>
      <c r="G67" s="15">
        <f t="shared" ref="G67:G68" si="528">AG67+T67</f>
        <v>0</v>
      </c>
      <c r="H67" s="15">
        <f t="shared" ref="H67:H68" si="529">AH67+U67</f>
        <v>0</v>
      </c>
      <c r="I67" s="15">
        <f t="shared" ref="I67:I68" si="530">AI67+V67</f>
        <v>0</v>
      </c>
      <c r="J67" s="15">
        <f t="shared" ref="J67:J68" si="531">AJ67+W67</f>
        <v>0</v>
      </c>
      <c r="K67" s="15">
        <f t="shared" ref="K67:K68" si="532">AK67+X67</f>
        <v>0</v>
      </c>
      <c r="L67" s="15">
        <f t="shared" ref="L67:L68" si="533">AL67+Y67</f>
        <v>0</v>
      </c>
      <c r="M67" s="15">
        <f t="shared" ref="M67:M68" si="534">AM67+Z67</f>
        <v>0</v>
      </c>
      <c r="N67" s="15">
        <f t="shared" ref="N67:N68" si="535">AN67+AA67</f>
        <v>0</v>
      </c>
      <c r="O67" s="15">
        <f t="shared" ref="O67:O68" si="536">AO67+AB67</f>
        <v>0</v>
      </c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D67" s="646">
        <f t="shared" ref="AD67:AD68" si="537">AQ67+BD67+BQ67+CD67+CQ67</f>
        <v>0</v>
      </c>
      <c r="AE67" s="15">
        <f t="shared" ref="AE67:AE68" si="538">AR67+BE67+BR67+CE67+CR67</f>
        <v>0</v>
      </c>
      <c r="AF67" s="15">
        <f t="shared" ref="AF67:AF68" si="539">AS67+BF67+BS67+CF67+CS67</f>
        <v>0</v>
      </c>
      <c r="AG67" s="15">
        <f t="shared" ref="AG67:AG68" si="540">AT67+BG67+BT67+CG67+CT67</f>
        <v>0</v>
      </c>
      <c r="AH67" s="15">
        <f t="shared" ref="AH67:AH68" si="541">AU67+BH67+BU67+CH67+CU67</f>
        <v>0</v>
      </c>
      <c r="AI67" s="15">
        <f t="shared" ref="AI67:AI68" si="542">AV67+BI67+BV67+CI67+CV67</f>
        <v>0</v>
      </c>
      <c r="AJ67" s="15">
        <f t="shared" ref="AJ67:AJ68" si="543">AW67+BJ67+BW67+CJ67+CW67</f>
        <v>0</v>
      </c>
      <c r="AK67" s="15">
        <f t="shared" ref="AK67:AK68" si="544">AX67+BK67+BX67+CK67+CX67</f>
        <v>0</v>
      </c>
      <c r="AL67" s="15">
        <f t="shared" ref="AL67:AL68" si="545">AY67+BL67+BY67+CL67+CY67</f>
        <v>0</v>
      </c>
      <c r="AM67" s="15">
        <f t="shared" ref="AM67:AM68" si="546">AZ67+BM67+BZ67+CM67+CZ67</f>
        <v>0</v>
      </c>
      <c r="AN67" s="15">
        <f t="shared" ref="AN67:AN68" si="547">BA67+BN67+CA67+CN67+DA67</f>
        <v>0</v>
      </c>
      <c r="AO67" s="647">
        <f t="shared" ref="AO67:AO68" si="548">BB67+BO67+CB67+CO67+DB67</f>
        <v>0</v>
      </c>
      <c r="AQ67" s="15">
        <f>SUMIFS('BS-KH26-DTR'!D$2:D$116,'BS-KH26-DTR'!$B$2:$B$116,$A67)</f>
        <v>0</v>
      </c>
      <c r="AR67" s="15">
        <f>SUMIFS('BS-KH26-DTR'!E$2:E$116,'BS-KH26-DTR'!$B$2:$B$116,$A67)</f>
        <v>0</v>
      </c>
      <c r="AS67" s="15">
        <f>SUMIFS('BS-KH26-DTR'!F$2:F$116,'BS-KH26-DTR'!$B$2:$B$116,$A67)</f>
        <v>0</v>
      </c>
      <c r="AT67" s="15">
        <f>SUMIFS('BS-KH26-DTR'!G$2:G$116,'BS-KH26-DTR'!$B$2:$B$116,$A67)</f>
        <v>0</v>
      </c>
      <c r="AU67" s="15">
        <f>SUMIFS('BS-KH26-DTR'!H$2:H$116,'BS-KH26-DTR'!$B$2:$B$116,$A67)</f>
        <v>0</v>
      </c>
      <c r="AV67" s="15">
        <f>SUMIFS('BS-KH26-DTR'!I$2:I$116,'BS-KH26-DTR'!$B$2:$B$116,$A67)</f>
        <v>0</v>
      </c>
      <c r="AW67" s="15">
        <f>SUMIFS('BS-KH26-DTR'!J$2:J$116,'BS-KH26-DTR'!$B$2:$B$116,$A67)</f>
        <v>0</v>
      </c>
      <c r="AX67" s="15">
        <f>SUMIFS('BS-KH26-DTR'!K$2:K$116,'BS-KH26-DTR'!$B$2:$B$116,$A67)</f>
        <v>0</v>
      </c>
      <c r="AY67" s="15">
        <f>SUMIFS('BS-KH26-DTR'!L$2:L$116,'BS-KH26-DTR'!$B$2:$B$116,$A67)</f>
        <v>0</v>
      </c>
      <c r="AZ67" s="15">
        <f>SUMIFS('BS-KH26-DTR'!M$2:M$116,'BS-KH26-DTR'!$B$2:$B$116,$A67)</f>
        <v>0</v>
      </c>
      <c r="BA67" s="15">
        <f>SUMIFS('BS-KH26-DTR'!N$2:N$116,'BS-KH26-DTR'!$B$2:$B$116,$A67)</f>
        <v>0</v>
      </c>
      <c r="BB67" s="15">
        <f>SUMIFS('BS-KH26-DTR'!O$2:O$116,'BS-KH26-DTR'!$B$2:$B$116,$A67)</f>
        <v>0</v>
      </c>
      <c r="BD67" s="15">
        <f>SUMIFS('BS-KH26-DongLam'!M$2:M$51,'BS-KH26-DongLam'!$A$2:$A$51,'Consol BS-DTRG'!$A67)</f>
        <v>0</v>
      </c>
      <c r="BE67" s="15">
        <f>SUMIFS('BS-KH26-DongLam'!N$2:N$51,'BS-KH26-DongLam'!$A$2:$A$51,'Consol BS-DTRG'!$A67)</f>
        <v>0</v>
      </c>
      <c r="BF67" s="15">
        <f>SUMIFS('BS-KH26-DongLam'!O$2:O$51,'BS-KH26-DongLam'!$A$2:$A$51,'Consol BS-DTRG'!$A67)</f>
        <v>0</v>
      </c>
      <c r="BG67" s="15">
        <f>SUMIFS('BS-KH26-DongLam'!P$2:P$51,'BS-KH26-DongLam'!$A$2:$A$51,'Consol BS-DTRG'!$A67)</f>
        <v>0</v>
      </c>
      <c r="BH67" s="15">
        <f>SUMIFS('BS-KH26-DongLam'!Q$2:Q$51,'BS-KH26-DongLam'!$A$2:$A$51,'Consol BS-DTRG'!$A67)</f>
        <v>0</v>
      </c>
      <c r="BI67" s="15">
        <f>SUMIFS('BS-KH26-DongLam'!R$2:R$51,'BS-KH26-DongLam'!$A$2:$A$51,'Consol BS-DTRG'!$A67)</f>
        <v>0</v>
      </c>
      <c r="BJ67" s="15">
        <f>SUMIFS('BS-KH26-DongLam'!S$2:S$51,'BS-KH26-DongLam'!$A$2:$A$51,'Consol BS-DTRG'!$A67)</f>
        <v>0</v>
      </c>
      <c r="BK67" s="15">
        <f>SUMIFS('BS-KH26-DongLam'!T$2:T$51,'BS-KH26-DongLam'!$A$2:$A$51,'Consol BS-DTRG'!$A67)</f>
        <v>0</v>
      </c>
      <c r="BL67" s="15">
        <f>SUMIFS('BS-KH26-DongLam'!U$2:U$51,'BS-KH26-DongLam'!$A$2:$A$51,'Consol BS-DTRG'!$A67)</f>
        <v>0</v>
      </c>
      <c r="BM67" s="15">
        <f>SUMIFS('BS-KH26-DongLam'!V$2:V$51,'BS-KH26-DongLam'!$A$2:$A$51,'Consol BS-DTRG'!$A67)</f>
        <v>0</v>
      </c>
      <c r="BN67" s="15">
        <f>SUMIFS('BS-KH26-DongLam'!W$2:W$51,'BS-KH26-DongLam'!$A$2:$A$51,'Consol BS-DTRG'!$A67)</f>
        <v>0</v>
      </c>
      <c r="BO67" s="15">
        <f>SUMIFS('BS-KH26-DongLam'!X$2:X$51,'BS-KH26-DongLam'!$A$2:$A$51,'Consol BS-DTRG'!$A67)</f>
        <v>0</v>
      </c>
      <c r="BQ67" s="15">
        <f>SUMIFS('BS-KH26-KhanhNga'!M$2:M$51,'BS-KH26-KhanhNga'!$A$2:$A$51,'Consol BS-DTRG'!$A67)</f>
        <v>0</v>
      </c>
      <c r="BR67" s="15">
        <f>SUMIFS('BS-KH26-KhanhNga'!N$2:N$51,'BS-KH26-KhanhNga'!$A$2:$A$51,'Consol BS-DTRG'!$A67)</f>
        <v>0</v>
      </c>
      <c r="BS67" s="15">
        <f>SUMIFS('BS-KH26-KhanhNga'!O$2:O$51,'BS-KH26-KhanhNga'!$A$2:$A$51,'Consol BS-DTRG'!$A67)</f>
        <v>0</v>
      </c>
      <c r="BT67" s="15">
        <f>SUMIFS('BS-KH26-KhanhNga'!P$2:P$51,'BS-KH26-KhanhNga'!$A$2:$A$51,'Consol BS-DTRG'!$A67)</f>
        <v>0</v>
      </c>
      <c r="BU67" s="15">
        <f>SUMIFS('BS-KH26-KhanhNga'!Q$2:Q$51,'BS-KH26-KhanhNga'!$A$2:$A$51,'Consol BS-DTRG'!$A67)</f>
        <v>0</v>
      </c>
      <c r="BV67" s="15">
        <f>SUMIFS('BS-KH26-KhanhNga'!R$2:R$51,'BS-KH26-KhanhNga'!$A$2:$A$51,'Consol BS-DTRG'!$A67)</f>
        <v>0</v>
      </c>
      <c r="BW67" s="15">
        <f>SUMIFS('BS-KH26-KhanhNga'!S$2:S$51,'BS-KH26-KhanhNga'!$A$2:$A$51,'Consol BS-DTRG'!$A67)</f>
        <v>0</v>
      </c>
      <c r="BX67" s="15">
        <f>SUMIFS('BS-KH26-KhanhNga'!T$2:T$51,'BS-KH26-KhanhNga'!$A$2:$A$51,'Consol BS-DTRG'!$A67)</f>
        <v>0</v>
      </c>
      <c r="BY67" s="15">
        <f>SUMIFS('BS-KH26-KhanhNga'!U$2:U$51,'BS-KH26-KhanhNga'!$A$2:$A$51,'Consol BS-DTRG'!$A67)</f>
        <v>0</v>
      </c>
      <c r="BZ67" s="15">
        <f>SUMIFS('BS-KH26-KhanhNga'!V$2:V$51,'BS-KH26-KhanhNga'!$A$2:$A$51,'Consol BS-DTRG'!$A67)</f>
        <v>0</v>
      </c>
      <c r="CA67" s="15">
        <f>SUMIFS('BS-KH26-KhanhNga'!W$2:W$51,'BS-KH26-KhanhNga'!$A$2:$A$51,'Consol BS-DTRG'!$A67)</f>
        <v>0</v>
      </c>
      <c r="CB67" s="15">
        <f>SUMIFS('BS-KH26-KhanhNga'!X$2:X$51,'BS-KH26-KhanhNga'!$A$2:$A$51,'Consol BS-DTRG'!$A67)</f>
        <v>0</v>
      </c>
      <c r="CD67" s="15">
        <f>SUMIFS('BS-KH26-DaiLoc'!M$2:M$51,'BS-KH26-DaiLoc'!$A$2:$A$51,'Consol BS-DTRG'!$A67)</f>
        <v>0</v>
      </c>
      <c r="CE67" s="15">
        <f>SUMIFS('BS-KH26-DaiLoc'!N$2:N$51,'BS-KH26-DaiLoc'!$A$2:$A$51,'Consol BS-DTRG'!$A67)</f>
        <v>0</v>
      </c>
      <c r="CF67" s="15">
        <f>SUMIFS('BS-KH26-DaiLoc'!O$2:O$51,'BS-KH26-DaiLoc'!$A$2:$A$51,'Consol BS-DTRG'!$A67)</f>
        <v>0</v>
      </c>
      <c r="CG67" s="15">
        <f>SUMIFS('BS-KH26-DaiLoc'!P$2:P$51,'BS-KH26-DaiLoc'!$A$2:$A$51,'Consol BS-DTRG'!$A67)</f>
        <v>0</v>
      </c>
      <c r="CH67" s="15">
        <f>SUMIFS('BS-KH26-DaiLoc'!Q$2:Q$51,'BS-KH26-DaiLoc'!$A$2:$A$51,'Consol BS-DTRG'!$A67)</f>
        <v>0</v>
      </c>
      <c r="CI67" s="15">
        <f>SUMIFS('BS-KH26-DaiLoc'!R$2:R$51,'BS-KH26-DaiLoc'!$A$2:$A$51,'Consol BS-DTRG'!$A67)</f>
        <v>0</v>
      </c>
      <c r="CJ67" s="15">
        <f>SUMIFS('BS-KH26-DaiLoc'!S$2:S$51,'BS-KH26-DaiLoc'!$A$2:$A$51,'Consol BS-DTRG'!$A67)</f>
        <v>0</v>
      </c>
      <c r="CK67" s="15">
        <f>SUMIFS('BS-KH26-DaiLoc'!T$2:T$51,'BS-KH26-DaiLoc'!$A$2:$A$51,'Consol BS-DTRG'!$A67)</f>
        <v>0</v>
      </c>
      <c r="CL67" s="15">
        <f>SUMIFS('BS-KH26-DaiLoc'!U$2:U$51,'BS-KH26-DaiLoc'!$A$2:$A$51,'Consol BS-DTRG'!$A67)</f>
        <v>0</v>
      </c>
      <c r="CM67" s="15">
        <f>SUMIFS('BS-KH26-DaiLoc'!V$2:V$51,'BS-KH26-DaiLoc'!$A$2:$A$51,'Consol BS-DTRG'!$A67)</f>
        <v>0</v>
      </c>
      <c r="CN67" s="15">
        <f>SUMIFS('BS-KH26-DaiLoc'!W$2:W$51,'BS-KH26-DaiLoc'!$A$2:$A$51,'Consol BS-DTRG'!$A67)</f>
        <v>0</v>
      </c>
      <c r="CO67" s="15">
        <f>SUMIFS('BS-KH26-DaiLoc'!X$2:X$51,'BS-KH26-DaiLoc'!$A$2:$A$51,'Consol BS-DTRG'!$A67)</f>
        <v>0</v>
      </c>
      <c r="CQ67" s="15">
        <v>0</v>
      </c>
      <c r="CR67" s="15">
        <f t="shared" ref="CR67:DB68" si="549">CQ67</f>
        <v>0</v>
      </c>
      <c r="CS67" s="15">
        <f t="shared" si="549"/>
        <v>0</v>
      </c>
      <c r="CT67" s="15">
        <f t="shared" si="549"/>
        <v>0</v>
      </c>
      <c r="CU67" s="15">
        <f t="shared" si="549"/>
        <v>0</v>
      </c>
      <c r="CV67" s="15">
        <f t="shared" si="549"/>
        <v>0</v>
      </c>
      <c r="CW67" s="15">
        <f t="shared" si="549"/>
        <v>0</v>
      </c>
      <c r="CX67" s="15">
        <f t="shared" si="549"/>
        <v>0</v>
      </c>
      <c r="CY67" s="15">
        <f t="shared" si="549"/>
        <v>0</v>
      </c>
      <c r="CZ67" s="15">
        <f t="shared" si="549"/>
        <v>0</v>
      </c>
      <c r="DA67" s="15">
        <f t="shared" si="549"/>
        <v>0</v>
      </c>
      <c r="DB67" s="15">
        <f t="shared" si="549"/>
        <v>0</v>
      </c>
    </row>
    <row r="68" spans="1:106" hidden="1" outlineLevel="1">
      <c r="A68" s="633">
        <v>65</v>
      </c>
      <c r="B68" s="612" t="s">
        <v>318</v>
      </c>
      <c r="C68" t="s">
        <v>518</v>
      </c>
      <c r="D68" s="15">
        <f t="shared" si="525"/>
        <v>0</v>
      </c>
      <c r="E68" s="15">
        <f t="shared" si="526"/>
        <v>0</v>
      </c>
      <c r="F68" s="15">
        <f t="shared" si="527"/>
        <v>0</v>
      </c>
      <c r="G68" s="15">
        <f t="shared" si="528"/>
        <v>0</v>
      </c>
      <c r="H68" s="15">
        <f t="shared" si="529"/>
        <v>0</v>
      </c>
      <c r="I68" s="15">
        <f t="shared" si="530"/>
        <v>0</v>
      </c>
      <c r="J68" s="15">
        <f t="shared" si="531"/>
        <v>0</v>
      </c>
      <c r="K68" s="15">
        <f t="shared" si="532"/>
        <v>0</v>
      </c>
      <c r="L68" s="15">
        <f t="shared" si="533"/>
        <v>0</v>
      </c>
      <c r="M68" s="15">
        <f t="shared" si="534"/>
        <v>0</v>
      </c>
      <c r="N68" s="15">
        <f t="shared" si="535"/>
        <v>0</v>
      </c>
      <c r="O68" s="15">
        <f t="shared" si="536"/>
        <v>0</v>
      </c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D68" s="646">
        <f t="shared" si="537"/>
        <v>0</v>
      </c>
      <c r="AE68" s="15">
        <f t="shared" si="538"/>
        <v>0</v>
      </c>
      <c r="AF68" s="15">
        <f t="shared" si="539"/>
        <v>0</v>
      </c>
      <c r="AG68" s="15">
        <f t="shared" si="540"/>
        <v>0</v>
      </c>
      <c r="AH68" s="15">
        <f t="shared" si="541"/>
        <v>0</v>
      </c>
      <c r="AI68" s="15">
        <f t="shared" si="542"/>
        <v>0</v>
      </c>
      <c r="AJ68" s="15">
        <f t="shared" si="543"/>
        <v>0</v>
      </c>
      <c r="AK68" s="15">
        <f t="shared" si="544"/>
        <v>0</v>
      </c>
      <c r="AL68" s="15">
        <f t="shared" si="545"/>
        <v>0</v>
      </c>
      <c r="AM68" s="15">
        <f t="shared" si="546"/>
        <v>0</v>
      </c>
      <c r="AN68" s="15">
        <f t="shared" si="547"/>
        <v>0</v>
      </c>
      <c r="AO68" s="647">
        <f t="shared" si="548"/>
        <v>0</v>
      </c>
      <c r="AQ68" s="15">
        <f>SUMIFS('BS-KH26-DTR'!D$2:D$116,'BS-KH26-DTR'!$B$2:$B$116,$A68)</f>
        <v>0</v>
      </c>
      <c r="AR68" s="15">
        <f>SUMIFS('BS-KH26-DTR'!E$2:E$116,'BS-KH26-DTR'!$B$2:$B$116,$A68)</f>
        <v>0</v>
      </c>
      <c r="AS68" s="15">
        <f>SUMIFS('BS-KH26-DTR'!F$2:F$116,'BS-KH26-DTR'!$B$2:$B$116,$A68)</f>
        <v>0</v>
      </c>
      <c r="AT68" s="15">
        <f>SUMIFS('BS-KH26-DTR'!G$2:G$116,'BS-KH26-DTR'!$B$2:$B$116,$A68)</f>
        <v>0</v>
      </c>
      <c r="AU68" s="15">
        <f>SUMIFS('BS-KH26-DTR'!H$2:H$116,'BS-KH26-DTR'!$B$2:$B$116,$A68)</f>
        <v>0</v>
      </c>
      <c r="AV68" s="15">
        <f>SUMIFS('BS-KH26-DTR'!I$2:I$116,'BS-KH26-DTR'!$B$2:$B$116,$A68)</f>
        <v>0</v>
      </c>
      <c r="AW68" s="15">
        <f>SUMIFS('BS-KH26-DTR'!J$2:J$116,'BS-KH26-DTR'!$B$2:$B$116,$A68)</f>
        <v>0</v>
      </c>
      <c r="AX68" s="15">
        <f>SUMIFS('BS-KH26-DTR'!K$2:K$116,'BS-KH26-DTR'!$B$2:$B$116,$A68)</f>
        <v>0</v>
      </c>
      <c r="AY68" s="15">
        <f>SUMIFS('BS-KH26-DTR'!L$2:L$116,'BS-KH26-DTR'!$B$2:$B$116,$A68)</f>
        <v>0</v>
      </c>
      <c r="AZ68" s="15">
        <f>SUMIFS('BS-KH26-DTR'!M$2:M$116,'BS-KH26-DTR'!$B$2:$B$116,$A68)</f>
        <v>0</v>
      </c>
      <c r="BA68" s="15">
        <f>SUMIFS('BS-KH26-DTR'!N$2:N$116,'BS-KH26-DTR'!$B$2:$B$116,$A68)</f>
        <v>0</v>
      </c>
      <c r="BB68" s="15">
        <f>SUMIFS('BS-KH26-DTR'!O$2:O$116,'BS-KH26-DTR'!$B$2:$B$116,$A68)</f>
        <v>0</v>
      </c>
      <c r="BD68" s="15">
        <f>SUMIFS('BS-KH26-DongLam'!M$2:M$51,'BS-KH26-DongLam'!$A$2:$A$51,'Consol BS-DTRG'!$A68)</f>
        <v>0</v>
      </c>
      <c r="BE68" s="15">
        <f>SUMIFS('BS-KH26-DongLam'!N$2:N$51,'BS-KH26-DongLam'!$A$2:$A$51,'Consol BS-DTRG'!$A68)</f>
        <v>0</v>
      </c>
      <c r="BF68" s="15">
        <f>SUMIFS('BS-KH26-DongLam'!O$2:O$51,'BS-KH26-DongLam'!$A$2:$A$51,'Consol BS-DTRG'!$A68)</f>
        <v>0</v>
      </c>
      <c r="BG68" s="15">
        <f>SUMIFS('BS-KH26-DongLam'!P$2:P$51,'BS-KH26-DongLam'!$A$2:$A$51,'Consol BS-DTRG'!$A68)</f>
        <v>0</v>
      </c>
      <c r="BH68" s="15">
        <f>SUMIFS('BS-KH26-DongLam'!Q$2:Q$51,'BS-KH26-DongLam'!$A$2:$A$51,'Consol BS-DTRG'!$A68)</f>
        <v>0</v>
      </c>
      <c r="BI68" s="15">
        <f>SUMIFS('BS-KH26-DongLam'!R$2:R$51,'BS-KH26-DongLam'!$A$2:$A$51,'Consol BS-DTRG'!$A68)</f>
        <v>0</v>
      </c>
      <c r="BJ68" s="15">
        <f>SUMIFS('BS-KH26-DongLam'!S$2:S$51,'BS-KH26-DongLam'!$A$2:$A$51,'Consol BS-DTRG'!$A68)</f>
        <v>0</v>
      </c>
      <c r="BK68" s="15">
        <f>SUMIFS('BS-KH26-DongLam'!T$2:T$51,'BS-KH26-DongLam'!$A$2:$A$51,'Consol BS-DTRG'!$A68)</f>
        <v>0</v>
      </c>
      <c r="BL68" s="15">
        <f>SUMIFS('BS-KH26-DongLam'!U$2:U$51,'BS-KH26-DongLam'!$A$2:$A$51,'Consol BS-DTRG'!$A68)</f>
        <v>0</v>
      </c>
      <c r="BM68" s="15">
        <f>SUMIFS('BS-KH26-DongLam'!V$2:V$51,'BS-KH26-DongLam'!$A$2:$A$51,'Consol BS-DTRG'!$A68)</f>
        <v>0</v>
      </c>
      <c r="BN68" s="15">
        <f>SUMIFS('BS-KH26-DongLam'!W$2:W$51,'BS-KH26-DongLam'!$A$2:$A$51,'Consol BS-DTRG'!$A68)</f>
        <v>0</v>
      </c>
      <c r="BO68" s="15">
        <f>SUMIFS('BS-KH26-DongLam'!X$2:X$51,'BS-KH26-DongLam'!$A$2:$A$51,'Consol BS-DTRG'!$A68)</f>
        <v>0</v>
      </c>
      <c r="BQ68" s="15">
        <f>SUMIFS('BS-KH26-KhanhNga'!M$2:M$51,'BS-KH26-KhanhNga'!$A$2:$A$51,'Consol BS-DTRG'!$A68)</f>
        <v>0</v>
      </c>
      <c r="BR68" s="15">
        <f>SUMIFS('BS-KH26-KhanhNga'!N$2:N$51,'BS-KH26-KhanhNga'!$A$2:$A$51,'Consol BS-DTRG'!$A68)</f>
        <v>0</v>
      </c>
      <c r="BS68" s="15">
        <f>SUMIFS('BS-KH26-KhanhNga'!O$2:O$51,'BS-KH26-KhanhNga'!$A$2:$A$51,'Consol BS-DTRG'!$A68)</f>
        <v>0</v>
      </c>
      <c r="BT68" s="15">
        <f>SUMIFS('BS-KH26-KhanhNga'!P$2:P$51,'BS-KH26-KhanhNga'!$A$2:$A$51,'Consol BS-DTRG'!$A68)</f>
        <v>0</v>
      </c>
      <c r="BU68" s="15">
        <f>SUMIFS('BS-KH26-KhanhNga'!Q$2:Q$51,'BS-KH26-KhanhNga'!$A$2:$A$51,'Consol BS-DTRG'!$A68)</f>
        <v>0</v>
      </c>
      <c r="BV68" s="15">
        <f>SUMIFS('BS-KH26-KhanhNga'!R$2:R$51,'BS-KH26-KhanhNga'!$A$2:$A$51,'Consol BS-DTRG'!$A68)</f>
        <v>0</v>
      </c>
      <c r="BW68" s="15">
        <f>SUMIFS('BS-KH26-KhanhNga'!S$2:S$51,'BS-KH26-KhanhNga'!$A$2:$A$51,'Consol BS-DTRG'!$A68)</f>
        <v>0</v>
      </c>
      <c r="BX68" s="15">
        <f>SUMIFS('BS-KH26-KhanhNga'!T$2:T$51,'BS-KH26-KhanhNga'!$A$2:$A$51,'Consol BS-DTRG'!$A68)</f>
        <v>0</v>
      </c>
      <c r="BY68" s="15">
        <f>SUMIFS('BS-KH26-KhanhNga'!U$2:U$51,'BS-KH26-KhanhNga'!$A$2:$A$51,'Consol BS-DTRG'!$A68)</f>
        <v>0</v>
      </c>
      <c r="BZ68" s="15">
        <f>SUMIFS('BS-KH26-KhanhNga'!V$2:V$51,'BS-KH26-KhanhNga'!$A$2:$A$51,'Consol BS-DTRG'!$A68)</f>
        <v>0</v>
      </c>
      <c r="CA68" s="15">
        <f>SUMIFS('BS-KH26-KhanhNga'!W$2:W$51,'BS-KH26-KhanhNga'!$A$2:$A$51,'Consol BS-DTRG'!$A68)</f>
        <v>0</v>
      </c>
      <c r="CB68" s="15">
        <f>SUMIFS('BS-KH26-KhanhNga'!X$2:X$51,'BS-KH26-KhanhNga'!$A$2:$A$51,'Consol BS-DTRG'!$A68)</f>
        <v>0</v>
      </c>
      <c r="CD68" s="15">
        <f>SUMIFS('BS-KH26-DaiLoc'!M$2:M$51,'BS-KH26-DaiLoc'!$A$2:$A$51,'Consol BS-DTRG'!$A68)</f>
        <v>0</v>
      </c>
      <c r="CE68" s="15">
        <f>SUMIFS('BS-KH26-DaiLoc'!N$2:N$51,'BS-KH26-DaiLoc'!$A$2:$A$51,'Consol BS-DTRG'!$A68)</f>
        <v>0</v>
      </c>
      <c r="CF68" s="15">
        <f>SUMIFS('BS-KH26-DaiLoc'!O$2:O$51,'BS-KH26-DaiLoc'!$A$2:$A$51,'Consol BS-DTRG'!$A68)</f>
        <v>0</v>
      </c>
      <c r="CG68" s="15">
        <f>SUMIFS('BS-KH26-DaiLoc'!P$2:P$51,'BS-KH26-DaiLoc'!$A$2:$A$51,'Consol BS-DTRG'!$A68)</f>
        <v>0</v>
      </c>
      <c r="CH68" s="15">
        <f>SUMIFS('BS-KH26-DaiLoc'!Q$2:Q$51,'BS-KH26-DaiLoc'!$A$2:$A$51,'Consol BS-DTRG'!$A68)</f>
        <v>0</v>
      </c>
      <c r="CI68" s="15">
        <f>SUMIFS('BS-KH26-DaiLoc'!R$2:R$51,'BS-KH26-DaiLoc'!$A$2:$A$51,'Consol BS-DTRG'!$A68)</f>
        <v>0</v>
      </c>
      <c r="CJ68" s="15">
        <f>SUMIFS('BS-KH26-DaiLoc'!S$2:S$51,'BS-KH26-DaiLoc'!$A$2:$A$51,'Consol BS-DTRG'!$A68)</f>
        <v>0</v>
      </c>
      <c r="CK68" s="15">
        <f>SUMIFS('BS-KH26-DaiLoc'!T$2:T$51,'BS-KH26-DaiLoc'!$A$2:$A$51,'Consol BS-DTRG'!$A68)</f>
        <v>0</v>
      </c>
      <c r="CL68" s="15">
        <f>SUMIFS('BS-KH26-DaiLoc'!U$2:U$51,'BS-KH26-DaiLoc'!$A$2:$A$51,'Consol BS-DTRG'!$A68)</f>
        <v>0</v>
      </c>
      <c r="CM68" s="15">
        <f>SUMIFS('BS-KH26-DaiLoc'!V$2:V$51,'BS-KH26-DaiLoc'!$A$2:$A$51,'Consol BS-DTRG'!$A68)</f>
        <v>0</v>
      </c>
      <c r="CN68" s="15">
        <f>SUMIFS('BS-KH26-DaiLoc'!W$2:W$51,'BS-KH26-DaiLoc'!$A$2:$A$51,'Consol BS-DTRG'!$A68)</f>
        <v>0</v>
      </c>
      <c r="CO68" s="15">
        <f>SUMIFS('BS-KH26-DaiLoc'!X$2:X$51,'BS-KH26-DaiLoc'!$A$2:$A$51,'Consol BS-DTRG'!$A68)</f>
        <v>0</v>
      </c>
      <c r="CQ68" s="15">
        <v>0</v>
      </c>
      <c r="CR68" s="15">
        <f t="shared" si="549"/>
        <v>0</v>
      </c>
      <c r="CS68" s="15">
        <f t="shared" si="549"/>
        <v>0</v>
      </c>
      <c r="CT68" s="15">
        <f t="shared" si="549"/>
        <v>0</v>
      </c>
      <c r="CU68" s="15">
        <f t="shared" si="549"/>
        <v>0</v>
      </c>
      <c r="CV68" s="15">
        <f t="shared" si="549"/>
        <v>0</v>
      </c>
      <c r="CW68" s="15">
        <f t="shared" si="549"/>
        <v>0</v>
      </c>
      <c r="CX68" s="15">
        <f t="shared" si="549"/>
        <v>0</v>
      </c>
      <c r="CY68" s="15">
        <f t="shared" si="549"/>
        <v>0</v>
      </c>
      <c r="CZ68" s="15">
        <f t="shared" si="549"/>
        <v>0</v>
      </c>
      <c r="DA68" s="15">
        <f t="shared" si="549"/>
        <v>0</v>
      </c>
      <c r="DB68" s="15">
        <f t="shared" si="549"/>
        <v>0</v>
      </c>
    </row>
    <row r="69" spans="1:106" collapsed="1">
      <c r="A69" s="1">
        <v>66</v>
      </c>
      <c r="B69" s="622" t="s">
        <v>319</v>
      </c>
      <c r="D69" s="14">
        <f t="shared" ref="D69:O69" si="550">SUM(D70:D75)</f>
        <v>930823092</v>
      </c>
      <c r="E69" s="14">
        <f t="shared" si="550"/>
        <v>930823092</v>
      </c>
      <c r="F69" s="14">
        <f t="shared" si="550"/>
        <v>930823092</v>
      </c>
      <c r="G69" s="14">
        <f t="shared" si="550"/>
        <v>930823092</v>
      </c>
      <c r="H69" s="14">
        <f t="shared" si="550"/>
        <v>930823092</v>
      </c>
      <c r="I69" s="14">
        <f t="shared" si="550"/>
        <v>930823092</v>
      </c>
      <c r="J69" s="14">
        <f t="shared" si="550"/>
        <v>930823092</v>
      </c>
      <c r="K69" s="14">
        <f t="shared" si="550"/>
        <v>930823092</v>
      </c>
      <c r="L69" s="14">
        <f t="shared" si="550"/>
        <v>930823092</v>
      </c>
      <c r="M69" s="14">
        <f t="shared" si="550"/>
        <v>930823092</v>
      </c>
      <c r="N69" s="14">
        <f t="shared" si="550"/>
        <v>930823092</v>
      </c>
      <c r="O69" s="14">
        <f t="shared" si="550"/>
        <v>930823092</v>
      </c>
      <c r="Q69" s="14">
        <f t="shared" ref="Q69:AB69" si="551">SUM(Q70:Q75)</f>
        <v>0</v>
      </c>
      <c r="R69" s="14">
        <f t="shared" si="551"/>
        <v>0</v>
      </c>
      <c r="S69" s="14">
        <f t="shared" si="551"/>
        <v>0</v>
      </c>
      <c r="T69" s="14">
        <f t="shared" si="551"/>
        <v>0</v>
      </c>
      <c r="U69" s="14">
        <f t="shared" si="551"/>
        <v>0</v>
      </c>
      <c r="V69" s="14">
        <f t="shared" si="551"/>
        <v>0</v>
      </c>
      <c r="W69" s="14">
        <f t="shared" si="551"/>
        <v>0</v>
      </c>
      <c r="X69" s="14">
        <f t="shared" si="551"/>
        <v>0</v>
      </c>
      <c r="Y69" s="14">
        <f t="shared" si="551"/>
        <v>0</v>
      </c>
      <c r="Z69" s="14">
        <f t="shared" si="551"/>
        <v>0</v>
      </c>
      <c r="AA69" s="14">
        <f t="shared" si="551"/>
        <v>0</v>
      </c>
      <c r="AB69" s="14">
        <f t="shared" si="551"/>
        <v>0</v>
      </c>
      <c r="AD69" s="644">
        <f t="shared" ref="AD69" si="552">SUM(AD70:AD75)</f>
        <v>930823092</v>
      </c>
      <c r="AE69" s="14">
        <f t="shared" ref="AE69:AO69" si="553">SUM(AE70:AE75)</f>
        <v>930823092</v>
      </c>
      <c r="AF69" s="14">
        <f t="shared" si="553"/>
        <v>930823092</v>
      </c>
      <c r="AG69" s="14">
        <f t="shared" si="553"/>
        <v>930823092</v>
      </c>
      <c r="AH69" s="14">
        <f t="shared" si="553"/>
        <v>930823092</v>
      </c>
      <c r="AI69" s="14">
        <f t="shared" si="553"/>
        <v>930823092</v>
      </c>
      <c r="AJ69" s="14">
        <f t="shared" si="553"/>
        <v>930823092</v>
      </c>
      <c r="AK69" s="14">
        <f t="shared" si="553"/>
        <v>930823092</v>
      </c>
      <c r="AL69" s="14">
        <f t="shared" si="553"/>
        <v>930823092</v>
      </c>
      <c r="AM69" s="14">
        <f t="shared" si="553"/>
        <v>930823092</v>
      </c>
      <c r="AN69" s="14">
        <f t="shared" si="553"/>
        <v>930823092</v>
      </c>
      <c r="AO69" s="645">
        <f t="shared" si="553"/>
        <v>930823092</v>
      </c>
      <c r="AQ69" s="14">
        <f t="shared" ref="AQ69:BB69" si="554">SUM(AQ70:AQ75)</f>
        <v>0</v>
      </c>
      <c r="AR69" s="14">
        <f t="shared" si="554"/>
        <v>0</v>
      </c>
      <c r="AS69" s="14">
        <f t="shared" si="554"/>
        <v>0</v>
      </c>
      <c r="AT69" s="14">
        <f t="shared" si="554"/>
        <v>0</v>
      </c>
      <c r="AU69" s="14">
        <f t="shared" si="554"/>
        <v>0</v>
      </c>
      <c r="AV69" s="14">
        <f t="shared" si="554"/>
        <v>0</v>
      </c>
      <c r="AW69" s="14">
        <f t="shared" si="554"/>
        <v>0</v>
      </c>
      <c r="AX69" s="14">
        <f t="shared" si="554"/>
        <v>0</v>
      </c>
      <c r="AY69" s="14">
        <f t="shared" si="554"/>
        <v>0</v>
      </c>
      <c r="AZ69" s="14">
        <f t="shared" si="554"/>
        <v>0</v>
      </c>
      <c r="BA69" s="14">
        <f t="shared" si="554"/>
        <v>0</v>
      </c>
      <c r="BB69" s="14">
        <f t="shared" si="554"/>
        <v>0</v>
      </c>
      <c r="BD69" s="14">
        <f t="shared" ref="BD69:BO69" si="555">SUM(BD70:BD75)</f>
        <v>0</v>
      </c>
      <c r="BE69" s="14">
        <f t="shared" si="555"/>
        <v>0</v>
      </c>
      <c r="BF69" s="14">
        <f t="shared" si="555"/>
        <v>0</v>
      </c>
      <c r="BG69" s="14">
        <f t="shared" si="555"/>
        <v>0</v>
      </c>
      <c r="BH69" s="14">
        <f t="shared" si="555"/>
        <v>0</v>
      </c>
      <c r="BI69" s="14">
        <f t="shared" si="555"/>
        <v>0</v>
      </c>
      <c r="BJ69" s="14">
        <f t="shared" si="555"/>
        <v>0</v>
      </c>
      <c r="BK69" s="14">
        <f t="shared" si="555"/>
        <v>0</v>
      </c>
      <c r="BL69" s="14">
        <f t="shared" si="555"/>
        <v>0</v>
      </c>
      <c r="BM69" s="14">
        <f t="shared" si="555"/>
        <v>0</v>
      </c>
      <c r="BN69" s="14">
        <f t="shared" si="555"/>
        <v>0</v>
      </c>
      <c r="BO69" s="14">
        <f t="shared" si="555"/>
        <v>0</v>
      </c>
      <c r="BQ69" s="14">
        <f t="shared" ref="BQ69:CB69" si="556">SUM(BQ70:BQ75)</f>
        <v>930823092</v>
      </c>
      <c r="BR69" s="14">
        <f t="shared" si="556"/>
        <v>930823092</v>
      </c>
      <c r="BS69" s="14">
        <f t="shared" si="556"/>
        <v>930823092</v>
      </c>
      <c r="BT69" s="14">
        <f t="shared" si="556"/>
        <v>930823092</v>
      </c>
      <c r="BU69" s="14">
        <f t="shared" si="556"/>
        <v>930823092</v>
      </c>
      <c r="BV69" s="14">
        <f t="shared" si="556"/>
        <v>930823092</v>
      </c>
      <c r="BW69" s="14">
        <f t="shared" si="556"/>
        <v>930823092</v>
      </c>
      <c r="BX69" s="14">
        <f t="shared" si="556"/>
        <v>930823092</v>
      </c>
      <c r="BY69" s="14">
        <f t="shared" si="556"/>
        <v>930823092</v>
      </c>
      <c r="BZ69" s="14">
        <f t="shared" si="556"/>
        <v>930823092</v>
      </c>
      <c r="CA69" s="14">
        <f t="shared" si="556"/>
        <v>930823092</v>
      </c>
      <c r="CB69" s="14">
        <f t="shared" si="556"/>
        <v>930823092</v>
      </c>
      <c r="CD69" s="14">
        <f t="shared" ref="CD69:CO69" si="557">SUM(CD70:CD75)</f>
        <v>0</v>
      </c>
      <c r="CE69" s="14">
        <f t="shared" si="557"/>
        <v>0</v>
      </c>
      <c r="CF69" s="14">
        <f t="shared" si="557"/>
        <v>0</v>
      </c>
      <c r="CG69" s="14">
        <f t="shared" si="557"/>
        <v>0</v>
      </c>
      <c r="CH69" s="14">
        <f t="shared" si="557"/>
        <v>0</v>
      </c>
      <c r="CI69" s="14">
        <f t="shared" si="557"/>
        <v>0</v>
      </c>
      <c r="CJ69" s="14">
        <f t="shared" si="557"/>
        <v>0</v>
      </c>
      <c r="CK69" s="14">
        <f t="shared" si="557"/>
        <v>0</v>
      </c>
      <c r="CL69" s="14">
        <f t="shared" si="557"/>
        <v>0</v>
      </c>
      <c r="CM69" s="14">
        <f t="shared" si="557"/>
        <v>0</v>
      </c>
      <c r="CN69" s="14">
        <f t="shared" si="557"/>
        <v>0</v>
      </c>
      <c r="CO69" s="14">
        <f t="shared" si="557"/>
        <v>0</v>
      </c>
      <c r="CQ69" s="14">
        <f t="shared" ref="CQ69:DB69" si="558">SUM(CQ70:CQ75)</f>
        <v>0</v>
      </c>
      <c r="CR69" s="14">
        <f t="shared" si="558"/>
        <v>0</v>
      </c>
      <c r="CS69" s="14">
        <f t="shared" si="558"/>
        <v>0</v>
      </c>
      <c r="CT69" s="14">
        <f t="shared" si="558"/>
        <v>0</v>
      </c>
      <c r="CU69" s="14">
        <f t="shared" si="558"/>
        <v>0</v>
      </c>
      <c r="CV69" s="14">
        <f t="shared" si="558"/>
        <v>0</v>
      </c>
      <c r="CW69" s="14">
        <f t="shared" si="558"/>
        <v>0</v>
      </c>
      <c r="CX69" s="14">
        <f t="shared" si="558"/>
        <v>0</v>
      </c>
      <c r="CY69" s="14">
        <f t="shared" si="558"/>
        <v>0</v>
      </c>
      <c r="CZ69" s="14">
        <f t="shared" si="558"/>
        <v>0</v>
      </c>
      <c r="DA69" s="14">
        <f t="shared" si="558"/>
        <v>0</v>
      </c>
      <c r="DB69" s="14">
        <f t="shared" si="558"/>
        <v>0</v>
      </c>
    </row>
    <row r="70" spans="1:106" hidden="1" outlineLevel="1">
      <c r="A70" s="633">
        <v>67</v>
      </c>
      <c r="B70" s="612" t="s">
        <v>320</v>
      </c>
      <c r="C70" t="s">
        <v>518</v>
      </c>
      <c r="D70" s="15">
        <f t="shared" ref="D70:D75" si="559">AD70+Q70</f>
        <v>0</v>
      </c>
      <c r="E70" s="15">
        <f t="shared" ref="E70:E75" si="560">AE70+R70</f>
        <v>0</v>
      </c>
      <c r="F70" s="15">
        <f t="shared" ref="F70:F75" si="561">AF70+S70</f>
        <v>0</v>
      </c>
      <c r="G70" s="15">
        <f t="shared" ref="G70:G75" si="562">AG70+T70</f>
        <v>0</v>
      </c>
      <c r="H70" s="15">
        <f t="shared" ref="H70:H75" si="563">AH70+U70</f>
        <v>0</v>
      </c>
      <c r="I70" s="15">
        <f t="shared" ref="I70:I75" si="564">AI70+V70</f>
        <v>0</v>
      </c>
      <c r="J70" s="15">
        <f t="shared" ref="J70:J75" si="565">AJ70+W70</f>
        <v>0</v>
      </c>
      <c r="K70" s="15">
        <f t="shared" ref="K70:K75" si="566">AK70+X70</f>
        <v>0</v>
      </c>
      <c r="L70" s="15">
        <f t="shared" ref="L70:L75" si="567">AL70+Y70</f>
        <v>0</v>
      </c>
      <c r="M70" s="15">
        <f t="shared" ref="M70:M75" si="568">AM70+Z70</f>
        <v>0</v>
      </c>
      <c r="N70" s="15">
        <f t="shared" ref="N70:N75" si="569">AN70+AA70</f>
        <v>0</v>
      </c>
      <c r="O70" s="15">
        <f t="shared" ref="O70:O75" si="570">AO70+AB70</f>
        <v>0</v>
      </c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D70" s="646">
        <f t="shared" ref="AD70:AD75" si="571">AQ70+BD70+BQ70+CD70+CQ70</f>
        <v>0</v>
      </c>
      <c r="AE70" s="15">
        <f t="shared" ref="AE70:AE75" si="572">AR70+BE70+BR70+CE70+CR70</f>
        <v>0</v>
      </c>
      <c r="AF70" s="15">
        <f t="shared" ref="AF70:AF75" si="573">AS70+BF70+BS70+CF70+CS70</f>
        <v>0</v>
      </c>
      <c r="AG70" s="15">
        <f t="shared" ref="AG70:AG75" si="574">AT70+BG70+BT70+CG70+CT70</f>
        <v>0</v>
      </c>
      <c r="AH70" s="15">
        <f t="shared" ref="AH70:AH75" si="575">AU70+BH70+BU70+CH70+CU70</f>
        <v>0</v>
      </c>
      <c r="AI70" s="15">
        <f t="shared" ref="AI70:AI75" si="576">AV70+BI70+BV70+CI70+CV70</f>
        <v>0</v>
      </c>
      <c r="AJ70" s="15">
        <f t="shared" ref="AJ70:AJ75" si="577">AW70+BJ70+BW70+CJ70+CW70</f>
        <v>0</v>
      </c>
      <c r="AK70" s="15">
        <f t="shared" ref="AK70:AK75" si="578">AX70+BK70+BX70+CK70+CX70</f>
        <v>0</v>
      </c>
      <c r="AL70" s="15">
        <f t="shared" ref="AL70:AL75" si="579">AY70+BL70+BY70+CL70+CY70</f>
        <v>0</v>
      </c>
      <c r="AM70" s="15">
        <f t="shared" ref="AM70:AM75" si="580">AZ70+BM70+BZ70+CM70+CZ70</f>
        <v>0</v>
      </c>
      <c r="AN70" s="15">
        <f t="shared" ref="AN70:AN75" si="581">BA70+BN70+CA70+CN70+DA70</f>
        <v>0</v>
      </c>
      <c r="AO70" s="647">
        <f t="shared" ref="AO70:AO75" si="582">BB70+BO70+CB70+CO70+DB70</f>
        <v>0</v>
      </c>
      <c r="AQ70" s="15">
        <f>SUMIFS('BS-KH26-DTR'!D$2:D$116,'BS-KH26-DTR'!$B$2:$B$116,$A70)</f>
        <v>0</v>
      </c>
      <c r="AR70" s="15">
        <f>SUMIFS('BS-KH26-DTR'!E$2:E$116,'BS-KH26-DTR'!$B$2:$B$116,$A70)</f>
        <v>0</v>
      </c>
      <c r="AS70" s="15">
        <f>SUMIFS('BS-KH26-DTR'!F$2:F$116,'BS-KH26-DTR'!$B$2:$B$116,$A70)</f>
        <v>0</v>
      </c>
      <c r="AT70" s="15">
        <f>SUMIFS('BS-KH26-DTR'!G$2:G$116,'BS-KH26-DTR'!$B$2:$B$116,$A70)</f>
        <v>0</v>
      </c>
      <c r="AU70" s="15">
        <f>SUMIFS('BS-KH26-DTR'!H$2:H$116,'BS-KH26-DTR'!$B$2:$B$116,$A70)</f>
        <v>0</v>
      </c>
      <c r="AV70" s="15">
        <f>SUMIFS('BS-KH26-DTR'!I$2:I$116,'BS-KH26-DTR'!$B$2:$B$116,$A70)</f>
        <v>0</v>
      </c>
      <c r="AW70" s="15">
        <f>SUMIFS('BS-KH26-DTR'!J$2:J$116,'BS-KH26-DTR'!$B$2:$B$116,$A70)</f>
        <v>0</v>
      </c>
      <c r="AX70" s="15">
        <f>SUMIFS('BS-KH26-DTR'!K$2:K$116,'BS-KH26-DTR'!$B$2:$B$116,$A70)</f>
        <v>0</v>
      </c>
      <c r="AY70" s="15">
        <f>SUMIFS('BS-KH26-DTR'!L$2:L$116,'BS-KH26-DTR'!$B$2:$B$116,$A70)</f>
        <v>0</v>
      </c>
      <c r="AZ70" s="15">
        <f>SUMIFS('BS-KH26-DTR'!M$2:M$116,'BS-KH26-DTR'!$B$2:$B$116,$A70)</f>
        <v>0</v>
      </c>
      <c r="BA70" s="15">
        <f>SUMIFS('BS-KH26-DTR'!N$2:N$116,'BS-KH26-DTR'!$B$2:$B$116,$A70)</f>
        <v>0</v>
      </c>
      <c r="BB70" s="15">
        <f>SUMIFS('BS-KH26-DTR'!O$2:O$116,'BS-KH26-DTR'!$B$2:$B$116,$A70)</f>
        <v>0</v>
      </c>
      <c r="BD70" s="15">
        <f>SUMIFS('BS-KH26-DongLam'!M$2:M$51,'BS-KH26-DongLam'!$A$2:$A$51,'Consol BS-DTRG'!$A70)</f>
        <v>0</v>
      </c>
      <c r="BE70" s="15">
        <f>SUMIFS('BS-KH26-DongLam'!N$2:N$51,'BS-KH26-DongLam'!$A$2:$A$51,'Consol BS-DTRG'!$A70)</f>
        <v>0</v>
      </c>
      <c r="BF70" s="15">
        <f>SUMIFS('BS-KH26-DongLam'!O$2:O$51,'BS-KH26-DongLam'!$A$2:$A$51,'Consol BS-DTRG'!$A70)</f>
        <v>0</v>
      </c>
      <c r="BG70" s="15">
        <f>SUMIFS('BS-KH26-DongLam'!P$2:P$51,'BS-KH26-DongLam'!$A$2:$A$51,'Consol BS-DTRG'!$A70)</f>
        <v>0</v>
      </c>
      <c r="BH70" s="15">
        <f>SUMIFS('BS-KH26-DongLam'!Q$2:Q$51,'BS-KH26-DongLam'!$A$2:$A$51,'Consol BS-DTRG'!$A70)</f>
        <v>0</v>
      </c>
      <c r="BI70" s="15">
        <f>SUMIFS('BS-KH26-DongLam'!R$2:R$51,'BS-KH26-DongLam'!$A$2:$A$51,'Consol BS-DTRG'!$A70)</f>
        <v>0</v>
      </c>
      <c r="BJ70" s="15">
        <f>SUMIFS('BS-KH26-DongLam'!S$2:S$51,'BS-KH26-DongLam'!$A$2:$A$51,'Consol BS-DTRG'!$A70)</f>
        <v>0</v>
      </c>
      <c r="BK70" s="15">
        <f>SUMIFS('BS-KH26-DongLam'!T$2:T$51,'BS-KH26-DongLam'!$A$2:$A$51,'Consol BS-DTRG'!$A70)</f>
        <v>0</v>
      </c>
      <c r="BL70" s="15">
        <f>SUMIFS('BS-KH26-DongLam'!U$2:U$51,'BS-KH26-DongLam'!$A$2:$A$51,'Consol BS-DTRG'!$A70)</f>
        <v>0</v>
      </c>
      <c r="BM70" s="15">
        <f>SUMIFS('BS-KH26-DongLam'!V$2:V$51,'BS-KH26-DongLam'!$A$2:$A$51,'Consol BS-DTRG'!$A70)</f>
        <v>0</v>
      </c>
      <c r="BN70" s="15">
        <f>SUMIFS('BS-KH26-DongLam'!W$2:W$51,'BS-KH26-DongLam'!$A$2:$A$51,'Consol BS-DTRG'!$A70)</f>
        <v>0</v>
      </c>
      <c r="BO70" s="15">
        <f>SUMIFS('BS-KH26-DongLam'!X$2:X$51,'BS-KH26-DongLam'!$A$2:$A$51,'Consol BS-DTRG'!$A70)</f>
        <v>0</v>
      </c>
      <c r="BQ70" s="15">
        <f>SUMIFS('BS-KH26-KhanhNga'!M$2:M$51,'BS-KH26-KhanhNga'!$A$2:$A$51,'Consol BS-DTRG'!$A70)</f>
        <v>0</v>
      </c>
      <c r="BR70" s="15">
        <f>SUMIFS('BS-KH26-KhanhNga'!N$2:N$51,'BS-KH26-KhanhNga'!$A$2:$A$51,'Consol BS-DTRG'!$A70)</f>
        <v>0</v>
      </c>
      <c r="BS70" s="15">
        <f>SUMIFS('BS-KH26-KhanhNga'!O$2:O$51,'BS-KH26-KhanhNga'!$A$2:$A$51,'Consol BS-DTRG'!$A70)</f>
        <v>0</v>
      </c>
      <c r="BT70" s="15">
        <f>SUMIFS('BS-KH26-KhanhNga'!P$2:P$51,'BS-KH26-KhanhNga'!$A$2:$A$51,'Consol BS-DTRG'!$A70)</f>
        <v>0</v>
      </c>
      <c r="BU70" s="15">
        <f>SUMIFS('BS-KH26-KhanhNga'!Q$2:Q$51,'BS-KH26-KhanhNga'!$A$2:$A$51,'Consol BS-DTRG'!$A70)</f>
        <v>0</v>
      </c>
      <c r="BV70" s="15">
        <f>SUMIFS('BS-KH26-KhanhNga'!R$2:R$51,'BS-KH26-KhanhNga'!$A$2:$A$51,'Consol BS-DTRG'!$A70)</f>
        <v>0</v>
      </c>
      <c r="BW70" s="15">
        <f>SUMIFS('BS-KH26-KhanhNga'!S$2:S$51,'BS-KH26-KhanhNga'!$A$2:$A$51,'Consol BS-DTRG'!$A70)</f>
        <v>0</v>
      </c>
      <c r="BX70" s="15">
        <f>SUMIFS('BS-KH26-KhanhNga'!T$2:T$51,'BS-KH26-KhanhNga'!$A$2:$A$51,'Consol BS-DTRG'!$A70)</f>
        <v>0</v>
      </c>
      <c r="BY70" s="15">
        <f>SUMIFS('BS-KH26-KhanhNga'!U$2:U$51,'BS-KH26-KhanhNga'!$A$2:$A$51,'Consol BS-DTRG'!$A70)</f>
        <v>0</v>
      </c>
      <c r="BZ70" s="15">
        <f>SUMIFS('BS-KH26-KhanhNga'!V$2:V$51,'BS-KH26-KhanhNga'!$A$2:$A$51,'Consol BS-DTRG'!$A70)</f>
        <v>0</v>
      </c>
      <c r="CA70" s="15">
        <f>SUMIFS('BS-KH26-KhanhNga'!W$2:W$51,'BS-KH26-KhanhNga'!$A$2:$A$51,'Consol BS-DTRG'!$A70)</f>
        <v>0</v>
      </c>
      <c r="CB70" s="15">
        <f>SUMIFS('BS-KH26-KhanhNga'!X$2:X$51,'BS-KH26-KhanhNga'!$A$2:$A$51,'Consol BS-DTRG'!$A70)</f>
        <v>0</v>
      </c>
      <c r="CD70" s="15">
        <f>SUMIFS('BS-KH26-DaiLoc'!M$2:M$51,'BS-KH26-DaiLoc'!$A$2:$A$51,'Consol BS-DTRG'!$A70)</f>
        <v>0</v>
      </c>
      <c r="CE70" s="15">
        <f>SUMIFS('BS-KH26-DaiLoc'!N$2:N$51,'BS-KH26-DaiLoc'!$A$2:$A$51,'Consol BS-DTRG'!$A70)</f>
        <v>0</v>
      </c>
      <c r="CF70" s="15">
        <f>SUMIFS('BS-KH26-DaiLoc'!O$2:O$51,'BS-KH26-DaiLoc'!$A$2:$A$51,'Consol BS-DTRG'!$A70)</f>
        <v>0</v>
      </c>
      <c r="CG70" s="15">
        <f>SUMIFS('BS-KH26-DaiLoc'!P$2:P$51,'BS-KH26-DaiLoc'!$A$2:$A$51,'Consol BS-DTRG'!$A70)</f>
        <v>0</v>
      </c>
      <c r="CH70" s="15">
        <f>SUMIFS('BS-KH26-DaiLoc'!Q$2:Q$51,'BS-KH26-DaiLoc'!$A$2:$A$51,'Consol BS-DTRG'!$A70)</f>
        <v>0</v>
      </c>
      <c r="CI70" s="15">
        <f>SUMIFS('BS-KH26-DaiLoc'!R$2:R$51,'BS-KH26-DaiLoc'!$A$2:$A$51,'Consol BS-DTRG'!$A70)</f>
        <v>0</v>
      </c>
      <c r="CJ70" s="15">
        <f>SUMIFS('BS-KH26-DaiLoc'!S$2:S$51,'BS-KH26-DaiLoc'!$A$2:$A$51,'Consol BS-DTRG'!$A70)</f>
        <v>0</v>
      </c>
      <c r="CK70" s="15">
        <f>SUMIFS('BS-KH26-DaiLoc'!T$2:T$51,'BS-KH26-DaiLoc'!$A$2:$A$51,'Consol BS-DTRG'!$A70)</f>
        <v>0</v>
      </c>
      <c r="CL70" s="15">
        <f>SUMIFS('BS-KH26-DaiLoc'!U$2:U$51,'BS-KH26-DaiLoc'!$A$2:$A$51,'Consol BS-DTRG'!$A70)</f>
        <v>0</v>
      </c>
      <c r="CM70" s="15">
        <f>SUMIFS('BS-KH26-DaiLoc'!V$2:V$51,'BS-KH26-DaiLoc'!$A$2:$A$51,'Consol BS-DTRG'!$A70)</f>
        <v>0</v>
      </c>
      <c r="CN70" s="15">
        <f>SUMIFS('BS-KH26-DaiLoc'!W$2:W$51,'BS-KH26-DaiLoc'!$A$2:$A$51,'Consol BS-DTRG'!$A70)</f>
        <v>0</v>
      </c>
      <c r="CO70" s="15">
        <f>SUMIFS('BS-KH26-DaiLoc'!X$2:X$51,'BS-KH26-DaiLoc'!$A$2:$A$51,'Consol BS-DTRG'!$A70)</f>
        <v>0</v>
      </c>
      <c r="CQ70" s="15">
        <v>0</v>
      </c>
      <c r="CR70" s="15">
        <f t="shared" ref="CR70:DB75" si="583">CQ70</f>
        <v>0</v>
      </c>
      <c r="CS70" s="15">
        <f t="shared" si="583"/>
        <v>0</v>
      </c>
      <c r="CT70" s="15">
        <f t="shared" si="583"/>
        <v>0</v>
      </c>
      <c r="CU70" s="15">
        <f t="shared" si="583"/>
        <v>0</v>
      </c>
      <c r="CV70" s="15">
        <f t="shared" si="583"/>
        <v>0</v>
      </c>
      <c r="CW70" s="15">
        <f t="shared" si="583"/>
        <v>0</v>
      </c>
      <c r="CX70" s="15">
        <f t="shared" si="583"/>
        <v>0</v>
      </c>
      <c r="CY70" s="15">
        <f t="shared" si="583"/>
        <v>0</v>
      </c>
      <c r="CZ70" s="15">
        <f t="shared" si="583"/>
        <v>0</v>
      </c>
      <c r="DA70" s="15">
        <f t="shared" si="583"/>
        <v>0</v>
      </c>
      <c r="DB70" s="15">
        <f t="shared" si="583"/>
        <v>0</v>
      </c>
    </row>
    <row r="71" spans="1:106" hidden="1" outlineLevel="1">
      <c r="A71" s="633">
        <v>68</v>
      </c>
      <c r="B71" s="612" t="s">
        <v>321</v>
      </c>
      <c r="C71" t="s">
        <v>518</v>
      </c>
      <c r="D71" s="15">
        <f t="shared" si="559"/>
        <v>0</v>
      </c>
      <c r="E71" s="15">
        <f t="shared" si="560"/>
        <v>0</v>
      </c>
      <c r="F71" s="15">
        <f t="shared" si="561"/>
        <v>0</v>
      </c>
      <c r="G71" s="15">
        <f t="shared" si="562"/>
        <v>0</v>
      </c>
      <c r="H71" s="15">
        <f t="shared" si="563"/>
        <v>0</v>
      </c>
      <c r="I71" s="15">
        <f t="shared" si="564"/>
        <v>0</v>
      </c>
      <c r="J71" s="15">
        <f t="shared" si="565"/>
        <v>0</v>
      </c>
      <c r="K71" s="15">
        <f t="shared" si="566"/>
        <v>0</v>
      </c>
      <c r="L71" s="15">
        <f t="shared" si="567"/>
        <v>0</v>
      </c>
      <c r="M71" s="15">
        <f t="shared" si="568"/>
        <v>0</v>
      </c>
      <c r="N71" s="15">
        <f t="shared" si="569"/>
        <v>0</v>
      </c>
      <c r="O71" s="15">
        <f t="shared" si="570"/>
        <v>0</v>
      </c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D71" s="646">
        <f t="shared" si="571"/>
        <v>0</v>
      </c>
      <c r="AE71" s="15">
        <f t="shared" si="572"/>
        <v>0</v>
      </c>
      <c r="AF71" s="15">
        <f t="shared" si="573"/>
        <v>0</v>
      </c>
      <c r="AG71" s="15">
        <f t="shared" si="574"/>
        <v>0</v>
      </c>
      <c r="AH71" s="15">
        <f t="shared" si="575"/>
        <v>0</v>
      </c>
      <c r="AI71" s="15">
        <f t="shared" si="576"/>
        <v>0</v>
      </c>
      <c r="AJ71" s="15">
        <f t="shared" si="577"/>
        <v>0</v>
      </c>
      <c r="AK71" s="15">
        <f t="shared" si="578"/>
        <v>0</v>
      </c>
      <c r="AL71" s="15">
        <f t="shared" si="579"/>
        <v>0</v>
      </c>
      <c r="AM71" s="15">
        <f t="shared" si="580"/>
        <v>0</v>
      </c>
      <c r="AN71" s="15">
        <f t="shared" si="581"/>
        <v>0</v>
      </c>
      <c r="AO71" s="647">
        <f t="shared" si="582"/>
        <v>0</v>
      </c>
      <c r="AQ71" s="15">
        <f>SUMIFS('BS-KH26-DTR'!D$2:D$116,'BS-KH26-DTR'!$B$2:$B$116,$A71)</f>
        <v>0</v>
      </c>
      <c r="AR71" s="15">
        <f>SUMIFS('BS-KH26-DTR'!E$2:E$116,'BS-KH26-DTR'!$B$2:$B$116,$A71)</f>
        <v>0</v>
      </c>
      <c r="AS71" s="15">
        <f>SUMIFS('BS-KH26-DTR'!F$2:F$116,'BS-KH26-DTR'!$B$2:$B$116,$A71)</f>
        <v>0</v>
      </c>
      <c r="AT71" s="15">
        <f>SUMIFS('BS-KH26-DTR'!G$2:G$116,'BS-KH26-DTR'!$B$2:$B$116,$A71)</f>
        <v>0</v>
      </c>
      <c r="AU71" s="15">
        <f>SUMIFS('BS-KH26-DTR'!H$2:H$116,'BS-KH26-DTR'!$B$2:$B$116,$A71)</f>
        <v>0</v>
      </c>
      <c r="AV71" s="15">
        <f>SUMIFS('BS-KH26-DTR'!I$2:I$116,'BS-KH26-DTR'!$B$2:$B$116,$A71)</f>
        <v>0</v>
      </c>
      <c r="AW71" s="15">
        <f>SUMIFS('BS-KH26-DTR'!J$2:J$116,'BS-KH26-DTR'!$B$2:$B$116,$A71)</f>
        <v>0</v>
      </c>
      <c r="AX71" s="15">
        <f>SUMIFS('BS-KH26-DTR'!K$2:K$116,'BS-KH26-DTR'!$B$2:$B$116,$A71)</f>
        <v>0</v>
      </c>
      <c r="AY71" s="15">
        <f>SUMIFS('BS-KH26-DTR'!L$2:L$116,'BS-KH26-DTR'!$B$2:$B$116,$A71)</f>
        <v>0</v>
      </c>
      <c r="AZ71" s="15">
        <f>SUMIFS('BS-KH26-DTR'!M$2:M$116,'BS-KH26-DTR'!$B$2:$B$116,$A71)</f>
        <v>0</v>
      </c>
      <c r="BA71" s="15">
        <f>SUMIFS('BS-KH26-DTR'!N$2:N$116,'BS-KH26-DTR'!$B$2:$B$116,$A71)</f>
        <v>0</v>
      </c>
      <c r="BB71" s="15">
        <f>SUMIFS('BS-KH26-DTR'!O$2:O$116,'BS-KH26-DTR'!$B$2:$B$116,$A71)</f>
        <v>0</v>
      </c>
      <c r="BD71" s="15">
        <f>SUMIFS('BS-KH26-DongLam'!M$2:M$51,'BS-KH26-DongLam'!$A$2:$A$51,'Consol BS-DTRG'!$A71)</f>
        <v>0</v>
      </c>
      <c r="BE71" s="15">
        <f>SUMIFS('BS-KH26-DongLam'!N$2:N$51,'BS-KH26-DongLam'!$A$2:$A$51,'Consol BS-DTRG'!$A71)</f>
        <v>0</v>
      </c>
      <c r="BF71" s="15">
        <f>SUMIFS('BS-KH26-DongLam'!O$2:O$51,'BS-KH26-DongLam'!$A$2:$A$51,'Consol BS-DTRG'!$A71)</f>
        <v>0</v>
      </c>
      <c r="BG71" s="15">
        <f>SUMIFS('BS-KH26-DongLam'!P$2:P$51,'BS-KH26-DongLam'!$A$2:$A$51,'Consol BS-DTRG'!$A71)</f>
        <v>0</v>
      </c>
      <c r="BH71" s="15">
        <f>SUMIFS('BS-KH26-DongLam'!Q$2:Q$51,'BS-KH26-DongLam'!$A$2:$A$51,'Consol BS-DTRG'!$A71)</f>
        <v>0</v>
      </c>
      <c r="BI71" s="15">
        <f>SUMIFS('BS-KH26-DongLam'!R$2:R$51,'BS-KH26-DongLam'!$A$2:$A$51,'Consol BS-DTRG'!$A71)</f>
        <v>0</v>
      </c>
      <c r="BJ71" s="15">
        <f>SUMIFS('BS-KH26-DongLam'!S$2:S$51,'BS-KH26-DongLam'!$A$2:$A$51,'Consol BS-DTRG'!$A71)</f>
        <v>0</v>
      </c>
      <c r="BK71" s="15">
        <f>SUMIFS('BS-KH26-DongLam'!T$2:T$51,'BS-KH26-DongLam'!$A$2:$A$51,'Consol BS-DTRG'!$A71)</f>
        <v>0</v>
      </c>
      <c r="BL71" s="15">
        <f>SUMIFS('BS-KH26-DongLam'!U$2:U$51,'BS-KH26-DongLam'!$A$2:$A$51,'Consol BS-DTRG'!$A71)</f>
        <v>0</v>
      </c>
      <c r="BM71" s="15">
        <f>SUMIFS('BS-KH26-DongLam'!V$2:V$51,'BS-KH26-DongLam'!$A$2:$A$51,'Consol BS-DTRG'!$A71)</f>
        <v>0</v>
      </c>
      <c r="BN71" s="15">
        <f>SUMIFS('BS-KH26-DongLam'!W$2:W$51,'BS-KH26-DongLam'!$A$2:$A$51,'Consol BS-DTRG'!$A71)</f>
        <v>0</v>
      </c>
      <c r="BO71" s="15">
        <f>SUMIFS('BS-KH26-DongLam'!X$2:X$51,'BS-KH26-DongLam'!$A$2:$A$51,'Consol BS-DTRG'!$A71)</f>
        <v>0</v>
      </c>
      <c r="BQ71" s="15">
        <f>SUMIFS('BS-KH26-KhanhNga'!M$2:M$51,'BS-KH26-KhanhNga'!$A$2:$A$51,'Consol BS-DTRG'!$A71)</f>
        <v>0</v>
      </c>
      <c r="BR71" s="15">
        <f>SUMIFS('BS-KH26-KhanhNga'!N$2:N$51,'BS-KH26-KhanhNga'!$A$2:$A$51,'Consol BS-DTRG'!$A71)</f>
        <v>0</v>
      </c>
      <c r="BS71" s="15">
        <f>SUMIFS('BS-KH26-KhanhNga'!O$2:O$51,'BS-KH26-KhanhNga'!$A$2:$A$51,'Consol BS-DTRG'!$A71)</f>
        <v>0</v>
      </c>
      <c r="BT71" s="15">
        <f>SUMIFS('BS-KH26-KhanhNga'!P$2:P$51,'BS-KH26-KhanhNga'!$A$2:$A$51,'Consol BS-DTRG'!$A71)</f>
        <v>0</v>
      </c>
      <c r="BU71" s="15">
        <f>SUMIFS('BS-KH26-KhanhNga'!Q$2:Q$51,'BS-KH26-KhanhNga'!$A$2:$A$51,'Consol BS-DTRG'!$A71)</f>
        <v>0</v>
      </c>
      <c r="BV71" s="15">
        <f>SUMIFS('BS-KH26-KhanhNga'!R$2:R$51,'BS-KH26-KhanhNga'!$A$2:$A$51,'Consol BS-DTRG'!$A71)</f>
        <v>0</v>
      </c>
      <c r="BW71" s="15">
        <f>SUMIFS('BS-KH26-KhanhNga'!S$2:S$51,'BS-KH26-KhanhNga'!$A$2:$A$51,'Consol BS-DTRG'!$A71)</f>
        <v>0</v>
      </c>
      <c r="BX71" s="15">
        <f>SUMIFS('BS-KH26-KhanhNga'!T$2:T$51,'BS-KH26-KhanhNga'!$A$2:$A$51,'Consol BS-DTRG'!$A71)</f>
        <v>0</v>
      </c>
      <c r="BY71" s="15">
        <f>SUMIFS('BS-KH26-KhanhNga'!U$2:U$51,'BS-KH26-KhanhNga'!$A$2:$A$51,'Consol BS-DTRG'!$A71)</f>
        <v>0</v>
      </c>
      <c r="BZ71" s="15">
        <f>SUMIFS('BS-KH26-KhanhNga'!V$2:V$51,'BS-KH26-KhanhNga'!$A$2:$A$51,'Consol BS-DTRG'!$A71)</f>
        <v>0</v>
      </c>
      <c r="CA71" s="15">
        <f>SUMIFS('BS-KH26-KhanhNga'!W$2:W$51,'BS-KH26-KhanhNga'!$A$2:$A$51,'Consol BS-DTRG'!$A71)</f>
        <v>0</v>
      </c>
      <c r="CB71" s="15">
        <f>SUMIFS('BS-KH26-KhanhNga'!X$2:X$51,'BS-KH26-KhanhNga'!$A$2:$A$51,'Consol BS-DTRG'!$A71)</f>
        <v>0</v>
      </c>
      <c r="CD71" s="15">
        <f>SUMIFS('BS-KH26-DaiLoc'!M$2:M$51,'BS-KH26-DaiLoc'!$A$2:$A$51,'Consol BS-DTRG'!$A71)</f>
        <v>0</v>
      </c>
      <c r="CE71" s="15">
        <f>SUMIFS('BS-KH26-DaiLoc'!N$2:N$51,'BS-KH26-DaiLoc'!$A$2:$A$51,'Consol BS-DTRG'!$A71)</f>
        <v>0</v>
      </c>
      <c r="CF71" s="15">
        <f>SUMIFS('BS-KH26-DaiLoc'!O$2:O$51,'BS-KH26-DaiLoc'!$A$2:$A$51,'Consol BS-DTRG'!$A71)</f>
        <v>0</v>
      </c>
      <c r="CG71" s="15">
        <f>SUMIFS('BS-KH26-DaiLoc'!P$2:P$51,'BS-KH26-DaiLoc'!$A$2:$A$51,'Consol BS-DTRG'!$A71)</f>
        <v>0</v>
      </c>
      <c r="CH71" s="15">
        <f>SUMIFS('BS-KH26-DaiLoc'!Q$2:Q$51,'BS-KH26-DaiLoc'!$A$2:$A$51,'Consol BS-DTRG'!$A71)</f>
        <v>0</v>
      </c>
      <c r="CI71" s="15">
        <f>SUMIFS('BS-KH26-DaiLoc'!R$2:R$51,'BS-KH26-DaiLoc'!$A$2:$A$51,'Consol BS-DTRG'!$A71)</f>
        <v>0</v>
      </c>
      <c r="CJ71" s="15">
        <f>SUMIFS('BS-KH26-DaiLoc'!S$2:S$51,'BS-KH26-DaiLoc'!$A$2:$A$51,'Consol BS-DTRG'!$A71)</f>
        <v>0</v>
      </c>
      <c r="CK71" s="15">
        <f>SUMIFS('BS-KH26-DaiLoc'!T$2:T$51,'BS-KH26-DaiLoc'!$A$2:$A$51,'Consol BS-DTRG'!$A71)</f>
        <v>0</v>
      </c>
      <c r="CL71" s="15">
        <f>SUMIFS('BS-KH26-DaiLoc'!U$2:U$51,'BS-KH26-DaiLoc'!$A$2:$A$51,'Consol BS-DTRG'!$A71)</f>
        <v>0</v>
      </c>
      <c r="CM71" s="15">
        <f>SUMIFS('BS-KH26-DaiLoc'!V$2:V$51,'BS-KH26-DaiLoc'!$A$2:$A$51,'Consol BS-DTRG'!$A71)</f>
        <v>0</v>
      </c>
      <c r="CN71" s="15">
        <f>SUMIFS('BS-KH26-DaiLoc'!W$2:W$51,'BS-KH26-DaiLoc'!$A$2:$A$51,'Consol BS-DTRG'!$A71)</f>
        <v>0</v>
      </c>
      <c r="CO71" s="15">
        <f>SUMIFS('BS-KH26-DaiLoc'!X$2:X$51,'BS-KH26-DaiLoc'!$A$2:$A$51,'Consol BS-DTRG'!$A71)</f>
        <v>0</v>
      </c>
      <c r="CQ71" s="15">
        <v>0</v>
      </c>
      <c r="CR71" s="15">
        <f t="shared" si="583"/>
        <v>0</v>
      </c>
      <c r="CS71" s="15">
        <f t="shared" si="583"/>
        <v>0</v>
      </c>
      <c r="CT71" s="15">
        <f t="shared" si="583"/>
        <v>0</v>
      </c>
      <c r="CU71" s="15">
        <f t="shared" si="583"/>
        <v>0</v>
      </c>
      <c r="CV71" s="15">
        <f t="shared" si="583"/>
        <v>0</v>
      </c>
      <c r="CW71" s="15">
        <f t="shared" si="583"/>
        <v>0</v>
      </c>
      <c r="CX71" s="15">
        <f t="shared" si="583"/>
        <v>0</v>
      </c>
      <c r="CY71" s="15">
        <f t="shared" si="583"/>
        <v>0</v>
      </c>
      <c r="CZ71" s="15">
        <f t="shared" si="583"/>
        <v>0</v>
      </c>
      <c r="DA71" s="15">
        <f t="shared" si="583"/>
        <v>0</v>
      </c>
      <c r="DB71" s="15">
        <f t="shared" si="583"/>
        <v>0</v>
      </c>
    </row>
    <row r="72" spans="1:106" hidden="1" outlineLevel="1">
      <c r="A72" s="633">
        <v>69</v>
      </c>
      <c r="B72" s="612" t="s">
        <v>322</v>
      </c>
      <c r="C72" t="s">
        <v>518</v>
      </c>
      <c r="D72" s="15">
        <f t="shared" si="559"/>
        <v>0</v>
      </c>
      <c r="E72" s="15">
        <f t="shared" si="560"/>
        <v>0</v>
      </c>
      <c r="F72" s="15">
        <f t="shared" si="561"/>
        <v>0</v>
      </c>
      <c r="G72" s="15">
        <f t="shared" si="562"/>
        <v>0</v>
      </c>
      <c r="H72" s="15">
        <f t="shared" si="563"/>
        <v>0</v>
      </c>
      <c r="I72" s="15">
        <f t="shared" si="564"/>
        <v>0</v>
      </c>
      <c r="J72" s="15">
        <f t="shared" si="565"/>
        <v>0</v>
      </c>
      <c r="K72" s="15">
        <f t="shared" si="566"/>
        <v>0</v>
      </c>
      <c r="L72" s="15">
        <f t="shared" si="567"/>
        <v>0</v>
      </c>
      <c r="M72" s="15">
        <f t="shared" si="568"/>
        <v>0</v>
      </c>
      <c r="N72" s="15">
        <f t="shared" si="569"/>
        <v>0</v>
      </c>
      <c r="O72" s="15">
        <f t="shared" si="570"/>
        <v>0</v>
      </c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D72" s="646">
        <f t="shared" si="571"/>
        <v>0</v>
      </c>
      <c r="AE72" s="15">
        <f t="shared" si="572"/>
        <v>0</v>
      </c>
      <c r="AF72" s="15">
        <f t="shared" si="573"/>
        <v>0</v>
      </c>
      <c r="AG72" s="15">
        <f t="shared" si="574"/>
        <v>0</v>
      </c>
      <c r="AH72" s="15">
        <f t="shared" si="575"/>
        <v>0</v>
      </c>
      <c r="AI72" s="15">
        <f t="shared" si="576"/>
        <v>0</v>
      </c>
      <c r="AJ72" s="15">
        <f t="shared" si="577"/>
        <v>0</v>
      </c>
      <c r="AK72" s="15">
        <f t="shared" si="578"/>
        <v>0</v>
      </c>
      <c r="AL72" s="15">
        <f t="shared" si="579"/>
        <v>0</v>
      </c>
      <c r="AM72" s="15">
        <f t="shared" si="580"/>
        <v>0</v>
      </c>
      <c r="AN72" s="15">
        <f t="shared" si="581"/>
        <v>0</v>
      </c>
      <c r="AO72" s="647">
        <f t="shared" si="582"/>
        <v>0</v>
      </c>
      <c r="AQ72" s="15">
        <f>SUMIFS('BS-KH26-DTR'!D$2:D$116,'BS-KH26-DTR'!$B$2:$B$116,$A72)</f>
        <v>0</v>
      </c>
      <c r="AR72" s="15">
        <f>SUMIFS('BS-KH26-DTR'!E$2:E$116,'BS-KH26-DTR'!$B$2:$B$116,$A72)</f>
        <v>0</v>
      </c>
      <c r="AS72" s="15">
        <f>SUMIFS('BS-KH26-DTR'!F$2:F$116,'BS-KH26-DTR'!$B$2:$B$116,$A72)</f>
        <v>0</v>
      </c>
      <c r="AT72" s="15">
        <f>SUMIFS('BS-KH26-DTR'!G$2:G$116,'BS-KH26-DTR'!$B$2:$B$116,$A72)</f>
        <v>0</v>
      </c>
      <c r="AU72" s="15">
        <f>SUMIFS('BS-KH26-DTR'!H$2:H$116,'BS-KH26-DTR'!$B$2:$B$116,$A72)</f>
        <v>0</v>
      </c>
      <c r="AV72" s="15">
        <f>SUMIFS('BS-KH26-DTR'!I$2:I$116,'BS-KH26-DTR'!$B$2:$B$116,$A72)</f>
        <v>0</v>
      </c>
      <c r="AW72" s="15">
        <f>SUMIFS('BS-KH26-DTR'!J$2:J$116,'BS-KH26-DTR'!$B$2:$B$116,$A72)</f>
        <v>0</v>
      </c>
      <c r="AX72" s="15">
        <f>SUMIFS('BS-KH26-DTR'!K$2:K$116,'BS-KH26-DTR'!$B$2:$B$116,$A72)</f>
        <v>0</v>
      </c>
      <c r="AY72" s="15">
        <f>SUMIFS('BS-KH26-DTR'!L$2:L$116,'BS-KH26-DTR'!$B$2:$B$116,$A72)</f>
        <v>0</v>
      </c>
      <c r="AZ72" s="15">
        <f>SUMIFS('BS-KH26-DTR'!M$2:M$116,'BS-KH26-DTR'!$B$2:$B$116,$A72)</f>
        <v>0</v>
      </c>
      <c r="BA72" s="15">
        <f>SUMIFS('BS-KH26-DTR'!N$2:N$116,'BS-KH26-DTR'!$B$2:$B$116,$A72)</f>
        <v>0</v>
      </c>
      <c r="BB72" s="15">
        <f>SUMIFS('BS-KH26-DTR'!O$2:O$116,'BS-KH26-DTR'!$B$2:$B$116,$A72)</f>
        <v>0</v>
      </c>
      <c r="BD72" s="15">
        <f>SUMIFS('BS-KH26-DongLam'!M$2:M$51,'BS-KH26-DongLam'!$A$2:$A$51,'Consol BS-DTRG'!$A72)</f>
        <v>0</v>
      </c>
      <c r="BE72" s="15">
        <f>SUMIFS('BS-KH26-DongLam'!N$2:N$51,'BS-KH26-DongLam'!$A$2:$A$51,'Consol BS-DTRG'!$A72)</f>
        <v>0</v>
      </c>
      <c r="BF72" s="15">
        <f>SUMIFS('BS-KH26-DongLam'!O$2:O$51,'BS-KH26-DongLam'!$A$2:$A$51,'Consol BS-DTRG'!$A72)</f>
        <v>0</v>
      </c>
      <c r="BG72" s="15">
        <f>SUMIFS('BS-KH26-DongLam'!P$2:P$51,'BS-KH26-DongLam'!$A$2:$A$51,'Consol BS-DTRG'!$A72)</f>
        <v>0</v>
      </c>
      <c r="BH72" s="15">
        <f>SUMIFS('BS-KH26-DongLam'!Q$2:Q$51,'BS-KH26-DongLam'!$A$2:$A$51,'Consol BS-DTRG'!$A72)</f>
        <v>0</v>
      </c>
      <c r="BI72" s="15">
        <f>SUMIFS('BS-KH26-DongLam'!R$2:R$51,'BS-KH26-DongLam'!$A$2:$A$51,'Consol BS-DTRG'!$A72)</f>
        <v>0</v>
      </c>
      <c r="BJ72" s="15">
        <f>SUMIFS('BS-KH26-DongLam'!S$2:S$51,'BS-KH26-DongLam'!$A$2:$A$51,'Consol BS-DTRG'!$A72)</f>
        <v>0</v>
      </c>
      <c r="BK72" s="15">
        <f>SUMIFS('BS-KH26-DongLam'!T$2:T$51,'BS-KH26-DongLam'!$A$2:$A$51,'Consol BS-DTRG'!$A72)</f>
        <v>0</v>
      </c>
      <c r="BL72" s="15">
        <f>SUMIFS('BS-KH26-DongLam'!U$2:U$51,'BS-KH26-DongLam'!$A$2:$A$51,'Consol BS-DTRG'!$A72)</f>
        <v>0</v>
      </c>
      <c r="BM72" s="15">
        <f>SUMIFS('BS-KH26-DongLam'!V$2:V$51,'BS-KH26-DongLam'!$A$2:$A$51,'Consol BS-DTRG'!$A72)</f>
        <v>0</v>
      </c>
      <c r="BN72" s="15">
        <f>SUMIFS('BS-KH26-DongLam'!W$2:W$51,'BS-KH26-DongLam'!$A$2:$A$51,'Consol BS-DTRG'!$A72)</f>
        <v>0</v>
      </c>
      <c r="BO72" s="15">
        <f>SUMIFS('BS-KH26-DongLam'!X$2:X$51,'BS-KH26-DongLam'!$A$2:$A$51,'Consol BS-DTRG'!$A72)</f>
        <v>0</v>
      </c>
      <c r="BQ72" s="15">
        <f>SUMIFS('BS-KH26-KhanhNga'!M$2:M$51,'BS-KH26-KhanhNga'!$A$2:$A$51,'Consol BS-DTRG'!$A72)</f>
        <v>0</v>
      </c>
      <c r="BR72" s="15">
        <f>SUMIFS('BS-KH26-KhanhNga'!N$2:N$51,'BS-KH26-KhanhNga'!$A$2:$A$51,'Consol BS-DTRG'!$A72)</f>
        <v>0</v>
      </c>
      <c r="BS72" s="15">
        <f>SUMIFS('BS-KH26-KhanhNga'!O$2:O$51,'BS-KH26-KhanhNga'!$A$2:$A$51,'Consol BS-DTRG'!$A72)</f>
        <v>0</v>
      </c>
      <c r="BT72" s="15">
        <f>SUMIFS('BS-KH26-KhanhNga'!P$2:P$51,'BS-KH26-KhanhNga'!$A$2:$A$51,'Consol BS-DTRG'!$A72)</f>
        <v>0</v>
      </c>
      <c r="BU72" s="15">
        <f>SUMIFS('BS-KH26-KhanhNga'!Q$2:Q$51,'BS-KH26-KhanhNga'!$A$2:$A$51,'Consol BS-DTRG'!$A72)</f>
        <v>0</v>
      </c>
      <c r="BV72" s="15">
        <f>SUMIFS('BS-KH26-KhanhNga'!R$2:R$51,'BS-KH26-KhanhNga'!$A$2:$A$51,'Consol BS-DTRG'!$A72)</f>
        <v>0</v>
      </c>
      <c r="BW72" s="15">
        <f>SUMIFS('BS-KH26-KhanhNga'!S$2:S$51,'BS-KH26-KhanhNga'!$A$2:$A$51,'Consol BS-DTRG'!$A72)</f>
        <v>0</v>
      </c>
      <c r="BX72" s="15">
        <f>SUMIFS('BS-KH26-KhanhNga'!T$2:T$51,'BS-KH26-KhanhNga'!$A$2:$A$51,'Consol BS-DTRG'!$A72)</f>
        <v>0</v>
      </c>
      <c r="BY72" s="15">
        <f>SUMIFS('BS-KH26-KhanhNga'!U$2:U$51,'BS-KH26-KhanhNga'!$A$2:$A$51,'Consol BS-DTRG'!$A72)</f>
        <v>0</v>
      </c>
      <c r="BZ72" s="15">
        <f>SUMIFS('BS-KH26-KhanhNga'!V$2:V$51,'BS-KH26-KhanhNga'!$A$2:$A$51,'Consol BS-DTRG'!$A72)</f>
        <v>0</v>
      </c>
      <c r="CA72" s="15">
        <f>SUMIFS('BS-KH26-KhanhNga'!W$2:W$51,'BS-KH26-KhanhNga'!$A$2:$A$51,'Consol BS-DTRG'!$A72)</f>
        <v>0</v>
      </c>
      <c r="CB72" s="15">
        <f>SUMIFS('BS-KH26-KhanhNga'!X$2:X$51,'BS-KH26-KhanhNga'!$A$2:$A$51,'Consol BS-DTRG'!$A72)</f>
        <v>0</v>
      </c>
      <c r="CD72" s="15">
        <f>SUMIFS('BS-KH26-DaiLoc'!M$2:M$51,'BS-KH26-DaiLoc'!$A$2:$A$51,'Consol BS-DTRG'!$A72)</f>
        <v>0</v>
      </c>
      <c r="CE72" s="15">
        <f>SUMIFS('BS-KH26-DaiLoc'!N$2:N$51,'BS-KH26-DaiLoc'!$A$2:$A$51,'Consol BS-DTRG'!$A72)</f>
        <v>0</v>
      </c>
      <c r="CF72" s="15">
        <f>SUMIFS('BS-KH26-DaiLoc'!O$2:O$51,'BS-KH26-DaiLoc'!$A$2:$A$51,'Consol BS-DTRG'!$A72)</f>
        <v>0</v>
      </c>
      <c r="CG72" s="15">
        <f>SUMIFS('BS-KH26-DaiLoc'!P$2:P$51,'BS-KH26-DaiLoc'!$A$2:$A$51,'Consol BS-DTRG'!$A72)</f>
        <v>0</v>
      </c>
      <c r="CH72" s="15">
        <f>SUMIFS('BS-KH26-DaiLoc'!Q$2:Q$51,'BS-KH26-DaiLoc'!$A$2:$A$51,'Consol BS-DTRG'!$A72)</f>
        <v>0</v>
      </c>
      <c r="CI72" s="15">
        <f>SUMIFS('BS-KH26-DaiLoc'!R$2:R$51,'BS-KH26-DaiLoc'!$A$2:$A$51,'Consol BS-DTRG'!$A72)</f>
        <v>0</v>
      </c>
      <c r="CJ72" s="15">
        <f>SUMIFS('BS-KH26-DaiLoc'!S$2:S$51,'BS-KH26-DaiLoc'!$A$2:$A$51,'Consol BS-DTRG'!$A72)</f>
        <v>0</v>
      </c>
      <c r="CK72" s="15">
        <f>SUMIFS('BS-KH26-DaiLoc'!T$2:T$51,'BS-KH26-DaiLoc'!$A$2:$A$51,'Consol BS-DTRG'!$A72)</f>
        <v>0</v>
      </c>
      <c r="CL72" s="15">
        <f>SUMIFS('BS-KH26-DaiLoc'!U$2:U$51,'BS-KH26-DaiLoc'!$A$2:$A$51,'Consol BS-DTRG'!$A72)</f>
        <v>0</v>
      </c>
      <c r="CM72" s="15">
        <f>SUMIFS('BS-KH26-DaiLoc'!V$2:V$51,'BS-KH26-DaiLoc'!$A$2:$A$51,'Consol BS-DTRG'!$A72)</f>
        <v>0</v>
      </c>
      <c r="CN72" s="15">
        <f>SUMIFS('BS-KH26-DaiLoc'!W$2:W$51,'BS-KH26-DaiLoc'!$A$2:$A$51,'Consol BS-DTRG'!$A72)</f>
        <v>0</v>
      </c>
      <c r="CO72" s="15">
        <f>SUMIFS('BS-KH26-DaiLoc'!X$2:X$51,'BS-KH26-DaiLoc'!$A$2:$A$51,'Consol BS-DTRG'!$A72)</f>
        <v>0</v>
      </c>
      <c r="CQ72" s="15">
        <v>0</v>
      </c>
      <c r="CR72" s="15">
        <f t="shared" si="583"/>
        <v>0</v>
      </c>
      <c r="CS72" s="15">
        <f t="shared" si="583"/>
        <v>0</v>
      </c>
      <c r="CT72" s="15">
        <f t="shared" si="583"/>
        <v>0</v>
      </c>
      <c r="CU72" s="15">
        <f t="shared" si="583"/>
        <v>0</v>
      </c>
      <c r="CV72" s="15">
        <f t="shared" si="583"/>
        <v>0</v>
      </c>
      <c r="CW72" s="15">
        <f t="shared" si="583"/>
        <v>0</v>
      </c>
      <c r="CX72" s="15">
        <f t="shared" si="583"/>
        <v>0</v>
      </c>
      <c r="CY72" s="15">
        <f t="shared" si="583"/>
        <v>0</v>
      </c>
      <c r="CZ72" s="15">
        <f t="shared" si="583"/>
        <v>0</v>
      </c>
      <c r="DA72" s="15">
        <f t="shared" si="583"/>
        <v>0</v>
      </c>
      <c r="DB72" s="15">
        <f t="shared" si="583"/>
        <v>0</v>
      </c>
    </row>
    <row r="73" spans="1:106" hidden="1" outlineLevel="1">
      <c r="A73" s="633">
        <v>70</v>
      </c>
      <c r="B73" s="612" t="s">
        <v>323</v>
      </c>
      <c r="C73" t="s">
        <v>518</v>
      </c>
      <c r="D73" s="15">
        <f t="shared" si="559"/>
        <v>0</v>
      </c>
      <c r="E73" s="15">
        <f t="shared" si="560"/>
        <v>0</v>
      </c>
      <c r="F73" s="15">
        <f t="shared" si="561"/>
        <v>0</v>
      </c>
      <c r="G73" s="15">
        <f t="shared" si="562"/>
        <v>0</v>
      </c>
      <c r="H73" s="15">
        <f t="shared" si="563"/>
        <v>0</v>
      </c>
      <c r="I73" s="15">
        <f t="shared" si="564"/>
        <v>0</v>
      </c>
      <c r="J73" s="15">
        <f t="shared" si="565"/>
        <v>0</v>
      </c>
      <c r="K73" s="15">
        <f t="shared" si="566"/>
        <v>0</v>
      </c>
      <c r="L73" s="15">
        <f t="shared" si="567"/>
        <v>0</v>
      </c>
      <c r="M73" s="15">
        <f t="shared" si="568"/>
        <v>0</v>
      </c>
      <c r="N73" s="15">
        <f t="shared" si="569"/>
        <v>0</v>
      </c>
      <c r="O73" s="15">
        <f t="shared" si="570"/>
        <v>0</v>
      </c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D73" s="646">
        <f t="shared" si="571"/>
        <v>0</v>
      </c>
      <c r="AE73" s="15">
        <f t="shared" si="572"/>
        <v>0</v>
      </c>
      <c r="AF73" s="15">
        <f t="shared" si="573"/>
        <v>0</v>
      </c>
      <c r="AG73" s="15">
        <f t="shared" si="574"/>
        <v>0</v>
      </c>
      <c r="AH73" s="15">
        <f t="shared" si="575"/>
        <v>0</v>
      </c>
      <c r="AI73" s="15">
        <f t="shared" si="576"/>
        <v>0</v>
      </c>
      <c r="AJ73" s="15">
        <f t="shared" si="577"/>
        <v>0</v>
      </c>
      <c r="AK73" s="15">
        <f t="shared" si="578"/>
        <v>0</v>
      </c>
      <c r="AL73" s="15">
        <f t="shared" si="579"/>
        <v>0</v>
      </c>
      <c r="AM73" s="15">
        <f t="shared" si="580"/>
        <v>0</v>
      </c>
      <c r="AN73" s="15">
        <f t="shared" si="581"/>
        <v>0</v>
      </c>
      <c r="AO73" s="647">
        <f t="shared" si="582"/>
        <v>0</v>
      </c>
      <c r="AQ73" s="15">
        <f>SUMIFS('BS-KH26-DTR'!D$2:D$116,'BS-KH26-DTR'!$B$2:$B$116,$A73)</f>
        <v>0</v>
      </c>
      <c r="AR73" s="15">
        <f>SUMIFS('BS-KH26-DTR'!E$2:E$116,'BS-KH26-DTR'!$B$2:$B$116,$A73)</f>
        <v>0</v>
      </c>
      <c r="AS73" s="15">
        <f>SUMIFS('BS-KH26-DTR'!F$2:F$116,'BS-KH26-DTR'!$B$2:$B$116,$A73)</f>
        <v>0</v>
      </c>
      <c r="AT73" s="15">
        <f>SUMIFS('BS-KH26-DTR'!G$2:G$116,'BS-KH26-DTR'!$B$2:$B$116,$A73)</f>
        <v>0</v>
      </c>
      <c r="AU73" s="15">
        <f>SUMIFS('BS-KH26-DTR'!H$2:H$116,'BS-KH26-DTR'!$B$2:$B$116,$A73)</f>
        <v>0</v>
      </c>
      <c r="AV73" s="15">
        <f>SUMIFS('BS-KH26-DTR'!I$2:I$116,'BS-KH26-DTR'!$B$2:$B$116,$A73)</f>
        <v>0</v>
      </c>
      <c r="AW73" s="15">
        <f>SUMIFS('BS-KH26-DTR'!J$2:J$116,'BS-KH26-DTR'!$B$2:$B$116,$A73)</f>
        <v>0</v>
      </c>
      <c r="AX73" s="15">
        <f>SUMIFS('BS-KH26-DTR'!K$2:K$116,'BS-KH26-DTR'!$B$2:$B$116,$A73)</f>
        <v>0</v>
      </c>
      <c r="AY73" s="15">
        <f>SUMIFS('BS-KH26-DTR'!L$2:L$116,'BS-KH26-DTR'!$B$2:$B$116,$A73)</f>
        <v>0</v>
      </c>
      <c r="AZ73" s="15">
        <f>SUMIFS('BS-KH26-DTR'!M$2:M$116,'BS-KH26-DTR'!$B$2:$B$116,$A73)</f>
        <v>0</v>
      </c>
      <c r="BA73" s="15">
        <f>SUMIFS('BS-KH26-DTR'!N$2:N$116,'BS-KH26-DTR'!$B$2:$B$116,$A73)</f>
        <v>0</v>
      </c>
      <c r="BB73" s="15">
        <f>SUMIFS('BS-KH26-DTR'!O$2:O$116,'BS-KH26-DTR'!$B$2:$B$116,$A73)</f>
        <v>0</v>
      </c>
      <c r="BD73" s="15">
        <f>SUMIFS('BS-KH26-DongLam'!M$2:M$51,'BS-KH26-DongLam'!$A$2:$A$51,'Consol BS-DTRG'!$A73)</f>
        <v>0</v>
      </c>
      <c r="BE73" s="15">
        <f>SUMIFS('BS-KH26-DongLam'!N$2:N$51,'BS-KH26-DongLam'!$A$2:$A$51,'Consol BS-DTRG'!$A73)</f>
        <v>0</v>
      </c>
      <c r="BF73" s="15">
        <f>SUMIFS('BS-KH26-DongLam'!O$2:O$51,'BS-KH26-DongLam'!$A$2:$A$51,'Consol BS-DTRG'!$A73)</f>
        <v>0</v>
      </c>
      <c r="BG73" s="15">
        <f>SUMIFS('BS-KH26-DongLam'!P$2:P$51,'BS-KH26-DongLam'!$A$2:$A$51,'Consol BS-DTRG'!$A73)</f>
        <v>0</v>
      </c>
      <c r="BH73" s="15">
        <f>SUMIFS('BS-KH26-DongLam'!Q$2:Q$51,'BS-KH26-DongLam'!$A$2:$A$51,'Consol BS-DTRG'!$A73)</f>
        <v>0</v>
      </c>
      <c r="BI73" s="15">
        <f>SUMIFS('BS-KH26-DongLam'!R$2:R$51,'BS-KH26-DongLam'!$A$2:$A$51,'Consol BS-DTRG'!$A73)</f>
        <v>0</v>
      </c>
      <c r="BJ73" s="15">
        <f>SUMIFS('BS-KH26-DongLam'!S$2:S$51,'BS-KH26-DongLam'!$A$2:$A$51,'Consol BS-DTRG'!$A73)</f>
        <v>0</v>
      </c>
      <c r="BK73" s="15">
        <f>SUMIFS('BS-KH26-DongLam'!T$2:T$51,'BS-KH26-DongLam'!$A$2:$A$51,'Consol BS-DTRG'!$A73)</f>
        <v>0</v>
      </c>
      <c r="BL73" s="15">
        <f>SUMIFS('BS-KH26-DongLam'!U$2:U$51,'BS-KH26-DongLam'!$A$2:$A$51,'Consol BS-DTRG'!$A73)</f>
        <v>0</v>
      </c>
      <c r="BM73" s="15">
        <f>SUMIFS('BS-KH26-DongLam'!V$2:V$51,'BS-KH26-DongLam'!$A$2:$A$51,'Consol BS-DTRG'!$A73)</f>
        <v>0</v>
      </c>
      <c r="BN73" s="15">
        <f>SUMIFS('BS-KH26-DongLam'!W$2:W$51,'BS-KH26-DongLam'!$A$2:$A$51,'Consol BS-DTRG'!$A73)</f>
        <v>0</v>
      </c>
      <c r="BO73" s="15">
        <f>SUMIFS('BS-KH26-DongLam'!X$2:X$51,'BS-KH26-DongLam'!$A$2:$A$51,'Consol BS-DTRG'!$A73)</f>
        <v>0</v>
      </c>
      <c r="BQ73" s="15">
        <f>SUMIFS('BS-KH26-KhanhNga'!M$2:M$51,'BS-KH26-KhanhNga'!$A$2:$A$51,'Consol BS-DTRG'!$A73)</f>
        <v>0</v>
      </c>
      <c r="BR73" s="15">
        <f>SUMIFS('BS-KH26-KhanhNga'!N$2:N$51,'BS-KH26-KhanhNga'!$A$2:$A$51,'Consol BS-DTRG'!$A73)</f>
        <v>0</v>
      </c>
      <c r="BS73" s="15">
        <f>SUMIFS('BS-KH26-KhanhNga'!O$2:O$51,'BS-KH26-KhanhNga'!$A$2:$A$51,'Consol BS-DTRG'!$A73)</f>
        <v>0</v>
      </c>
      <c r="BT73" s="15">
        <f>SUMIFS('BS-KH26-KhanhNga'!P$2:P$51,'BS-KH26-KhanhNga'!$A$2:$A$51,'Consol BS-DTRG'!$A73)</f>
        <v>0</v>
      </c>
      <c r="BU73" s="15">
        <f>SUMIFS('BS-KH26-KhanhNga'!Q$2:Q$51,'BS-KH26-KhanhNga'!$A$2:$A$51,'Consol BS-DTRG'!$A73)</f>
        <v>0</v>
      </c>
      <c r="BV73" s="15">
        <f>SUMIFS('BS-KH26-KhanhNga'!R$2:R$51,'BS-KH26-KhanhNga'!$A$2:$A$51,'Consol BS-DTRG'!$A73)</f>
        <v>0</v>
      </c>
      <c r="BW73" s="15">
        <f>SUMIFS('BS-KH26-KhanhNga'!S$2:S$51,'BS-KH26-KhanhNga'!$A$2:$A$51,'Consol BS-DTRG'!$A73)</f>
        <v>0</v>
      </c>
      <c r="BX73" s="15">
        <f>SUMIFS('BS-KH26-KhanhNga'!T$2:T$51,'BS-KH26-KhanhNga'!$A$2:$A$51,'Consol BS-DTRG'!$A73)</f>
        <v>0</v>
      </c>
      <c r="BY73" s="15">
        <f>SUMIFS('BS-KH26-KhanhNga'!U$2:U$51,'BS-KH26-KhanhNga'!$A$2:$A$51,'Consol BS-DTRG'!$A73)</f>
        <v>0</v>
      </c>
      <c r="BZ73" s="15">
        <f>SUMIFS('BS-KH26-KhanhNga'!V$2:V$51,'BS-KH26-KhanhNga'!$A$2:$A$51,'Consol BS-DTRG'!$A73)</f>
        <v>0</v>
      </c>
      <c r="CA73" s="15">
        <f>SUMIFS('BS-KH26-KhanhNga'!W$2:W$51,'BS-KH26-KhanhNga'!$A$2:$A$51,'Consol BS-DTRG'!$A73)</f>
        <v>0</v>
      </c>
      <c r="CB73" s="15">
        <f>SUMIFS('BS-KH26-KhanhNga'!X$2:X$51,'BS-KH26-KhanhNga'!$A$2:$A$51,'Consol BS-DTRG'!$A73)</f>
        <v>0</v>
      </c>
      <c r="CD73" s="15">
        <f>SUMIFS('BS-KH26-DaiLoc'!M$2:M$51,'BS-KH26-DaiLoc'!$A$2:$A$51,'Consol BS-DTRG'!$A73)</f>
        <v>0</v>
      </c>
      <c r="CE73" s="15">
        <f>SUMIFS('BS-KH26-DaiLoc'!N$2:N$51,'BS-KH26-DaiLoc'!$A$2:$A$51,'Consol BS-DTRG'!$A73)</f>
        <v>0</v>
      </c>
      <c r="CF73" s="15">
        <f>SUMIFS('BS-KH26-DaiLoc'!O$2:O$51,'BS-KH26-DaiLoc'!$A$2:$A$51,'Consol BS-DTRG'!$A73)</f>
        <v>0</v>
      </c>
      <c r="CG73" s="15">
        <f>SUMIFS('BS-KH26-DaiLoc'!P$2:P$51,'BS-KH26-DaiLoc'!$A$2:$A$51,'Consol BS-DTRG'!$A73)</f>
        <v>0</v>
      </c>
      <c r="CH73" s="15">
        <f>SUMIFS('BS-KH26-DaiLoc'!Q$2:Q$51,'BS-KH26-DaiLoc'!$A$2:$A$51,'Consol BS-DTRG'!$A73)</f>
        <v>0</v>
      </c>
      <c r="CI73" s="15">
        <f>SUMIFS('BS-KH26-DaiLoc'!R$2:R$51,'BS-KH26-DaiLoc'!$A$2:$A$51,'Consol BS-DTRG'!$A73)</f>
        <v>0</v>
      </c>
      <c r="CJ73" s="15">
        <f>SUMIFS('BS-KH26-DaiLoc'!S$2:S$51,'BS-KH26-DaiLoc'!$A$2:$A$51,'Consol BS-DTRG'!$A73)</f>
        <v>0</v>
      </c>
      <c r="CK73" s="15">
        <f>SUMIFS('BS-KH26-DaiLoc'!T$2:T$51,'BS-KH26-DaiLoc'!$A$2:$A$51,'Consol BS-DTRG'!$A73)</f>
        <v>0</v>
      </c>
      <c r="CL73" s="15">
        <f>SUMIFS('BS-KH26-DaiLoc'!U$2:U$51,'BS-KH26-DaiLoc'!$A$2:$A$51,'Consol BS-DTRG'!$A73)</f>
        <v>0</v>
      </c>
      <c r="CM73" s="15">
        <f>SUMIFS('BS-KH26-DaiLoc'!V$2:V$51,'BS-KH26-DaiLoc'!$A$2:$A$51,'Consol BS-DTRG'!$A73)</f>
        <v>0</v>
      </c>
      <c r="CN73" s="15">
        <f>SUMIFS('BS-KH26-DaiLoc'!W$2:W$51,'BS-KH26-DaiLoc'!$A$2:$A$51,'Consol BS-DTRG'!$A73)</f>
        <v>0</v>
      </c>
      <c r="CO73" s="15">
        <f>SUMIFS('BS-KH26-DaiLoc'!X$2:X$51,'BS-KH26-DaiLoc'!$A$2:$A$51,'Consol BS-DTRG'!$A73)</f>
        <v>0</v>
      </c>
      <c r="CQ73" s="15">
        <v>0</v>
      </c>
      <c r="CR73" s="15">
        <f t="shared" si="583"/>
        <v>0</v>
      </c>
      <c r="CS73" s="15">
        <f t="shared" si="583"/>
        <v>0</v>
      </c>
      <c r="CT73" s="15">
        <f t="shared" si="583"/>
        <v>0</v>
      </c>
      <c r="CU73" s="15">
        <f t="shared" si="583"/>
        <v>0</v>
      </c>
      <c r="CV73" s="15">
        <f t="shared" si="583"/>
        <v>0</v>
      </c>
      <c r="CW73" s="15">
        <f t="shared" si="583"/>
        <v>0</v>
      </c>
      <c r="CX73" s="15">
        <f t="shared" si="583"/>
        <v>0</v>
      </c>
      <c r="CY73" s="15">
        <f t="shared" si="583"/>
        <v>0</v>
      </c>
      <c r="CZ73" s="15">
        <f t="shared" si="583"/>
        <v>0</v>
      </c>
      <c r="DA73" s="15">
        <f t="shared" si="583"/>
        <v>0</v>
      </c>
      <c r="DB73" s="15">
        <f t="shared" si="583"/>
        <v>0</v>
      </c>
    </row>
    <row r="74" spans="1:106" hidden="1" outlineLevel="1">
      <c r="A74" s="633">
        <v>71</v>
      </c>
      <c r="B74" s="613" t="s">
        <v>324</v>
      </c>
      <c r="C74" t="s">
        <v>518</v>
      </c>
      <c r="D74" s="15">
        <f t="shared" si="559"/>
        <v>930823092</v>
      </c>
      <c r="E74" s="15">
        <f t="shared" si="560"/>
        <v>930823092</v>
      </c>
      <c r="F74" s="15">
        <f t="shared" si="561"/>
        <v>930823092</v>
      </c>
      <c r="G74" s="15">
        <f t="shared" si="562"/>
        <v>930823092</v>
      </c>
      <c r="H74" s="15">
        <f t="shared" si="563"/>
        <v>930823092</v>
      </c>
      <c r="I74" s="15">
        <f t="shared" si="564"/>
        <v>930823092</v>
      </c>
      <c r="J74" s="15">
        <f t="shared" si="565"/>
        <v>930823092</v>
      </c>
      <c r="K74" s="15">
        <f t="shared" si="566"/>
        <v>930823092</v>
      </c>
      <c r="L74" s="15">
        <f t="shared" si="567"/>
        <v>930823092</v>
      </c>
      <c r="M74" s="15">
        <f t="shared" si="568"/>
        <v>930823092</v>
      </c>
      <c r="N74" s="15">
        <f t="shared" si="569"/>
        <v>930823092</v>
      </c>
      <c r="O74" s="15">
        <f t="shared" si="570"/>
        <v>930823092</v>
      </c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D74" s="646">
        <f t="shared" si="571"/>
        <v>930823092</v>
      </c>
      <c r="AE74" s="15">
        <f t="shared" si="572"/>
        <v>930823092</v>
      </c>
      <c r="AF74" s="15">
        <f t="shared" si="573"/>
        <v>930823092</v>
      </c>
      <c r="AG74" s="15">
        <f t="shared" si="574"/>
        <v>930823092</v>
      </c>
      <c r="AH74" s="15">
        <f t="shared" si="575"/>
        <v>930823092</v>
      </c>
      <c r="AI74" s="15">
        <f t="shared" si="576"/>
        <v>930823092</v>
      </c>
      <c r="AJ74" s="15">
        <f t="shared" si="577"/>
        <v>930823092</v>
      </c>
      <c r="AK74" s="15">
        <f t="shared" si="578"/>
        <v>930823092</v>
      </c>
      <c r="AL74" s="15">
        <f t="shared" si="579"/>
        <v>930823092</v>
      </c>
      <c r="AM74" s="15">
        <f t="shared" si="580"/>
        <v>930823092</v>
      </c>
      <c r="AN74" s="15">
        <f t="shared" si="581"/>
        <v>930823092</v>
      </c>
      <c r="AO74" s="647">
        <f t="shared" si="582"/>
        <v>930823092</v>
      </c>
      <c r="AQ74" s="15">
        <f>SUMIFS('BS-KH26-DTR'!D$2:D$116,'BS-KH26-DTR'!$B$2:$B$116,$A74)</f>
        <v>0</v>
      </c>
      <c r="AR74" s="15">
        <f>SUMIFS('BS-KH26-DTR'!E$2:E$116,'BS-KH26-DTR'!$B$2:$B$116,$A74)</f>
        <v>0</v>
      </c>
      <c r="AS74" s="15">
        <f>SUMIFS('BS-KH26-DTR'!F$2:F$116,'BS-KH26-DTR'!$B$2:$B$116,$A74)</f>
        <v>0</v>
      </c>
      <c r="AT74" s="15">
        <f>SUMIFS('BS-KH26-DTR'!G$2:G$116,'BS-KH26-DTR'!$B$2:$B$116,$A74)</f>
        <v>0</v>
      </c>
      <c r="AU74" s="15">
        <f>SUMIFS('BS-KH26-DTR'!H$2:H$116,'BS-KH26-DTR'!$B$2:$B$116,$A74)</f>
        <v>0</v>
      </c>
      <c r="AV74" s="15">
        <f>SUMIFS('BS-KH26-DTR'!I$2:I$116,'BS-KH26-DTR'!$B$2:$B$116,$A74)</f>
        <v>0</v>
      </c>
      <c r="AW74" s="15">
        <f>SUMIFS('BS-KH26-DTR'!J$2:J$116,'BS-KH26-DTR'!$B$2:$B$116,$A74)</f>
        <v>0</v>
      </c>
      <c r="AX74" s="15">
        <f>SUMIFS('BS-KH26-DTR'!K$2:K$116,'BS-KH26-DTR'!$B$2:$B$116,$A74)</f>
        <v>0</v>
      </c>
      <c r="AY74" s="15">
        <f>SUMIFS('BS-KH26-DTR'!L$2:L$116,'BS-KH26-DTR'!$B$2:$B$116,$A74)</f>
        <v>0</v>
      </c>
      <c r="AZ74" s="15">
        <f>SUMIFS('BS-KH26-DTR'!M$2:M$116,'BS-KH26-DTR'!$B$2:$B$116,$A74)</f>
        <v>0</v>
      </c>
      <c r="BA74" s="15">
        <f>SUMIFS('BS-KH26-DTR'!N$2:N$116,'BS-KH26-DTR'!$B$2:$B$116,$A74)</f>
        <v>0</v>
      </c>
      <c r="BB74" s="15">
        <f>SUMIFS('BS-KH26-DTR'!O$2:O$116,'BS-KH26-DTR'!$B$2:$B$116,$A74)</f>
        <v>0</v>
      </c>
      <c r="BD74" s="15">
        <f>SUMIFS('BS-KH26-DongLam'!M$2:M$51,'BS-KH26-DongLam'!$A$2:$A$51,'Consol BS-DTRG'!$A74)</f>
        <v>0</v>
      </c>
      <c r="BE74" s="15">
        <f>SUMIFS('BS-KH26-DongLam'!N$2:N$51,'BS-KH26-DongLam'!$A$2:$A$51,'Consol BS-DTRG'!$A74)</f>
        <v>0</v>
      </c>
      <c r="BF74" s="15">
        <f>SUMIFS('BS-KH26-DongLam'!O$2:O$51,'BS-KH26-DongLam'!$A$2:$A$51,'Consol BS-DTRG'!$A74)</f>
        <v>0</v>
      </c>
      <c r="BG74" s="15">
        <f>SUMIFS('BS-KH26-DongLam'!P$2:P$51,'BS-KH26-DongLam'!$A$2:$A$51,'Consol BS-DTRG'!$A74)</f>
        <v>0</v>
      </c>
      <c r="BH74" s="15">
        <f>SUMIFS('BS-KH26-DongLam'!Q$2:Q$51,'BS-KH26-DongLam'!$A$2:$A$51,'Consol BS-DTRG'!$A74)</f>
        <v>0</v>
      </c>
      <c r="BI74" s="15">
        <f>SUMIFS('BS-KH26-DongLam'!R$2:R$51,'BS-KH26-DongLam'!$A$2:$A$51,'Consol BS-DTRG'!$A74)</f>
        <v>0</v>
      </c>
      <c r="BJ74" s="15">
        <f>SUMIFS('BS-KH26-DongLam'!S$2:S$51,'BS-KH26-DongLam'!$A$2:$A$51,'Consol BS-DTRG'!$A74)</f>
        <v>0</v>
      </c>
      <c r="BK74" s="15">
        <f>SUMIFS('BS-KH26-DongLam'!T$2:T$51,'BS-KH26-DongLam'!$A$2:$A$51,'Consol BS-DTRG'!$A74)</f>
        <v>0</v>
      </c>
      <c r="BL74" s="15">
        <f>SUMIFS('BS-KH26-DongLam'!U$2:U$51,'BS-KH26-DongLam'!$A$2:$A$51,'Consol BS-DTRG'!$A74)</f>
        <v>0</v>
      </c>
      <c r="BM74" s="15">
        <f>SUMIFS('BS-KH26-DongLam'!V$2:V$51,'BS-KH26-DongLam'!$A$2:$A$51,'Consol BS-DTRG'!$A74)</f>
        <v>0</v>
      </c>
      <c r="BN74" s="15">
        <f>SUMIFS('BS-KH26-DongLam'!W$2:W$51,'BS-KH26-DongLam'!$A$2:$A$51,'Consol BS-DTRG'!$A74)</f>
        <v>0</v>
      </c>
      <c r="BO74" s="15">
        <f>SUMIFS('BS-KH26-DongLam'!X$2:X$51,'BS-KH26-DongLam'!$A$2:$A$51,'Consol BS-DTRG'!$A74)</f>
        <v>0</v>
      </c>
      <c r="BQ74" s="15">
        <f>SUMIFS('BS-KH26-KhanhNga'!M$2:M$51,'BS-KH26-KhanhNga'!$A$2:$A$51,'Consol BS-DTRG'!$A74)</f>
        <v>930823092</v>
      </c>
      <c r="BR74" s="15">
        <f>SUMIFS('BS-KH26-KhanhNga'!N$2:N$51,'BS-KH26-KhanhNga'!$A$2:$A$51,'Consol BS-DTRG'!$A74)</f>
        <v>930823092</v>
      </c>
      <c r="BS74" s="15">
        <f>SUMIFS('BS-KH26-KhanhNga'!O$2:O$51,'BS-KH26-KhanhNga'!$A$2:$A$51,'Consol BS-DTRG'!$A74)</f>
        <v>930823092</v>
      </c>
      <c r="BT74" s="15">
        <f>SUMIFS('BS-KH26-KhanhNga'!P$2:P$51,'BS-KH26-KhanhNga'!$A$2:$A$51,'Consol BS-DTRG'!$A74)</f>
        <v>930823092</v>
      </c>
      <c r="BU74" s="15">
        <f>SUMIFS('BS-KH26-KhanhNga'!Q$2:Q$51,'BS-KH26-KhanhNga'!$A$2:$A$51,'Consol BS-DTRG'!$A74)</f>
        <v>930823092</v>
      </c>
      <c r="BV74" s="15">
        <f>SUMIFS('BS-KH26-KhanhNga'!R$2:R$51,'BS-KH26-KhanhNga'!$A$2:$A$51,'Consol BS-DTRG'!$A74)</f>
        <v>930823092</v>
      </c>
      <c r="BW74" s="15">
        <f>SUMIFS('BS-KH26-KhanhNga'!S$2:S$51,'BS-KH26-KhanhNga'!$A$2:$A$51,'Consol BS-DTRG'!$A74)</f>
        <v>930823092</v>
      </c>
      <c r="BX74" s="15">
        <f>SUMIFS('BS-KH26-KhanhNga'!T$2:T$51,'BS-KH26-KhanhNga'!$A$2:$A$51,'Consol BS-DTRG'!$A74)</f>
        <v>930823092</v>
      </c>
      <c r="BY74" s="15">
        <f>SUMIFS('BS-KH26-KhanhNga'!U$2:U$51,'BS-KH26-KhanhNga'!$A$2:$A$51,'Consol BS-DTRG'!$A74)</f>
        <v>930823092</v>
      </c>
      <c r="BZ74" s="15">
        <f>SUMIFS('BS-KH26-KhanhNga'!V$2:V$51,'BS-KH26-KhanhNga'!$A$2:$A$51,'Consol BS-DTRG'!$A74)</f>
        <v>930823092</v>
      </c>
      <c r="CA74" s="15">
        <f>SUMIFS('BS-KH26-KhanhNga'!W$2:W$51,'BS-KH26-KhanhNga'!$A$2:$A$51,'Consol BS-DTRG'!$A74)</f>
        <v>930823092</v>
      </c>
      <c r="CB74" s="15">
        <f>SUMIFS('BS-KH26-KhanhNga'!X$2:X$51,'BS-KH26-KhanhNga'!$A$2:$A$51,'Consol BS-DTRG'!$A74)</f>
        <v>930823092</v>
      </c>
      <c r="CD74" s="15">
        <f>SUMIFS('BS-KH26-DaiLoc'!M$2:M$51,'BS-KH26-DaiLoc'!$A$2:$A$51,'Consol BS-DTRG'!$A74)</f>
        <v>0</v>
      </c>
      <c r="CE74" s="15">
        <f>SUMIFS('BS-KH26-DaiLoc'!N$2:N$51,'BS-KH26-DaiLoc'!$A$2:$A$51,'Consol BS-DTRG'!$A74)</f>
        <v>0</v>
      </c>
      <c r="CF74" s="15">
        <f>SUMIFS('BS-KH26-DaiLoc'!O$2:O$51,'BS-KH26-DaiLoc'!$A$2:$A$51,'Consol BS-DTRG'!$A74)</f>
        <v>0</v>
      </c>
      <c r="CG74" s="15">
        <f>SUMIFS('BS-KH26-DaiLoc'!P$2:P$51,'BS-KH26-DaiLoc'!$A$2:$A$51,'Consol BS-DTRG'!$A74)</f>
        <v>0</v>
      </c>
      <c r="CH74" s="15">
        <f>SUMIFS('BS-KH26-DaiLoc'!Q$2:Q$51,'BS-KH26-DaiLoc'!$A$2:$A$51,'Consol BS-DTRG'!$A74)</f>
        <v>0</v>
      </c>
      <c r="CI74" s="15">
        <f>SUMIFS('BS-KH26-DaiLoc'!R$2:R$51,'BS-KH26-DaiLoc'!$A$2:$A$51,'Consol BS-DTRG'!$A74)</f>
        <v>0</v>
      </c>
      <c r="CJ74" s="15">
        <f>SUMIFS('BS-KH26-DaiLoc'!S$2:S$51,'BS-KH26-DaiLoc'!$A$2:$A$51,'Consol BS-DTRG'!$A74)</f>
        <v>0</v>
      </c>
      <c r="CK74" s="15">
        <f>SUMIFS('BS-KH26-DaiLoc'!T$2:T$51,'BS-KH26-DaiLoc'!$A$2:$A$51,'Consol BS-DTRG'!$A74)</f>
        <v>0</v>
      </c>
      <c r="CL74" s="15">
        <f>SUMIFS('BS-KH26-DaiLoc'!U$2:U$51,'BS-KH26-DaiLoc'!$A$2:$A$51,'Consol BS-DTRG'!$A74)</f>
        <v>0</v>
      </c>
      <c r="CM74" s="15">
        <f>SUMIFS('BS-KH26-DaiLoc'!V$2:V$51,'BS-KH26-DaiLoc'!$A$2:$A$51,'Consol BS-DTRG'!$A74)</f>
        <v>0</v>
      </c>
      <c r="CN74" s="15">
        <f>SUMIFS('BS-KH26-DaiLoc'!W$2:W$51,'BS-KH26-DaiLoc'!$A$2:$A$51,'Consol BS-DTRG'!$A74)</f>
        <v>0</v>
      </c>
      <c r="CO74" s="15">
        <f>SUMIFS('BS-KH26-DaiLoc'!X$2:X$51,'BS-KH26-DaiLoc'!$A$2:$A$51,'Consol BS-DTRG'!$A74)</f>
        <v>0</v>
      </c>
      <c r="CQ74" s="15">
        <v>0</v>
      </c>
      <c r="CR74" s="15">
        <f t="shared" si="583"/>
        <v>0</v>
      </c>
      <c r="CS74" s="15">
        <f t="shared" si="583"/>
        <v>0</v>
      </c>
      <c r="CT74" s="15">
        <f t="shared" si="583"/>
        <v>0</v>
      </c>
      <c r="CU74" s="15">
        <f t="shared" si="583"/>
        <v>0</v>
      </c>
      <c r="CV74" s="15">
        <f t="shared" si="583"/>
        <v>0</v>
      </c>
      <c r="CW74" s="15">
        <f t="shared" si="583"/>
        <v>0</v>
      </c>
      <c r="CX74" s="15">
        <f t="shared" si="583"/>
        <v>0</v>
      </c>
      <c r="CY74" s="15">
        <f t="shared" si="583"/>
        <v>0</v>
      </c>
      <c r="CZ74" s="15">
        <f t="shared" si="583"/>
        <v>0</v>
      </c>
      <c r="DA74" s="15">
        <f t="shared" si="583"/>
        <v>0</v>
      </c>
      <c r="DB74" s="15">
        <f t="shared" si="583"/>
        <v>0</v>
      </c>
    </row>
    <row r="75" spans="1:106" hidden="1" outlineLevel="1">
      <c r="A75" s="633">
        <v>72</v>
      </c>
      <c r="B75" s="613" t="s">
        <v>325</v>
      </c>
      <c r="C75" t="s">
        <v>518</v>
      </c>
      <c r="D75" s="15">
        <f t="shared" si="559"/>
        <v>0</v>
      </c>
      <c r="E75" s="15">
        <f t="shared" si="560"/>
        <v>0</v>
      </c>
      <c r="F75" s="15">
        <f t="shared" si="561"/>
        <v>0</v>
      </c>
      <c r="G75" s="15">
        <f t="shared" si="562"/>
        <v>0</v>
      </c>
      <c r="H75" s="15">
        <f t="shared" si="563"/>
        <v>0</v>
      </c>
      <c r="I75" s="15">
        <f t="shared" si="564"/>
        <v>0</v>
      </c>
      <c r="J75" s="15">
        <f t="shared" si="565"/>
        <v>0</v>
      </c>
      <c r="K75" s="15">
        <f t="shared" si="566"/>
        <v>0</v>
      </c>
      <c r="L75" s="15">
        <f t="shared" si="567"/>
        <v>0</v>
      </c>
      <c r="M75" s="15">
        <f t="shared" si="568"/>
        <v>0</v>
      </c>
      <c r="N75" s="15">
        <f t="shared" si="569"/>
        <v>0</v>
      </c>
      <c r="O75" s="15">
        <f t="shared" si="570"/>
        <v>0</v>
      </c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D75" s="646">
        <f t="shared" si="571"/>
        <v>0</v>
      </c>
      <c r="AE75" s="15">
        <f t="shared" si="572"/>
        <v>0</v>
      </c>
      <c r="AF75" s="15">
        <f t="shared" si="573"/>
        <v>0</v>
      </c>
      <c r="AG75" s="15">
        <f t="shared" si="574"/>
        <v>0</v>
      </c>
      <c r="AH75" s="15">
        <f t="shared" si="575"/>
        <v>0</v>
      </c>
      <c r="AI75" s="15">
        <f t="shared" si="576"/>
        <v>0</v>
      </c>
      <c r="AJ75" s="15">
        <f t="shared" si="577"/>
        <v>0</v>
      </c>
      <c r="AK75" s="15">
        <f t="shared" si="578"/>
        <v>0</v>
      </c>
      <c r="AL75" s="15">
        <f t="shared" si="579"/>
        <v>0</v>
      </c>
      <c r="AM75" s="15">
        <f t="shared" si="580"/>
        <v>0</v>
      </c>
      <c r="AN75" s="15">
        <f t="shared" si="581"/>
        <v>0</v>
      </c>
      <c r="AO75" s="647">
        <f t="shared" si="582"/>
        <v>0</v>
      </c>
      <c r="AQ75" s="15">
        <f>SUMIFS('BS-KH26-DTR'!D$2:D$116,'BS-KH26-DTR'!$B$2:$B$116,$A75)</f>
        <v>0</v>
      </c>
      <c r="AR75" s="15">
        <f>SUMIFS('BS-KH26-DTR'!E$2:E$116,'BS-KH26-DTR'!$B$2:$B$116,$A75)</f>
        <v>0</v>
      </c>
      <c r="AS75" s="15">
        <f>SUMIFS('BS-KH26-DTR'!F$2:F$116,'BS-KH26-DTR'!$B$2:$B$116,$A75)</f>
        <v>0</v>
      </c>
      <c r="AT75" s="15">
        <f>SUMIFS('BS-KH26-DTR'!G$2:G$116,'BS-KH26-DTR'!$B$2:$B$116,$A75)</f>
        <v>0</v>
      </c>
      <c r="AU75" s="15">
        <f>SUMIFS('BS-KH26-DTR'!H$2:H$116,'BS-KH26-DTR'!$B$2:$B$116,$A75)</f>
        <v>0</v>
      </c>
      <c r="AV75" s="15">
        <f>SUMIFS('BS-KH26-DTR'!I$2:I$116,'BS-KH26-DTR'!$B$2:$B$116,$A75)</f>
        <v>0</v>
      </c>
      <c r="AW75" s="15">
        <f>SUMIFS('BS-KH26-DTR'!J$2:J$116,'BS-KH26-DTR'!$B$2:$B$116,$A75)</f>
        <v>0</v>
      </c>
      <c r="AX75" s="15">
        <f>SUMIFS('BS-KH26-DTR'!K$2:K$116,'BS-KH26-DTR'!$B$2:$B$116,$A75)</f>
        <v>0</v>
      </c>
      <c r="AY75" s="15">
        <f>SUMIFS('BS-KH26-DTR'!L$2:L$116,'BS-KH26-DTR'!$B$2:$B$116,$A75)</f>
        <v>0</v>
      </c>
      <c r="AZ75" s="15">
        <f>SUMIFS('BS-KH26-DTR'!M$2:M$116,'BS-KH26-DTR'!$B$2:$B$116,$A75)</f>
        <v>0</v>
      </c>
      <c r="BA75" s="15">
        <f>SUMIFS('BS-KH26-DTR'!N$2:N$116,'BS-KH26-DTR'!$B$2:$B$116,$A75)</f>
        <v>0</v>
      </c>
      <c r="BB75" s="15">
        <f>SUMIFS('BS-KH26-DTR'!O$2:O$116,'BS-KH26-DTR'!$B$2:$B$116,$A75)</f>
        <v>0</v>
      </c>
      <c r="BD75" s="15">
        <f>SUMIFS('BS-KH26-DongLam'!M$2:M$51,'BS-KH26-DongLam'!$A$2:$A$51,'Consol BS-DTRG'!$A75)</f>
        <v>0</v>
      </c>
      <c r="BE75" s="15">
        <f>SUMIFS('BS-KH26-DongLam'!N$2:N$51,'BS-KH26-DongLam'!$A$2:$A$51,'Consol BS-DTRG'!$A75)</f>
        <v>0</v>
      </c>
      <c r="BF75" s="15">
        <f>SUMIFS('BS-KH26-DongLam'!O$2:O$51,'BS-KH26-DongLam'!$A$2:$A$51,'Consol BS-DTRG'!$A75)</f>
        <v>0</v>
      </c>
      <c r="BG75" s="15">
        <f>SUMIFS('BS-KH26-DongLam'!P$2:P$51,'BS-KH26-DongLam'!$A$2:$A$51,'Consol BS-DTRG'!$A75)</f>
        <v>0</v>
      </c>
      <c r="BH75" s="15">
        <f>SUMIFS('BS-KH26-DongLam'!Q$2:Q$51,'BS-KH26-DongLam'!$A$2:$A$51,'Consol BS-DTRG'!$A75)</f>
        <v>0</v>
      </c>
      <c r="BI75" s="15">
        <f>SUMIFS('BS-KH26-DongLam'!R$2:R$51,'BS-KH26-DongLam'!$A$2:$A$51,'Consol BS-DTRG'!$A75)</f>
        <v>0</v>
      </c>
      <c r="BJ75" s="15">
        <f>SUMIFS('BS-KH26-DongLam'!S$2:S$51,'BS-KH26-DongLam'!$A$2:$A$51,'Consol BS-DTRG'!$A75)</f>
        <v>0</v>
      </c>
      <c r="BK75" s="15">
        <f>SUMIFS('BS-KH26-DongLam'!T$2:T$51,'BS-KH26-DongLam'!$A$2:$A$51,'Consol BS-DTRG'!$A75)</f>
        <v>0</v>
      </c>
      <c r="BL75" s="15">
        <f>SUMIFS('BS-KH26-DongLam'!U$2:U$51,'BS-KH26-DongLam'!$A$2:$A$51,'Consol BS-DTRG'!$A75)</f>
        <v>0</v>
      </c>
      <c r="BM75" s="15">
        <f>SUMIFS('BS-KH26-DongLam'!V$2:V$51,'BS-KH26-DongLam'!$A$2:$A$51,'Consol BS-DTRG'!$A75)</f>
        <v>0</v>
      </c>
      <c r="BN75" s="15">
        <f>SUMIFS('BS-KH26-DongLam'!W$2:W$51,'BS-KH26-DongLam'!$A$2:$A$51,'Consol BS-DTRG'!$A75)</f>
        <v>0</v>
      </c>
      <c r="BO75" s="15">
        <f>SUMIFS('BS-KH26-DongLam'!X$2:X$51,'BS-KH26-DongLam'!$A$2:$A$51,'Consol BS-DTRG'!$A75)</f>
        <v>0</v>
      </c>
      <c r="BQ75" s="15">
        <f>SUMIFS('BS-KH26-KhanhNga'!M$2:M$51,'BS-KH26-KhanhNga'!$A$2:$A$51,'Consol BS-DTRG'!$A75)</f>
        <v>0</v>
      </c>
      <c r="BR75" s="15">
        <f>SUMIFS('BS-KH26-KhanhNga'!N$2:N$51,'BS-KH26-KhanhNga'!$A$2:$A$51,'Consol BS-DTRG'!$A75)</f>
        <v>0</v>
      </c>
      <c r="BS75" s="15">
        <f>SUMIFS('BS-KH26-KhanhNga'!O$2:O$51,'BS-KH26-KhanhNga'!$A$2:$A$51,'Consol BS-DTRG'!$A75)</f>
        <v>0</v>
      </c>
      <c r="BT75" s="15">
        <f>SUMIFS('BS-KH26-KhanhNga'!P$2:P$51,'BS-KH26-KhanhNga'!$A$2:$A$51,'Consol BS-DTRG'!$A75)</f>
        <v>0</v>
      </c>
      <c r="BU75" s="15">
        <f>SUMIFS('BS-KH26-KhanhNga'!Q$2:Q$51,'BS-KH26-KhanhNga'!$A$2:$A$51,'Consol BS-DTRG'!$A75)</f>
        <v>0</v>
      </c>
      <c r="BV75" s="15">
        <f>SUMIFS('BS-KH26-KhanhNga'!R$2:R$51,'BS-KH26-KhanhNga'!$A$2:$A$51,'Consol BS-DTRG'!$A75)</f>
        <v>0</v>
      </c>
      <c r="BW75" s="15">
        <f>SUMIFS('BS-KH26-KhanhNga'!S$2:S$51,'BS-KH26-KhanhNga'!$A$2:$A$51,'Consol BS-DTRG'!$A75)</f>
        <v>0</v>
      </c>
      <c r="BX75" s="15">
        <f>SUMIFS('BS-KH26-KhanhNga'!T$2:T$51,'BS-KH26-KhanhNga'!$A$2:$A$51,'Consol BS-DTRG'!$A75)</f>
        <v>0</v>
      </c>
      <c r="BY75" s="15">
        <f>SUMIFS('BS-KH26-KhanhNga'!U$2:U$51,'BS-KH26-KhanhNga'!$A$2:$A$51,'Consol BS-DTRG'!$A75)</f>
        <v>0</v>
      </c>
      <c r="BZ75" s="15">
        <f>SUMIFS('BS-KH26-KhanhNga'!V$2:V$51,'BS-KH26-KhanhNga'!$A$2:$A$51,'Consol BS-DTRG'!$A75)</f>
        <v>0</v>
      </c>
      <c r="CA75" s="15">
        <f>SUMIFS('BS-KH26-KhanhNga'!W$2:W$51,'BS-KH26-KhanhNga'!$A$2:$A$51,'Consol BS-DTRG'!$A75)</f>
        <v>0</v>
      </c>
      <c r="CB75" s="15">
        <f>SUMIFS('BS-KH26-KhanhNga'!X$2:X$51,'BS-KH26-KhanhNga'!$A$2:$A$51,'Consol BS-DTRG'!$A75)</f>
        <v>0</v>
      </c>
      <c r="CD75" s="15">
        <f>SUMIFS('BS-KH26-DaiLoc'!M$2:M$51,'BS-KH26-DaiLoc'!$A$2:$A$51,'Consol BS-DTRG'!$A75)</f>
        <v>0</v>
      </c>
      <c r="CE75" s="15">
        <f>SUMIFS('BS-KH26-DaiLoc'!N$2:N$51,'BS-KH26-DaiLoc'!$A$2:$A$51,'Consol BS-DTRG'!$A75)</f>
        <v>0</v>
      </c>
      <c r="CF75" s="15">
        <f>SUMIFS('BS-KH26-DaiLoc'!O$2:O$51,'BS-KH26-DaiLoc'!$A$2:$A$51,'Consol BS-DTRG'!$A75)</f>
        <v>0</v>
      </c>
      <c r="CG75" s="15">
        <f>SUMIFS('BS-KH26-DaiLoc'!P$2:P$51,'BS-KH26-DaiLoc'!$A$2:$A$51,'Consol BS-DTRG'!$A75)</f>
        <v>0</v>
      </c>
      <c r="CH75" s="15">
        <f>SUMIFS('BS-KH26-DaiLoc'!Q$2:Q$51,'BS-KH26-DaiLoc'!$A$2:$A$51,'Consol BS-DTRG'!$A75)</f>
        <v>0</v>
      </c>
      <c r="CI75" s="15">
        <f>SUMIFS('BS-KH26-DaiLoc'!R$2:R$51,'BS-KH26-DaiLoc'!$A$2:$A$51,'Consol BS-DTRG'!$A75)</f>
        <v>0</v>
      </c>
      <c r="CJ75" s="15">
        <f>SUMIFS('BS-KH26-DaiLoc'!S$2:S$51,'BS-KH26-DaiLoc'!$A$2:$A$51,'Consol BS-DTRG'!$A75)</f>
        <v>0</v>
      </c>
      <c r="CK75" s="15">
        <f>SUMIFS('BS-KH26-DaiLoc'!T$2:T$51,'BS-KH26-DaiLoc'!$A$2:$A$51,'Consol BS-DTRG'!$A75)</f>
        <v>0</v>
      </c>
      <c r="CL75" s="15">
        <f>SUMIFS('BS-KH26-DaiLoc'!U$2:U$51,'BS-KH26-DaiLoc'!$A$2:$A$51,'Consol BS-DTRG'!$A75)</f>
        <v>0</v>
      </c>
      <c r="CM75" s="15">
        <f>SUMIFS('BS-KH26-DaiLoc'!V$2:V$51,'BS-KH26-DaiLoc'!$A$2:$A$51,'Consol BS-DTRG'!$A75)</f>
        <v>0</v>
      </c>
      <c r="CN75" s="15">
        <f>SUMIFS('BS-KH26-DaiLoc'!W$2:W$51,'BS-KH26-DaiLoc'!$A$2:$A$51,'Consol BS-DTRG'!$A75)</f>
        <v>0</v>
      </c>
      <c r="CO75" s="15">
        <f>SUMIFS('BS-KH26-DaiLoc'!X$2:X$51,'BS-KH26-DaiLoc'!$A$2:$A$51,'Consol BS-DTRG'!$A75)</f>
        <v>0</v>
      </c>
      <c r="CQ75" s="15">
        <v>0</v>
      </c>
      <c r="CR75" s="15">
        <f t="shared" si="583"/>
        <v>0</v>
      </c>
      <c r="CS75" s="15">
        <f t="shared" si="583"/>
        <v>0</v>
      </c>
      <c r="CT75" s="15">
        <f t="shared" si="583"/>
        <v>0</v>
      </c>
      <c r="CU75" s="15">
        <f t="shared" si="583"/>
        <v>0</v>
      </c>
      <c r="CV75" s="15">
        <f t="shared" si="583"/>
        <v>0</v>
      </c>
      <c r="CW75" s="15">
        <f t="shared" si="583"/>
        <v>0</v>
      </c>
      <c r="CX75" s="15">
        <f t="shared" si="583"/>
        <v>0</v>
      </c>
      <c r="CY75" s="15">
        <f t="shared" si="583"/>
        <v>0</v>
      </c>
      <c r="CZ75" s="15">
        <f t="shared" si="583"/>
        <v>0</v>
      </c>
      <c r="DA75" s="15">
        <f t="shared" si="583"/>
        <v>0</v>
      </c>
      <c r="DB75" s="15">
        <f t="shared" si="583"/>
        <v>0</v>
      </c>
    </row>
    <row r="76" spans="1:106" collapsed="1">
      <c r="A76" s="1">
        <v>73</v>
      </c>
      <c r="B76" s="623" t="s">
        <v>326</v>
      </c>
      <c r="D76" s="14">
        <f t="shared" ref="D76:O76" si="584">SUM(D77:D80)</f>
        <v>9780622175</v>
      </c>
      <c r="E76" s="14">
        <f t="shared" si="584"/>
        <v>9780622175</v>
      </c>
      <c r="F76" s="14">
        <f t="shared" si="584"/>
        <v>9780622175</v>
      </c>
      <c r="G76" s="14">
        <f t="shared" si="584"/>
        <v>9780622175</v>
      </c>
      <c r="H76" s="14">
        <f t="shared" si="584"/>
        <v>9780622175</v>
      </c>
      <c r="I76" s="14">
        <f t="shared" si="584"/>
        <v>9780622175</v>
      </c>
      <c r="J76" s="14">
        <f t="shared" si="584"/>
        <v>9780622175</v>
      </c>
      <c r="K76" s="14">
        <f t="shared" si="584"/>
        <v>9780622175</v>
      </c>
      <c r="L76" s="14">
        <f t="shared" si="584"/>
        <v>9780622175</v>
      </c>
      <c r="M76" s="14">
        <f t="shared" si="584"/>
        <v>9780622175</v>
      </c>
      <c r="N76" s="14">
        <f t="shared" si="584"/>
        <v>9780622175</v>
      </c>
      <c r="O76" s="14">
        <f t="shared" si="584"/>
        <v>9780622175</v>
      </c>
      <c r="Q76" s="14">
        <f t="shared" ref="Q76:AB76" si="585">SUM(Q77:Q80)</f>
        <v>0</v>
      </c>
      <c r="R76" s="14">
        <f t="shared" si="585"/>
        <v>0</v>
      </c>
      <c r="S76" s="14">
        <f t="shared" si="585"/>
        <v>0</v>
      </c>
      <c r="T76" s="14">
        <f t="shared" si="585"/>
        <v>0</v>
      </c>
      <c r="U76" s="14">
        <f t="shared" si="585"/>
        <v>0</v>
      </c>
      <c r="V76" s="14">
        <f t="shared" si="585"/>
        <v>0</v>
      </c>
      <c r="W76" s="14">
        <f t="shared" si="585"/>
        <v>0</v>
      </c>
      <c r="X76" s="14">
        <f t="shared" si="585"/>
        <v>0</v>
      </c>
      <c r="Y76" s="14">
        <f t="shared" si="585"/>
        <v>0</v>
      </c>
      <c r="Z76" s="14">
        <f t="shared" si="585"/>
        <v>0</v>
      </c>
      <c r="AA76" s="14">
        <f t="shared" si="585"/>
        <v>0</v>
      </c>
      <c r="AB76" s="14">
        <f t="shared" si="585"/>
        <v>0</v>
      </c>
      <c r="AD76" s="644">
        <f t="shared" ref="AD76" si="586">SUM(AD77:AD80)</f>
        <v>9780622175</v>
      </c>
      <c r="AE76" s="14">
        <f t="shared" ref="AE76:AO76" si="587">SUM(AE77:AE80)</f>
        <v>9780622175</v>
      </c>
      <c r="AF76" s="14">
        <f t="shared" si="587"/>
        <v>9780622175</v>
      </c>
      <c r="AG76" s="14">
        <f t="shared" si="587"/>
        <v>9780622175</v>
      </c>
      <c r="AH76" s="14">
        <f t="shared" si="587"/>
        <v>9780622175</v>
      </c>
      <c r="AI76" s="14">
        <f t="shared" si="587"/>
        <v>9780622175</v>
      </c>
      <c r="AJ76" s="14">
        <f t="shared" si="587"/>
        <v>9780622175</v>
      </c>
      <c r="AK76" s="14">
        <f t="shared" si="587"/>
        <v>9780622175</v>
      </c>
      <c r="AL76" s="14">
        <f t="shared" si="587"/>
        <v>9780622175</v>
      </c>
      <c r="AM76" s="14">
        <f t="shared" si="587"/>
        <v>9780622175</v>
      </c>
      <c r="AN76" s="14">
        <f t="shared" si="587"/>
        <v>9780622175</v>
      </c>
      <c r="AO76" s="645">
        <f t="shared" si="587"/>
        <v>9780622175</v>
      </c>
      <c r="AQ76" s="14">
        <f t="shared" ref="AQ76:BB76" si="588">SUM(AQ77:AQ80)</f>
        <v>8650890043</v>
      </c>
      <c r="AR76" s="14">
        <f t="shared" si="588"/>
        <v>8650890043</v>
      </c>
      <c r="AS76" s="14">
        <f t="shared" si="588"/>
        <v>8650890043</v>
      </c>
      <c r="AT76" s="14">
        <f t="shared" si="588"/>
        <v>8650890043</v>
      </c>
      <c r="AU76" s="14">
        <f t="shared" si="588"/>
        <v>8650890043</v>
      </c>
      <c r="AV76" s="14">
        <f t="shared" si="588"/>
        <v>8650890043</v>
      </c>
      <c r="AW76" s="14">
        <f t="shared" si="588"/>
        <v>8650890043</v>
      </c>
      <c r="AX76" s="14">
        <f t="shared" si="588"/>
        <v>8650890043</v>
      </c>
      <c r="AY76" s="14">
        <f t="shared" si="588"/>
        <v>8650890043</v>
      </c>
      <c r="AZ76" s="14">
        <f t="shared" si="588"/>
        <v>8650890043</v>
      </c>
      <c r="BA76" s="14">
        <f t="shared" si="588"/>
        <v>8650890043</v>
      </c>
      <c r="BB76" s="14">
        <f t="shared" si="588"/>
        <v>8650890043</v>
      </c>
      <c r="BD76" s="14">
        <f t="shared" ref="BD76:BO76" si="589">SUM(BD77:BD80)</f>
        <v>720131084</v>
      </c>
      <c r="BE76" s="14">
        <f t="shared" si="589"/>
        <v>720131084</v>
      </c>
      <c r="BF76" s="14">
        <f t="shared" si="589"/>
        <v>720131084</v>
      </c>
      <c r="BG76" s="14">
        <f t="shared" si="589"/>
        <v>720131084</v>
      </c>
      <c r="BH76" s="14">
        <f t="shared" si="589"/>
        <v>720131084</v>
      </c>
      <c r="BI76" s="14">
        <f t="shared" si="589"/>
        <v>720131084</v>
      </c>
      <c r="BJ76" s="14">
        <f t="shared" si="589"/>
        <v>720131084</v>
      </c>
      <c r="BK76" s="14">
        <f t="shared" si="589"/>
        <v>720131084</v>
      </c>
      <c r="BL76" s="14">
        <f t="shared" si="589"/>
        <v>720131084</v>
      </c>
      <c r="BM76" s="14">
        <f t="shared" si="589"/>
        <v>720131084</v>
      </c>
      <c r="BN76" s="14">
        <f t="shared" si="589"/>
        <v>720131084</v>
      </c>
      <c r="BO76" s="14">
        <f t="shared" si="589"/>
        <v>720131084</v>
      </c>
      <c r="BQ76" s="14">
        <f t="shared" ref="BQ76:CB76" si="590">SUM(BQ77:BQ80)</f>
        <v>396258186</v>
      </c>
      <c r="BR76" s="14">
        <f t="shared" si="590"/>
        <v>396258186</v>
      </c>
      <c r="BS76" s="14">
        <f t="shared" si="590"/>
        <v>396258186</v>
      </c>
      <c r="BT76" s="14">
        <f t="shared" si="590"/>
        <v>396258186</v>
      </c>
      <c r="BU76" s="14">
        <f t="shared" si="590"/>
        <v>396258186</v>
      </c>
      <c r="BV76" s="14">
        <f t="shared" si="590"/>
        <v>396258186</v>
      </c>
      <c r="BW76" s="14">
        <f t="shared" si="590"/>
        <v>396258186</v>
      </c>
      <c r="BX76" s="14">
        <f t="shared" si="590"/>
        <v>396258186</v>
      </c>
      <c r="BY76" s="14">
        <f t="shared" si="590"/>
        <v>396258186</v>
      </c>
      <c r="BZ76" s="14">
        <f t="shared" si="590"/>
        <v>396258186</v>
      </c>
      <c r="CA76" s="14">
        <f t="shared" si="590"/>
        <v>396258186</v>
      </c>
      <c r="CB76" s="14">
        <f t="shared" si="590"/>
        <v>396258186</v>
      </c>
      <c r="CD76" s="14">
        <f t="shared" ref="CD76:CO76" si="591">SUM(CD77:CD80)</f>
        <v>0</v>
      </c>
      <c r="CE76" s="14">
        <f t="shared" si="591"/>
        <v>0</v>
      </c>
      <c r="CF76" s="14">
        <f t="shared" si="591"/>
        <v>0</v>
      </c>
      <c r="CG76" s="14">
        <f t="shared" si="591"/>
        <v>0</v>
      </c>
      <c r="CH76" s="14">
        <f t="shared" si="591"/>
        <v>0</v>
      </c>
      <c r="CI76" s="14">
        <f t="shared" si="591"/>
        <v>0</v>
      </c>
      <c r="CJ76" s="14">
        <f t="shared" si="591"/>
        <v>0</v>
      </c>
      <c r="CK76" s="14">
        <f t="shared" si="591"/>
        <v>0</v>
      </c>
      <c r="CL76" s="14">
        <f t="shared" si="591"/>
        <v>0</v>
      </c>
      <c r="CM76" s="14">
        <f t="shared" si="591"/>
        <v>0</v>
      </c>
      <c r="CN76" s="14">
        <f t="shared" si="591"/>
        <v>0</v>
      </c>
      <c r="CO76" s="14">
        <f t="shared" si="591"/>
        <v>0</v>
      </c>
      <c r="CQ76" s="14">
        <f t="shared" ref="CQ76:DB76" si="592">SUM(CQ77:CQ80)</f>
        <v>13342862</v>
      </c>
      <c r="CR76" s="14">
        <f t="shared" si="592"/>
        <v>13342862</v>
      </c>
      <c r="CS76" s="14">
        <f t="shared" si="592"/>
        <v>13342862</v>
      </c>
      <c r="CT76" s="14">
        <f t="shared" si="592"/>
        <v>13342862</v>
      </c>
      <c r="CU76" s="14">
        <f t="shared" si="592"/>
        <v>13342862</v>
      </c>
      <c r="CV76" s="14">
        <f t="shared" si="592"/>
        <v>13342862</v>
      </c>
      <c r="CW76" s="14">
        <f t="shared" si="592"/>
        <v>13342862</v>
      </c>
      <c r="CX76" s="14">
        <f t="shared" si="592"/>
        <v>13342862</v>
      </c>
      <c r="CY76" s="14">
        <f t="shared" si="592"/>
        <v>13342862</v>
      </c>
      <c r="CZ76" s="14">
        <f t="shared" si="592"/>
        <v>13342862</v>
      </c>
      <c r="DA76" s="14">
        <f t="shared" si="592"/>
        <v>13342862</v>
      </c>
      <c r="DB76" s="14">
        <f t="shared" si="592"/>
        <v>13342862</v>
      </c>
    </row>
    <row r="77" spans="1:106" hidden="1" outlineLevel="1">
      <c r="A77" s="633">
        <v>74</v>
      </c>
      <c r="B77" s="614" t="s">
        <v>327</v>
      </c>
      <c r="C77" t="s">
        <v>518</v>
      </c>
      <c r="D77" s="15">
        <f t="shared" ref="D77:D80" si="593">AD77+Q77</f>
        <v>8664232905</v>
      </c>
      <c r="E77" s="15">
        <f t="shared" ref="E77:E80" si="594">AE77+R77</f>
        <v>8664232905</v>
      </c>
      <c r="F77" s="15">
        <f t="shared" ref="F77:F80" si="595">AF77+S77</f>
        <v>8664232905</v>
      </c>
      <c r="G77" s="15">
        <f t="shared" ref="G77:G80" si="596">AG77+T77</f>
        <v>8664232905</v>
      </c>
      <c r="H77" s="15">
        <f t="shared" ref="H77:H80" si="597">AH77+U77</f>
        <v>8664232905</v>
      </c>
      <c r="I77" s="15">
        <f t="shared" ref="I77:I80" si="598">AI77+V77</f>
        <v>8664232905</v>
      </c>
      <c r="J77" s="15">
        <f t="shared" ref="J77:J80" si="599">AJ77+W77</f>
        <v>8664232905</v>
      </c>
      <c r="K77" s="15">
        <f t="shared" ref="K77:K80" si="600">AK77+X77</f>
        <v>8664232905</v>
      </c>
      <c r="L77" s="15">
        <f t="shared" ref="L77:L80" si="601">AL77+Y77</f>
        <v>8664232905</v>
      </c>
      <c r="M77" s="15">
        <f t="shared" ref="M77:M80" si="602">AM77+Z77</f>
        <v>8664232905</v>
      </c>
      <c r="N77" s="15">
        <f t="shared" ref="N77:N80" si="603">AN77+AA77</f>
        <v>8664232905</v>
      </c>
      <c r="O77" s="15">
        <f t="shared" ref="O77:O80" si="604">AO77+AB77</f>
        <v>8664232905</v>
      </c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D77" s="646">
        <f t="shared" ref="AD77:AD80" si="605">AQ77+BD77+BQ77+CD77+CQ77</f>
        <v>8664232905</v>
      </c>
      <c r="AE77" s="15">
        <f t="shared" ref="AE77:AE80" si="606">AR77+BE77+BR77+CE77+CR77</f>
        <v>8664232905</v>
      </c>
      <c r="AF77" s="15">
        <f t="shared" ref="AF77:AF80" si="607">AS77+BF77+BS77+CF77+CS77</f>
        <v>8664232905</v>
      </c>
      <c r="AG77" s="15">
        <f t="shared" ref="AG77:AG80" si="608">AT77+BG77+BT77+CG77+CT77</f>
        <v>8664232905</v>
      </c>
      <c r="AH77" s="15">
        <f t="shared" ref="AH77:AH80" si="609">AU77+BH77+BU77+CH77+CU77</f>
        <v>8664232905</v>
      </c>
      <c r="AI77" s="15">
        <f t="shared" ref="AI77:AI80" si="610">AV77+BI77+BV77+CI77+CV77</f>
        <v>8664232905</v>
      </c>
      <c r="AJ77" s="15">
        <f t="shared" ref="AJ77:AJ80" si="611">AW77+BJ77+BW77+CJ77+CW77</f>
        <v>8664232905</v>
      </c>
      <c r="AK77" s="15">
        <f t="shared" ref="AK77:AK80" si="612">AX77+BK77+BX77+CK77+CX77</f>
        <v>8664232905</v>
      </c>
      <c r="AL77" s="15">
        <f t="shared" ref="AL77:AL80" si="613">AY77+BL77+BY77+CL77+CY77</f>
        <v>8664232905</v>
      </c>
      <c r="AM77" s="15">
        <f t="shared" ref="AM77:AM80" si="614">AZ77+BM77+BZ77+CM77+CZ77</f>
        <v>8664232905</v>
      </c>
      <c r="AN77" s="15">
        <f t="shared" ref="AN77:AN80" si="615">BA77+BN77+CA77+CN77+DA77</f>
        <v>8664232905</v>
      </c>
      <c r="AO77" s="647">
        <f t="shared" ref="AO77:AO80" si="616">BB77+BO77+CB77+CO77+DB77</f>
        <v>8664232905</v>
      </c>
      <c r="AQ77" s="15">
        <f>SUMIFS('BS-KH26-DTR'!D$2:D$116,'BS-KH26-DTR'!$B$2:$B$116,$A77)</f>
        <v>8650890043</v>
      </c>
      <c r="AR77" s="15">
        <f>SUMIFS('BS-KH26-DTR'!E$2:E$116,'BS-KH26-DTR'!$B$2:$B$116,$A77)</f>
        <v>8650890043</v>
      </c>
      <c r="AS77" s="15">
        <f>SUMIFS('BS-KH26-DTR'!F$2:F$116,'BS-KH26-DTR'!$B$2:$B$116,$A77)</f>
        <v>8650890043</v>
      </c>
      <c r="AT77" s="15">
        <f>SUMIFS('BS-KH26-DTR'!G$2:G$116,'BS-KH26-DTR'!$B$2:$B$116,$A77)</f>
        <v>8650890043</v>
      </c>
      <c r="AU77" s="15">
        <f>SUMIFS('BS-KH26-DTR'!H$2:H$116,'BS-KH26-DTR'!$B$2:$B$116,$A77)</f>
        <v>8650890043</v>
      </c>
      <c r="AV77" s="15">
        <f>SUMIFS('BS-KH26-DTR'!I$2:I$116,'BS-KH26-DTR'!$B$2:$B$116,$A77)</f>
        <v>8650890043</v>
      </c>
      <c r="AW77" s="15">
        <f>SUMIFS('BS-KH26-DTR'!J$2:J$116,'BS-KH26-DTR'!$B$2:$B$116,$A77)</f>
        <v>8650890043</v>
      </c>
      <c r="AX77" s="15">
        <f>SUMIFS('BS-KH26-DTR'!K$2:K$116,'BS-KH26-DTR'!$B$2:$B$116,$A77)</f>
        <v>8650890043</v>
      </c>
      <c r="AY77" s="15">
        <f>SUMIFS('BS-KH26-DTR'!L$2:L$116,'BS-KH26-DTR'!$B$2:$B$116,$A77)</f>
        <v>8650890043</v>
      </c>
      <c r="AZ77" s="15">
        <f>SUMIFS('BS-KH26-DTR'!M$2:M$116,'BS-KH26-DTR'!$B$2:$B$116,$A77)</f>
        <v>8650890043</v>
      </c>
      <c r="BA77" s="15">
        <f>SUMIFS('BS-KH26-DTR'!N$2:N$116,'BS-KH26-DTR'!$B$2:$B$116,$A77)</f>
        <v>8650890043</v>
      </c>
      <c r="BB77" s="15">
        <f>SUMIFS('BS-KH26-DTR'!O$2:O$116,'BS-KH26-DTR'!$B$2:$B$116,$A77)</f>
        <v>8650890043</v>
      </c>
      <c r="BD77" s="15">
        <f>SUMIFS('BS-KH26-DongLam'!M$2:M$51,'BS-KH26-DongLam'!$A$2:$A$51,'Consol BS-DTRG'!$A77)</f>
        <v>0</v>
      </c>
      <c r="BE77" s="15">
        <f>SUMIFS('BS-KH26-DongLam'!N$2:N$51,'BS-KH26-DongLam'!$A$2:$A$51,'Consol BS-DTRG'!$A77)</f>
        <v>0</v>
      </c>
      <c r="BF77" s="15">
        <f>SUMIFS('BS-KH26-DongLam'!O$2:O$51,'BS-KH26-DongLam'!$A$2:$A$51,'Consol BS-DTRG'!$A77)</f>
        <v>0</v>
      </c>
      <c r="BG77" s="15">
        <f>SUMIFS('BS-KH26-DongLam'!P$2:P$51,'BS-KH26-DongLam'!$A$2:$A$51,'Consol BS-DTRG'!$A77)</f>
        <v>0</v>
      </c>
      <c r="BH77" s="15">
        <f>SUMIFS('BS-KH26-DongLam'!Q$2:Q$51,'BS-KH26-DongLam'!$A$2:$A$51,'Consol BS-DTRG'!$A77)</f>
        <v>0</v>
      </c>
      <c r="BI77" s="15">
        <f>SUMIFS('BS-KH26-DongLam'!R$2:R$51,'BS-KH26-DongLam'!$A$2:$A$51,'Consol BS-DTRG'!$A77)</f>
        <v>0</v>
      </c>
      <c r="BJ77" s="15">
        <f>SUMIFS('BS-KH26-DongLam'!S$2:S$51,'BS-KH26-DongLam'!$A$2:$A$51,'Consol BS-DTRG'!$A77)</f>
        <v>0</v>
      </c>
      <c r="BK77" s="15">
        <f>SUMIFS('BS-KH26-DongLam'!T$2:T$51,'BS-KH26-DongLam'!$A$2:$A$51,'Consol BS-DTRG'!$A77)</f>
        <v>0</v>
      </c>
      <c r="BL77" s="15">
        <f>SUMIFS('BS-KH26-DongLam'!U$2:U$51,'BS-KH26-DongLam'!$A$2:$A$51,'Consol BS-DTRG'!$A77)</f>
        <v>0</v>
      </c>
      <c r="BM77" s="15">
        <f>SUMIFS('BS-KH26-DongLam'!V$2:V$51,'BS-KH26-DongLam'!$A$2:$A$51,'Consol BS-DTRG'!$A77)</f>
        <v>0</v>
      </c>
      <c r="BN77" s="15">
        <f>SUMIFS('BS-KH26-DongLam'!W$2:W$51,'BS-KH26-DongLam'!$A$2:$A$51,'Consol BS-DTRG'!$A77)</f>
        <v>0</v>
      </c>
      <c r="BO77" s="15">
        <f>SUMIFS('BS-KH26-DongLam'!X$2:X$51,'BS-KH26-DongLam'!$A$2:$A$51,'Consol BS-DTRG'!$A77)</f>
        <v>0</v>
      </c>
      <c r="BQ77" s="15">
        <f>SUMIFS('BS-KH26-KhanhNga'!M$2:M$51,'BS-KH26-KhanhNga'!$A$2:$A$51,'Consol BS-DTRG'!$A77)</f>
        <v>0</v>
      </c>
      <c r="BR77" s="15">
        <f>SUMIFS('BS-KH26-KhanhNga'!N$2:N$51,'BS-KH26-KhanhNga'!$A$2:$A$51,'Consol BS-DTRG'!$A77)</f>
        <v>0</v>
      </c>
      <c r="BS77" s="15">
        <f>SUMIFS('BS-KH26-KhanhNga'!O$2:O$51,'BS-KH26-KhanhNga'!$A$2:$A$51,'Consol BS-DTRG'!$A77)</f>
        <v>0</v>
      </c>
      <c r="BT77" s="15">
        <f>SUMIFS('BS-KH26-KhanhNga'!P$2:P$51,'BS-KH26-KhanhNga'!$A$2:$A$51,'Consol BS-DTRG'!$A77)</f>
        <v>0</v>
      </c>
      <c r="BU77" s="15">
        <f>SUMIFS('BS-KH26-KhanhNga'!Q$2:Q$51,'BS-KH26-KhanhNga'!$A$2:$A$51,'Consol BS-DTRG'!$A77)</f>
        <v>0</v>
      </c>
      <c r="BV77" s="15">
        <f>SUMIFS('BS-KH26-KhanhNga'!R$2:R$51,'BS-KH26-KhanhNga'!$A$2:$A$51,'Consol BS-DTRG'!$A77)</f>
        <v>0</v>
      </c>
      <c r="BW77" s="15">
        <f>SUMIFS('BS-KH26-KhanhNga'!S$2:S$51,'BS-KH26-KhanhNga'!$A$2:$A$51,'Consol BS-DTRG'!$A77)</f>
        <v>0</v>
      </c>
      <c r="BX77" s="15">
        <f>SUMIFS('BS-KH26-KhanhNga'!T$2:T$51,'BS-KH26-KhanhNga'!$A$2:$A$51,'Consol BS-DTRG'!$A77)</f>
        <v>0</v>
      </c>
      <c r="BY77" s="15">
        <f>SUMIFS('BS-KH26-KhanhNga'!U$2:U$51,'BS-KH26-KhanhNga'!$A$2:$A$51,'Consol BS-DTRG'!$A77)</f>
        <v>0</v>
      </c>
      <c r="BZ77" s="15">
        <f>SUMIFS('BS-KH26-KhanhNga'!V$2:V$51,'BS-KH26-KhanhNga'!$A$2:$A$51,'Consol BS-DTRG'!$A77)</f>
        <v>0</v>
      </c>
      <c r="CA77" s="15">
        <f>SUMIFS('BS-KH26-KhanhNga'!W$2:W$51,'BS-KH26-KhanhNga'!$A$2:$A$51,'Consol BS-DTRG'!$A77)</f>
        <v>0</v>
      </c>
      <c r="CB77" s="15">
        <f>SUMIFS('BS-KH26-KhanhNga'!X$2:X$51,'BS-KH26-KhanhNga'!$A$2:$A$51,'Consol BS-DTRG'!$A77)</f>
        <v>0</v>
      </c>
      <c r="CD77" s="15">
        <f>SUMIFS('BS-KH26-DaiLoc'!M$2:M$51,'BS-KH26-DaiLoc'!$A$2:$A$51,'Consol BS-DTRG'!$A77)</f>
        <v>0</v>
      </c>
      <c r="CE77" s="15">
        <f>SUMIFS('BS-KH26-DaiLoc'!N$2:N$51,'BS-KH26-DaiLoc'!$A$2:$A$51,'Consol BS-DTRG'!$A77)</f>
        <v>0</v>
      </c>
      <c r="CF77" s="15">
        <f>SUMIFS('BS-KH26-DaiLoc'!O$2:O$51,'BS-KH26-DaiLoc'!$A$2:$A$51,'Consol BS-DTRG'!$A77)</f>
        <v>0</v>
      </c>
      <c r="CG77" s="15">
        <f>SUMIFS('BS-KH26-DaiLoc'!P$2:P$51,'BS-KH26-DaiLoc'!$A$2:$A$51,'Consol BS-DTRG'!$A77)</f>
        <v>0</v>
      </c>
      <c r="CH77" s="15">
        <f>SUMIFS('BS-KH26-DaiLoc'!Q$2:Q$51,'BS-KH26-DaiLoc'!$A$2:$A$51,'Consol BS-DTRG'!$A77)</f>
        <v>0</v>
      </c>
      <c r="CI77" s="15">
        <f>SUMIFS('BS-KH26-DaiLoc'!R$2:R$51,'BS-KH26-DaiLoc'!$A$2:$A$51,'Consol BS-DTRG'!$A77)</f>
        <v>0</v>
      </c>
      <c r="CJ77" s="15">
        <f>SUMIFS('BS-KH26-DaiLoc'!S$2:S$51,'BS-KH26-DaiLoc'!$A$2:$A$51,'Consol BS-DTRG'!$A77)</f>
        <v>0</v>
      </c>
      <c r="CK77" s="15">
        <f>SUMIFS('BS-KH26-DaiLoc'!T$2:T$51,'BS-KH26-DaiLoc'!$A$2:$A$51,'Consol BS-DTRG'!$A77)</f>
        <v>0</v>
      </c>
      <c r="CL77" s="15">
        <f>SUMIFS('BS-KH26-DaiLoc'!U$2:U$51,'BS-KH26-DaiLoc'!$A$2:$A$51,'Consol BS-DTRG'!$A77)</f>
        <v>0</v>
      </c>
      <c r="CM77" s="15">
        <f>SUMIFS('BS-KH26-DaiLoc'!V$2:V$51,'BS-KH26-DaiLoc'!$A$2:$A$51,'Consol BS-DTRG'!$A77)</f>
        <v>0</v>
      </c>
      <c r="CN77" s="15">
        <f>SUMIFS('BS-KH26-DaiLoc'!W$2:W$51,'BS-KH26-DaiLoc'!$A$2:$A$51,'Consol BS-DTRG'!$A77)</f>
        <v>0</v>
      </c>
      <c r="CO77" s="15">
        <f>SUMIFS('BS-KH26-DaiLoc'!X$2:X$51,'BS-KH26-DaiLoc'!$A$2:$A$51,'Consol BS-DTRG'!$A77)</f>
        <v>0</v>
      </c>
      <c r="CQ77" s="15">
        <v>13342862</v>
      </c>
      <c r="CR77" s="15">
        <f t="shared" ref="CR77:DB80" si="617">CQ77</f>
        <v>13342862</v>
      </c>
      <c r="CS77" s="15">
        <f t="shared" si="617"/>
        <v>13342862</v>
      </c>
      <c r="CT77" s="15">
        <f t="shared" si="617"/>
        <v>13342862</v>
      </c>
      <c r="CU77" s="15">
        <f t="shared" si="617"/>
        <v>13342862</v>
      </c>
      <c r="CV77" s="15">
        <f t="shared" si="617"/>
        <v>13342862</v>
      </c>
      <c r="CW77" s="15">
        <f t="shared" si="617"/>
        <v>13342862</v>
      </c>
      <c r="CX77" s="15">
        <f t="shared" si="617"/>
        <v>13342862</v>
      </c>
      <c r="CY77" s="15">
        <f t="shared" si="617"/>
        <v>13342862</v>
      </c>
      <c r="CZ77" s="15">
        <f t="shared" si="617"/>
        <v>13342862</v>
      </c>
      <c r="DA77" s="15">
        <f t="shared" si="617"/>
        <v>13342862</v>
      </c>
      <c r="DB77" s="15">
        <f t="shared" si="617"/>
        <v>13342862</v>
      </c>
    </row>
    <row r="78" spans="1:106" hidden="1" outlineLevel="1">
      <c r="A78" s="633">
        <v>75</v>
      </c>
      <c r="B78" s="614" t="s">
        <v>328</v>
      </c>
      <c r="C78" t="s">
        <v>518</v>
      </c>
      <c r="D78" s="15">
        <f t="shared" si="593"/>
        <v>0</v>
      </c>
      <c r="E78" s="15">
        <f t="shared" si="594"/>
        <v>0</v>
      </c>
      <c r="F78" s="15">
        <f t="shared" si="595"/>
        <v>0</v>
      </c>
      <c r="G78" s="15">
        <f t="shared" si="596"/>
        <v>0</v>
      </c>
      <c r="H78" s="15">
        <f t="shared" si="597"/>
        <v>0</v>
      </c>
      <c r="I78" s="15">
        <f t="shared" si="598"/>
        <v>0</v>
      </c>
      <c r="J78" s="15">
        <f t="shared" si="599"/>
        <v>0</v>
      </c>
      <c r="K78" s="15">
        <f t="shared" si="600"/>
        <v>0</v>
      </c>
      <c r="L78" s="15">
        <f t="shared" si="601"/>
        <v>0</v>
      </c>
      <c r="M78" s="15">
        <f t="shared" si="602"/>
        <v>0</v>
      </c>
      <c r="N78" s="15">
        <f t="shared" si="603"/>
        <v>0</v>
      </c>
      <c r="O78" s="15">
        <f t="shared" si="604"/>
        <v>0</v>
      </c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D78" s="646">
        <f t="shared" si="605"/>
        <v>0</v>
      </c>
      <c r="AE78" s="15">
        <f t="shared" si="606"/>
        <v>0</v>
      </c>
      <c r="AF78" s="15">
        <f t="shared" si="607"/>
        <v>0</v>
      </c>
      <c r="AG78" s="15">
        <f t="shared" si="608"/>
        <v>0</v>
      </c>
      <c r="AH78" s="15">
        <f t="shared" si="609"/>
        <v>0</v>
      </c>
      <c r="AI78" s="15">
        <f t="shared" si="610"/>
        <v>0</v>
      </c>
      <c r="AJ78" s="15">
        <f t="shared" si="611"/>
        <v>0</v>
      </c>
      <c r="AK78" s="15">
        <f t="shared" si="612"/>
        <v>0</v>
      </c>
      <c r="AL78" s="15">
        <f t="shared" si="613"/>
        <v>0</v>
      </c>
      <c r="AM78" s="15">
        <f t="shared" si="614"/>
        <v>0</v>
      </c>
      <c r="AN78" s="15">
        <f t="shared" si="615"/>
        <v>0</v>
      </c>
      <c r="AO78" s="647">
        <f t="shared" si="616"/>
        <v>0</v>
      </c>
      <c r="AQ78" s="15">
        <f>SUMIFS('BS-KH26-DTR'!D$2:D$116,'BS-KH26-DTR'!$B$2:$B$116,$A78)</f>
        <v>0</v>
      </c>
      <c r="AR78" s="15">
        <f>SUMIFS('BS-KH26-DTR'!E$2:E$116,'BS-KH26-DTR'!$B$2:$B$116,$A78)</f>
        <v>0</v>
      </c>
      <c r="AS78" s="15">
        <f>SUMIFS('BS-KH26-DTR'!F$2:F$116,'BS-KH26-DTR'!$B$2:$B$116,$A78)</f>
        <v>0</v>
      </c>
      <c r="AT78" s="15">
        <f>SUMIFS('BS-KH26-DTR'!G$2:G$116,'BS-KH26-DTR'!$B$2:$B$116,$A78)</f>
        <v>0</v>
      </c>
      <c r="AU78" s="15">
        <f>SUMIFS('BS-KH26-DTR'!H$2:H$116,'BS-KH26-DTR'!$B$2:$B$116,$A78)</f>
        <v>0</v>
      </c>
      <c r="AV78" s="15">
        <f>SUMIFS('BS-KH26-DTR'!I$2:I$116,'BS-KH26-DTR'!$B$2:$B$116,$A78)</f>
        <v>0</v>
      </c>
      <c r="AW78" s="15">
        <f>SUMIFS('BS-KH26-DTR'!J$2:J$116,'BS-KH26-DTR'!$B$2:$B$116,$A78)</f>
        <v>0</v>
      </c>
      <c r="AX78" s="15">
        <f>SUMIFS('BS-KH26-DTR'!K$2:K$116,'BS-KH26-DTR'!$B$2:$B$116,$A78)</f>
        <v>0</v>
      </c>
      <c r="AY78" s="15">
        <f>SUMIFS('BS-KH26-DTR'!L$2:L$116,'BS-KH26-DTR'!$B$2:$B$116,$A78)</f>
        <v>0</v>
      </c>
      <c r="AZ78" s="15">
        <f>SUMIFS('BS-KH26-DTR'!M$2:M$116,'BS-KH26-DTR'!$B$2:$B$116,$A78)</f>
        <v>0</v>
      </c>
      <c r="BA78" s="15">
        <f>SUMIFS('BS-KH26-DTR'!N$2:N$116,'BS-KH26-DTR'!$B$2:$B$116,$A78)</f>
        <v>0</v>
      </c>
      <c r="BB78" s="15">
        <f>SUMIFS('BS-KH26-DTR'!O$2:O$116,'BS-KH26-DTR'!$B$2:$B$116,$A78)</f>
        <v>0</v>
      </c>
      <c r="BD78" s="15">
        <f>SUMIFS('BS-KH26-DongLam'!M$2:M$51,'BS-KH26-DongLam'!$A$2:$A$51,'Consol BS-DTRG'!$A78)</f>
        <v>0</v>
      </c>
      <c r="BE78" s="15">
        <f>SUMIFS('BS-KH26-DongLam'!N$2:N$51,'BS-KH26-DongLam'!$A$2:$A$51,'Consol BS-DTRG'!$A78)</f>
        <v>0</v>
      </c>
      <c r="BF78" s="15">
        <f>SUMIFS('BS-KH26-DongLam'!O$2:O$51,'BS-KH26-DongLam'!$A$2:$A$51,'Consol BS-DTRG'!$A78)</f>
        <v>0</v>
      </c>
      <c r="BG78" s="15">
        <f>SUMIFS('BS-KH26-DongLam'!P$2:P$51,'BS-KH26-DongLam'!$A$2:$A$51,'Consol BS-DTRG'!$A78)</f>
        <v>0</v>
      </c>
      <c r="BH78" s="15">
        <f>SUMIFS('BS-KH26-DongLam'!Q$2:Q$51,'BS-KH26-DongLam'!$A$2:$A$51,'Consol BS-DTRG'!$A78)</f>
        <v>0</v>
      </c>
      <c r="BI78" s="15">
        <f>SUMIFS('BS-KH26-DongLam'!R$2:R$51,'BS-KH26-DongLam'!$A$2:$A$51,'Consol BS-DTRG'!$A78)</f>
        <v>0</v>
      </c>
      <c r="BJ78" s="15">
        <f>SUMIFS('BS-KH26-DongLam'!S$2:S$51,'BS-KH26-DongLam'!$A$2:$A$51,'Consol BS-DTRG'!$A78)</f>
        <v>0</v>
      </c>
      <c r="BK78" s="15">
        <f>SUMIFS('BS-KH26-DongLam'!T$2:T$51,'BS-KH26-DongLam'!$A$2:$A$51,'Consol BS-DTRG'!$A78)</f>
        <v>0</v>
      </c>
      <c r="BL78" s="15">
        <f>SUMIFS('BS-KH26-DongLam'!U$2:U$51,'BS-KH26-DongLam'!$A$2:$A$51,'Consol BS-DTRG'!$A78)</f>
        <v>0</v>
      </c>
      <c r="BM78" s="15">
        <f>SUMIFS('BS-KH26-DongLam'!V$2:V$51,'BS-KH26-DongLam'!$A$2:$A$51,'Consol BS-DTRG'!$A78)</f>
        <v>0</v>
      </c>
      <c r="BN78" s="15">
        <f>SUMIFS('BS-KH26-DongLam'!W$2:W$51,'BS-KH26-DongLam'!$A$2:$A$51,'Consol BS-DTRG'!$A78)</f>
        <v>0</v>
      </c>
      <c r="BO78" s="15">
        <f>SUMIFS('BS-KH26-DongLam'!X$2:X$51,'BS-KH26-DongLam'!$A$2:$A$51,'Consol BS-DTRG'!$A78)</f>
        <v>0</v>
      </c>
      <c r="BQ78" s="15">
        <f>SUMIFS('BS-KH26-KhanhNga'!M$2:M$51,'BS-KH26-KhanhNga'!$A$2:$A$51,'Consol BS-DTRG'!$A78)</f>
        <v>0</v>
      </c>
      <c r="BR78" s="15">
        <f>SUMIFS('BS-KH26-KhanhNga'!N$2:N$51,'BS-KH26-KhanhNga'!$A$2:$A$51,'Consol BS-DTRG'!$A78)</f>
        <v>0</v>
      </c>
      <c r="BS78" s="15">
        <f>SUMIFS('BS-KH26-KhanhNga'!O$2:O$51,'BS-KH26-KhanhNga'!$A$2:$A$51,'Consol BS-DTRG'!$A78)</f>
        <v>0</v>
      </c>
      <c r="BT78" s="15">
        <f>SUMIFS('BS-KH26-KhanhNga'!P$2:P$51,'BS-KH26-KhanhNga'!$A$2:$A$51,'Consol BS-DTRG'!$A78)</f>
        <v>0</v>
      </c>
      <c r="BU78" s="15">
        <f>SUMIFS('BS-KH26-KhanhNga'!Q$2:Q$51,'BS-KH26-KhanhNga'!$A$2:$A$51,'Consol BS-DTRG'!$A78)</f>
        <v>0</v>
      </c>
      <c r="BV78" s="15">
        <f>SUMIFS('BS-KH26-KhanhNga'!R$2:R$51,'BS-KH26-KhanhNga'!$A$2:$A$51,'Consol BS-DTRG'!$A78)</f>
        <v>0</v>
      </c>
      <c r="BW78" s="15">
        <f>SUMIFS('BS-KH26-KhanhNga'!S$2:S$51,'BS-KH26-KhanhNga'!$A$2:$A$51,'Consol BS-DTRG'!$A78)</f>
        <v>0</v>
      </c>
      <c r="BX78" s="15">
        <f>SUMIFS('BS-KH26-KhanhNga'!T$2:T$51,'BS-KH26-KhanhNga'!$A$2:$A$51,'Consol BS-DTRG'!$A78)</f>
        <v>0</v>
      </c>
      <c r="BY78" s="15">
        <f>SUMIFS('BS-KH26-KhanhNga'!U$2:U$51,'BS-KH26-KhanhNga'!$A$2:$A$51,'Consol BS-DTRG'!$A78)</f>
        <v>0</v>
      </c>
      <c r="BZ78" s="15">
        <f>SUMIFS('BS-KH26-KhanhNga'!V$2:V$51,'BS-KH26-KhanhNga'!$A$2:$A$51,'Consol BS-DTRG'!$A78)</f>
        <v>0</v>
      </c>
      <c r="CA78" s="15">
        <f>SUMIFS('BS-KH26-KhanhNga'!W$2:W$51,'BS-KH26-KhanhNga'!$A$2:$A$51,'Consol BS-DTRG'!$A78)</f>
        <v>0</v>
      </c>
      <c r="CB78" s="15">
        <f>SUMIFS('BS-KH26-KhanhNga'!X$2:X$51,'BS-KH26-KhanhNga'!$A$2:$A$51,'Consol BS-DTRG'!$A78)</f>
        <v>0</v>
      </c>
      <c r="CD78" s="15">
        <f>SUMIFS('BS-KH26-DaiLoc'!M$2:M$51,'BS-KH26-DaiLoc'!$A$2:$A$51,'Consol BS-DTRG'!$A78)</f>
        <v>0</v>
      </c>
      <c r="CE78" s="15">
        <f>SUMIFS('BS-KH26-DaiLoc'!N$2:N$51,'BS-KH26-DaiLoc'!$A$2:$A$51,'Consol BS-DTRG'!$A78)</f>
        <v>0</v>
      </c>
      <c r="CF78" s="15">
        <f>SUMIFS('BS-KH26-DaiLoc'!O$2:O$51,'BS-KH26-DaiLoc'!$A$2:$A$51,'Consol BS-DTRG'!$A78)</f>
        <v>0</v>
      </c>
      <c r="CG78" s="15">
        <f>SUMIFS('BS-KH26-DaiLoc'!P$2:P$51,'BS-KH26-DaiLoc'!$A$2:$A$51,'Consol BS-DTRG'!$A78)</f>
        <v>0</v>
      </c>
      <c r="CH78" s="15">
        <f>SUMIFS('BS-KH26-DaiLoc'!Q$2:Q$51,'BS-KH26-DaiLoc'!$A$2:$A$51,'Consol BS-DTRG'!$A78)</f>
        <v>0</v>
      </c>
      <c r="CI78" s="15">
        <f>SUMIFS('BS-KH26-DaiLoc'!R$2:R$51,'BS-KH26-DaiLoc'!$A$2:$A$51,'Consol BS-DTRG'!$A78)</f>
        <v>0</v>
      </c>
      <c r="CJ78" s="15">
        <f>SUMIFS('BS-KH26-DaiLoc'!S$2:S$51,'BS-KH26-DaiLoc'!$A$2:$A$51,'Consol BS-DTRG'!$A78)</f>
        <v>0</v>
      </c>
      <c r="CK78" s="15">
        <f>SUMIFS('BS-KH26-DaiLoc'!T$2:T$51,'BS-KH26-DaiLoc'!$A$2:$A$51,'Consol BS-DTRG'!$A78)</f>
        <v>0</v>
      </c>
      <c r="CL78" s="15">
        <f>SUMIFS('BS-KH26-DaiLoc'!U$2:U$51,'BS-KH26-DaiLoc'!$A$2:$A$51,'Consol BS-DTRG'!$A78)</f>
        <v>0</v>
      </c>
      <c r="CM78" s="15">
        <f>SUMIFS('BS-KH26-DaiLoc'!V$2:V$51,'BS-KH26-DaiLoc'!$A$2:$A$51,'Consol BS-DTRG'!$A78)</f>
        <v>0</v>
      </c>
      <c r="CN78" s="15">
        <f>SUMIFS('BS-KH26-DaiLoc'!W$2:W$51,'BS-KH26-DaiLoc'!$A$2:$A$51,'Consol BS-DTRG'!$A78)</f>
        <v>0</v>
      </c>
      <c r="CO78" s="15">
        <f>SUMIFS('BS-KH26-DaiLoc'!X$2:X$51,'BS-KH26-DaiLoc'!$A$2:$A$51,'Consol BS-DTRG'!$A78)</f>
        <v>0</v>
      </c>
      <c r="CQ78" s="15">
        <v>0</v>
      </c>
      <c r="CR78" s="15">
        <f t="shared" si="617"/>
        <v>0</v>
      </c>
      <c r="CS78" s="15">
        <f t="shared" si="617"/>
        <v>0</v>
      </c>
      <c r="CT78" s="15">
        <f t="shared" si="617"/>
        <v>0</v>
      </c>
      <c r="CU78" s="15">
        <f t="shared" si="617"/>
        <v>0</v>
      </c>
      <c r="CV78" s="15">
        <f t="shared" si="617"/>
        <v>0</v>
      </c>
      <c r="CW78" s="15">
        <f t="shared" si="617"/>
        <v>0</v>
      </c>
      <c r="CX78" s="15">
        <f t="shared" si="617"/>
        <v>0</v>
      </c>
      <c r="CY78" s="15">
        <f t="shared" si="617"/>
        <v>0</v>
      </c>
      <c r="CZ78" s="15">
        <f t="shared" si="617"/>
        <v>0</v>
      </c>
      <c r="DA78" s="15">
        <f t="shared" si="617"/>
        <v>0</v>
      </c>
      <c r="DB78" s="15">
        <f t="shared" si="617"/>
        <v>0</v>
      </c>
    </row>
    <row r="79" spans="1:106" hidden="1" outlineLevel="1">
      <c r="A79" s="633">
        <v>76</v>
      </c>
      <c r="B79" s="614" t="s">
        <v>329</v>
      </c>
      <c r="C79" t="s">
        <v>518</v>
      </c>
      <c r="D79" s="15">
        <f t="shared" si="593"/>
        <v>0</v>
      </c>
      <c r="E79" s="15">
        <f t="shared" si="594"/>
        <v>0</v>
      </c>
      <c r="F79" s="15">
        <f t="shared" si="595"/>
        <v>0</v>
      </c>
      <c r="G79" s="15">
        <f t="shared" si="596"/>
        <v>0</v>
      </c>
      <c r="H79" s="15">
        <f t="shared" si="597"/>
        <v>0</v>
      </c>
      <c r="I79" s="15">
        <f t="shared" si="598"/>
        <v>0</v>
      </c>
      <c r="J79" s="15">
        <f t="shared" si="599"/>
        <v>0</v>
      </c>
      <c r="K79" s="15">
        <f t="shared" si="600"/>
        <v>0</v>
      </c>
      <c r="L79" s="15">
        <f t="shared" si="601"/>
        <v>0</v>
      </c>
      <c r="M79" s="15">
        <f t="shared" si="602"/>
        <v>0</v>
      </c>
      <c r="N79" s="15">
        <f t="shared" si="603"/>
        <v>0</v>
      </c>
      <c r="O79" s="15">
        <f t="shared" si="604"/>
        <v>0</v>
      </c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D79" s="646">
        <f t="shared" si="605"/>
        <v>0</v>
      </c>
      <c r="AE79" s="15">
        <f t="shared" si="606"/>
        <v>0</v>
      </c>
      <c r="AF79" s="15">
        <f t="shared" si="607"/>
        <v>0</v>
      </c>
      <c r="AG79" s="15">
        <f t="shared" si="608"/>
        <v>0</v>
      </c>
      <c r="AH79" s="15">
        <f t="shared" si="609"/>
        <v>0</v>
      </c>
      <c r="AI79" s="15">
        <f t="shared" si="610"/>
        <v>0</v>
      </c>
      <c r="AJ79" s="15">
        <f t="shared" si="611"/>
        <v>0</v>
      </c>
      <c r="AK79" s="15">
        <f t="shared" si="612"/>
        <v>0</v>
      </c>
      <c r="AL79" s="15">
        <f t="shared" si="613"/>
        <v>0</v>
      </c>
      <c r="AM79" s="15">
        <f t="shared" si="614"/>
        <v>0</v>
      </c>
      <c r="AN79" s="15">
        <f t="shared" si="615"/>
        <v>0</v>
      </c>
      <c r="AO79" s="647">
        <f t="shared" si="616"/>
        <v>0</v>
      </c>
      <c r="AQ79" s="15">
        <f>SUMIFS('BS-KH26-DTR'!D$2:D$116,'BS-KH26-DTR'!$B$2:$B$116,$A79)</f>
        <v>0</v>
      </c>
      <c r="AR79" s="15">
        <f>SUMIFS('BS-KH26-DTR'!E$2:E$116,'BS-KH26-DTR'!$B$2:$B$116,$A79)</f>
        <v>0</v>
      </c>
      <c r="AS79" s="15">
        <f>SUMIFS('BS-KH26-DTR'!F$2:F$116,'BS-KH26-DTR'!$B$2:$B$116,$A79)</f>
        <v>0</v>
      </c>
      <c r="AT79" s="15">
        <f>SUMIFS('BS-KH26-DTR'!G$2:G$116,'BS-KH26-DTR'!$B$2:$B$116,$A79)</f>
        <v>0</v>
      </c>
      <c r="AU79" s="15">
        <f>SUMIFS('BS-KH26-DTR'!H$2:H$116,'BS-KH26-DTR'!$B$2:$B$116,$A79)</f>
        <v>0</v>
      </c>
      <c r="AV79" s="15">
        <f>SUMIFS('BS-KH26-DTR'!I$2:I$116,'BS-KH26-DTR'!$B$2:$B$116,$A79)</f>
        <v>0</v>
      </c>
      <c r="AW79" s="15">
        <f>SUMIFS('BS-KH26-DTR'!J$2:J$116,'BS-KH26-DTR'!$B$2:$B$116,$A79)</f>
        <v>0</v>
      </c>
      <c r="AX79" s="15">
        <f>SUMIFS('BS-KH26-DTR'!K$2:K$116,'BS-KH26-DTR'!$B$2:$B$116,$A79)</f>
        <v>0</v>
      </c>
      <c r="AY79" s="15">
        <f>SUMIFS('BS-KH26-DTR'!L$2:L$116,'BS-KH26-DTR'!$B$2:$B$116,$A79)</f>
        <v>0</v>
      </c>
      <c r="AZ79" s="15">
        <f>SUMIFS('BS-KH26-DTR'!M$2:M$116,'BS-KH26-DTR'!$B$2:$B$116,$A79)</f>
        <v>0</v>
      </c>
      <c r="BA79" s="15">
        <f>SUMIFS('BS-KH26-DTR'!N$2:N$116,'BS-KH26-DTR'!$B$2:$B$116,$A79)</f>
        <v>0</v>
      </c>
      <c r="BB79" s="15">
        <f>SUMIFS('BS-KH26-DTR'!O$2:O$116,'BS-KH26-DTR'!$B$2:$B$116,$A79)</f>
        <v>0</v>
      </c>
      <c r="BD79" s="15">
        <f>SUMIFS('BS-KH26-DongLam'!M$2:M$51,'BS-KH26-DongLam'!$A$2:$A$51,'Consol BS-DTRG'!$A79)</f>
        <v>0</v>
      </c>
      <c r="BE79" s="15">
        <f>SUMIFS('BS-KH26-DongLam'!N$2:N$51,'BS-KH26-DongLam'!$A$2:$A$51,'Consol BS-DTRG'!$A79)</f>
        <v>0</v>
      </c>
      <c r="BF79" s="15">
        <f>SUMIFS('BS-KH26-DongLam'!O$2:O$51,'BS-KH26-DongLam'!$A$2:$A$51,'Consol BS-DTRG'!$A79)</f>
        <v>0</v>
      </c>
      <c r="BG79" s="15">
        <f>SUMIFS('BS-KH26-DongLam'!P$2:P$51,'BS-KH26-DongLam'!$A$2:$A$51,'Consol BS-DTRG'!$A79)</f>
        <v>0</v>
      </c>
      <c r="BH79" s="15">
        <f>SUMIFS('BS-KH26-DongLam'!Q$2:Q$51,'BS-KH26-DongLam'!$A$2:$A$51,'Consol BS-DTRG'!$A79)</f>
        <v>0</v>
      </c>
      <c r="BI79" s="15">
        <f>SUMIFS('BS-KH26-DongLam'!R$2:R$51,'BS-KH26-DongLam'!$A$2:$A$51,'Consol BS-DTRG'!$A79)</f>
        <v>0</v>
      </c>
      <c r="BJ79" s="15">
        <f>SUMIFS('BS-KH26-DongLam'!S$2:S$51,'BS-KH26-DongLam'!$A$2:$A$51,'Consol BS-DTRG'!$A79)</f>
        <v>0</v>
      </c>
      <c r="BK79" s="15">
        <f>SUMIFS('BS-KH26-DongLam'!T$2:T$51,'BS-KH26-DongLam'!$A$2:$A$51,'Consol BS-DTRG'!$A79)</f>
        <v>0</v>
      </c>
      <c r="BL79" s="15">
        <f>SUMIFS('BS-KH26-DongLam'!U$2:U$51,'BS-KH26-DongLam'!$A$2:$A$51,'Consol BS-DTRG'!$A79)</f>
        <v>0</v>
      </c>
      <c r="BM79" s="15">
        <f>SUMIFS('BS-KH26-DongLam'!V$2:V$51,'BS-KH26-DongLam'!$A$2:$A$51,'Consol BS-DTRG'!$A79)</f>
        <v>0</v>
      </c>
      <c r="BN79" s="15">
        <f>SUMIFS('BS-KH26-DongLam'!W$2:W$51,'BS-KH26-DongLam'!$A$2:$A$51,'Consol BS-DTRG'!$A79)</f>
        <v>0</v>
      </c>
      <c r="BO79" s="15">
        <f>SUMIFS('BS-KH26-DongLam'!X$2:X$51,'BS-KH26-DongLam'!$A$2:$A$51,'Consol BS-DTRG'!$A79)</f>
        <v>0</v>
      </c>
      <c r="BQ79" s="15">
        <f>SUMIFS('BS-KH26-KhanhNga'!M$2:M$51,'BS-KH26-KhanhNga'!$A$2:$A$51,'Consol BS-DTRG'!$A79)</f>
        <v>0</v>
      </c>
      <c r="BR79" s="15">
        <f>SUMIFS('BS-KH26-KhanhNga'!N$2:N$51,'BS-KH26-KhanhNga'!$A$2:$A$51,'Consol BS-DTRG'!$A79)</f>
        <v>0</v>
      </c>
      <c r="BS79" s="15">
        <f>SUMIFS('BS-KH26-KhanhNga'!O$2:O$51,'BS-KH26-KhanhNga'!$A$2:$A$51,'Consol BS-DTRG'!$A79)</f>
        <v>0</v>
      </c>
      <c r="BT79" s="15">
        <f>SUMIFS('BS-KH26-KhanhNga'!P$2:P$51,'BS-KH26-KhanhNga'!$A$2:$A$51,'Consol BS-DTRG'!$A79)</f>
        <v>0</v>
      </c>
      <c r="BU79" s="15">
        <f>SUMIFS('BS-KH26-KhanhNga'!Q$2:Q$51,'BS-KH26-KhanhNga'!$A$2:$A$51,'Consol BS-DTRG'!$A79)</f>
        <v>0</v>
      </c>
      <c r="BV79" s="15">
        <f>SUMIFS('BS-KH26-KhanhNga'!R$2:R$51,'BS-KH26-KhanhNga'!$A$2:$A$51,'Consol BS-DTRG'!$A79)</f>
        <v>0</v>
      </c>
      <c r="BW79" s="15">
        <f>SUMIFS('BS-KH26-KhanhNga'!S$2:S$51,'BS-KH26-KhanhNga'!$A$2:$A$51,'Consol BS-DTRG'!$A79)</f>
        <v>0</v>
      </c>
      <c r="BX79" s="15">
        <f>SUMIFS('BS-KH26-KhanhNga'!T$2:T$51,'BS-KH26-KhanhNga'!$A$2:$A$51,'Consol BS-DTRG'!$A79)</f>
        <v>0</v>
      </c>
      <c r="BY79" s="15">
        <f>SUMIFS('BS-KH26-KhanhNga'!U$2:U$51,'BS-KH26-KhanhNga'!$A$2:$A$51,'Consol BS-DTRG'!$A79)</f>
        <v>0</v>
      </c>
      <c r="BZ79" s="15">
        <f>SUMIFS('BS-KH26-KhanhNga'!V$2:V$51,'BS-KH26-KhanhNga'!$A$2:$A$51,'Consol BS-DTRG'!$A79)</f>
        <v>0</v>
      </c>
      <c r="CA79" s="15">
        <f>SUMIFS('BS-KH26-KhanhNga'!W$2:W$51,'BS-KH26-KhanhNga'!$A$2:$A$51,'Consol BS-DTRG'!$A79)</f>
        <v>0</v>
      </c>
      <c r="CB79" s="15">
        <f>SUMIFS('BS-KH26-KhanhNga'!X$2:X$51,'BS-KH26-KhanhNga'!$A$2:$A$51,'Consol BS-DTRG'!$A79)</f>
        <v>0</v>
      </c>
      <c r="CD79" s="15">
        <f>SUMIFS('BS-KH26-DaiLoc'!M$2:M$51,'BS-KH26-DaiLoc'!$A$2:$A$51,'Consol BS-DTRG'!$A79)</f>
        <v>0</v>
      </c>
      <c r="CE79" s="15">
        <f>SUMIFS('BS-KH26-DaiLoc'!N$2:N$51,'BS-KH26-DaiLoc'!$A$2:$A$51,'Consol BS-DTRG'!$A79)</f>
        <v>0</v>
      </c>
      <c r="CF79" s="15">
        <f>SUMIFS('BS-KH26-DaiLoc'!O$2:O$51,'BS-KH26-DaiLoc'!$A$2:$A$51,'Consol BS-DTRG'!$A79)</f>
        <v>0</v>
      </c>
      <c r="CG79" s="15">
        <f>SUMIFS('BS-KH26-DaiLoc'!P$2:P$51,'BS-KH26-DaiLoc'!$A$2:$A$51,'Consol BS-DTRG'!$A79)</f>
        <v>0</v>
      </c>
      <c r="CH79" s="15">
        <f>SUMIFS('BS-KH26-DaiLoc'!Q$2:Q$51,'BS-KH26-DaiLoc'!$A$2:$A$51,'Consol BS-DTRG'!$A79)</f>
        <v>0</v>
      </c>
      <c r="CI79" s="15">
        <f>SUMIFS('BS-KH26-DaiLoc'!R$2:R$51,'BS-KH26-DaiLoc'!$A$2:$A$51,'Consol BS-DTRG'!$A79)</f>
        <v>0</v>
      </c>
      <c r="CJ79" s="15">
        <f>SUMIFS('BS-KH26-DaiLoc'!S$2:S$51,'BS-KH26-DaiLoc'!$A$2:$A$51,'Consol BS-DTRG'!$A79)</f>
        <v>0</v>
      </c>
      <c r="CK79" s="15">
        <f>SUMIFS('BS-KH26-DaiLoc'!T$2:T$51,'BS-KH26-DaiLoc'!$A$2:$A$51,'Consol BS-DTRG'!$A79)</f>
        <v>0</v>
      </c>
      <c r="CL79" s="15">
        <f>SUMIFS('BS-KH26-DaiLoc'!U$2:U$51,'BS-KH26-DaiLoc'!$A$2:$A$51,'Consol BS-DTRG'!$A79)</f>
        <v>0</v>
      </c>
      <c r="CM79" s="15">
        <f>SUMIFS('BS-KH26-DaiLoc'!V$2:V$51,'BS-KH26-DaiLoc'!$A$2:$A$51,'Consol BS-DTRG'!$A79)</f>
        <v>0</v>
      </c>
      <c r="CN79" s="15">
        <f>SUMIFS('BS-KH26-DaiLoc'!W$2:W$51,'BS-KH26-DaiLoc'!$A$2:$A$51,'Consol BS-DTRG'!$A79)</f>
        <v>0</v>
      </c>
      <c r="CO79" s="15">
        <f>SUMIFS('BS-KH26-DaiLoc'!X$2:X$51,'BS-KH26-DaiLoc'!$A$2:$A$51,'Consol BS-DTRG'!$A79)</f>
        <v>0</v>
      </c>
      <c r="CQ79" s="15">
        <v>0</v>
      </c>
      <c r="CR79" s="15">
        <f t="shared" si="617"/>
        <v>0</v>
      </c>
      <c r="CS79" s="15">
        <f t="shared" si="617"/>
        <v>0</v>
      </c>
      <c r="CT79" s="15">
        <f t="shared" si="617"/>
        <v>0</v>
      </c>
      <c r="CU79" s="15">
        <f t="shared" si="617"/>
        <v>0</v>
      </c>
      <c r="CV79" s="15">
        <f t="shared" si="617"/>
        <v>0</v>
      </c>
      <c r="CW79" s="15">
        <f t="shared" si="617"/>
        <v>0</v>
      </c>
      <c r="CX79" s="15">
        <f t="shared" si="617"/>
        <v>0</v>
      </c>
      <c r="CY79" s="15">
        <f t="shared" si="617"/>
        <v>0</v>
      </c>
      <c r="CZ79" s="15">
        <f t="shared" si="617"/>
        <v>0</v>
      </c>
      <c r="DA79" s="15">
        <f t="shared" si="617"/>
        <v>0</v>
      </c>
      <c r="DB79" s="15">
        <f t="shared" si="617"/>
        <v>0</v>
      </c>
    </row>
    <row r="80" spans="1:106" hidden="1" outlineLevel="1">
      <c r="A80" s="633">
        <v>77</v>
      </c>
      <c r="B80" s="614" t="s">
        <v>330</v>
      </c>
      <c r="C80" t="s">
        <v>518</v>
      </c>
      <c r="D80" s="15">
        <f t="shared" si="593"/>
        <v>1116389270</v>
      </c>
      <c r="E80" s="15">
        <f t="shared" si="594"/>
        <v>1116389270</v>
      </c>
      <c r="F80" s="15">
        <f t="shared" si="595"/>
        <v>1116389270</v>
      </c>
      <c r="G80" s="15">
        <f t="shared" si="596"/>
        <v>1116389270</v>
      </c>
      <c r="H80" s="15">
        <f t="shared" si="597"/>
        <v>1116389270</v>
      </c>
      <c r="I80" s="15">
        <f t="shared" si="598"/>
        <v>1116389270</v>
      </c>
      <c r="J80" s="15">
        <f t="shared" si="599"/>
        <v>1116389270</v>
      </c>
      <c r="K80" s="15">
        <f t="shared" si="600"/>
        <v>1116389270</v>
      </c>
      <c r="L80" s="15">
        <f t="shared" si="601"/>
        <v>1116389270</v>
      </c>
      <c r="M80" s="15">
        <f t="shared" si="602"/>
        <v>1116389270</v>
      </c>
      <c r="N80" s="15">
        <f t="shared" si="603"/>
        <v>1116389270</v>
      </c>
      <c r="O80" s="15">
        <f t="shared" si="604"/>
        <v>1116389270</v>
      </c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D80" s="646">
        <f t="shared" si="605"/>
        <v>1116389270</v>
      </c>
      <c r="AE80" s="15">
        <f t="shared" si="606"/>
        <v>1116389270</v>
      </c>
      <c r="AF80" s="15">
        <f t="shared" si="607"/>
        <v>1116389270</v>
      </c>
      <c r="AG80" s="15">
        <f t="shared" si="608"/>
        <v>1116389270</v>
      </c>
      <c r="AH80" s="15">
        <f t="shared" si="609"/>
        <v>1116389270</v>
      </c>
      <c r="AI80" s="15">
        <f t="shared" si="610"/>
        <v>1116389270</v>
      </c>
      <c r="AJ80" s="15">
        <f t="shared" si="611"/>
        <v>1116389270</v>
      </c>
      <c r="AK80" s="15">
        <f t="shared" si="612"/>
        <v>1116389270</v>
      </c>
      <c r="AL80" s="15">
        <f t="shared" si="613"/>
        <v>1116389270</v>
      </c>
      <c r="AM80" s="15">
        <f t="shared" si="614"/>
        <v>1116389270</v>
      </c>
      <c r="AN80" s="15">
        <f t="shared" si="615"/>
        <v>1116389270</v>
      </c>
      <c r="AO80" s="647">
        <f t="shared" si="616"/>
        <v>1116389270</v>
      </c>
      <c r="AQ80" s="15">
        <f>SUMIFS('BS-KH26-DTR'!D$2:D$116,'BS-KH26-DTR'!$B$2:$B$116,$A80)</f>
        <v>0</v>
      </c>
      <c r="AR80" s="15">
        <f>SUMIFS('BS-KH26-DTR'!E$2:E$116,'BS-KH26-DTR'!$B$2:$B$116,$A80)</f>
        <v>0</v>
      </c>
      <c r="AS80" s="15">
        <f>SUMIFS('BS-KH26-DTR'!F$2:F$116,'BS-KH26-DTR'!$B$2:$B$116,$A80)</f>
        <v>0</v>
      </c>
      <c r="AT80" s="15">
        <f>SUMIFS('BS-KH26-DTR'!G$2:G$116,'BS-KH26-DTR'!$B$2:$B$116,$A80)</f>
        <v>0</v>
      </c>
      <c r="AU80" s="15">
        <f>SUMIFS('BS-KH26-DTR'!H$2:H$116,'BS-KH26-DTR'!$B$2:$B$116,$A80)</f>
        <v>0</v>
      </c>
      <c r="AV80" s="15">
        <f>SUMIFS('BS-KH26-DTR'!I$2:I$116,'BS-KH26-DTR'!$B$2:$B$116,$A80)</f>
        <v>0</v>
      </c>
      <c r="AW80" s="15">
        <f>SUMIFS('BS-KH26-DTR'!J$2:J$116,'BS-KH26-DTR'!$B$2:$B$116,$A80)</f>
        <v>0</v>
      </c>
      <c r="AX80" s="15">
        <f>SUMIFS('BS-KH26-DTR'!K$2:K$116,'BS-KH26-DTR'!$B$2:$B$116,$A80)</f>
        <v>0</v>
      </c>
      <c r="AY80" s="15">
        <f>SUMIFS('BS-KH26-DTR'!L$2:L$116,'BS-KH26-DTR'!$B$2:$B$116,$A80)</f>
        <v>0</v>
      </c>
      <c r="AZ80" s="15">
        <f>SUMIFS('BS-KH26-DTR'!M$2:M$116,'BS-KH26-DTR'!$B$2:$B$116,$A80)</f>
        <v>0</v>
      </c>
      <c r="BA80" s="15">
        <f>SUMIFS('BS-KH26-DTR'!N$2:N$116,'BS-KH26-DTR'!$B$2:$B$116,$A80)</f>
        <v>0</v>
      </c>
      <c r="BB80" s="15">
        <f>SUMIFS('BS-KH26-DTR'!O$2:O$116,'BS-KH26-DTR'!$B$2:$B$116,$A80)</f>
        <v>0</v>
      </c>
      <c r="BD80" s="15">
        <f>SUMIFS('BS-KH26-DongLam'!M$2:M$51,'BS-KH26-DongLam'!$A$2:$A$51,'Consol BS-DTRG'!$A80)</f>
        <v>720131084</v>
      </c>
      <c r="BE80" s="15">
        <f>SUMIFS('BS-KH26-DongLam'!N$2:N$51,'BS-KH26-DongLam'!$A$2:$A$51,'Consol BS-DTRG'!$A80)</f>
        <v>720131084</v>
      </c>
      <c r="BF80" s="15">
        <f>SUMIFS('BS-KH26-DongLam'!O$2:O$51,'BS-KH26-DongLam'!$A$2:$A$51,'Consol BS-DTRG'!$A80)</f>
        <v>720131084</v>
      </c>
      <c r="BG80" s="15">
        <f>SUMIFS('BS-KH26-DongLam'!P$2:P$51,'BS-KH26-DongLam'!$A$2:$A$51,'Consol BS-DTRG'!$A80)</f>
        <v>720131084</v>
      </c>
      <c r="BH80" s="15">
        <f>SUMIFS('BS-KH26-DongLam'!Q$2:Q$51,'BS-KH26-DongLam'!$A$2:$A$51,'Consol BS-DTRG'!$A80)</f>
        <v>720131084</v>
      </c>
      <c r="BI80" s="15">
        <f>SUMIFS('BS-KH26-DongLam'!R$2:R$51,'BS-KH26-DongLam'!$A$2:$A$51,'Consol BS-DTRG'!$A80)</f>
        <v>720131084</v>
      </c>
      <c r="BJ80" s="15">
        <f>SUMIFS('BS-KH26-DongLam'!S$2:S$51,'BS-KH26-DongLam'!$A$2:$A$51,'Consol BS-DTRG'!$A80)</f>
        <v>720131084</v>
      </c>
      <c r="BK80" s="15">
        <f>SUMIFS('BS-KH26-DongLam'!T$2:T$51,'BS-KH26-DongLam'!$A$2:$A$51,'Consol BS-DTRG'!$A80)</f>
        <v>720131084</v>
      </c>
      <c r="BL80" s="15">
        <f>SUMIFS('BS-KH26-DongLam'!U$2:U$51,'BS-KH26-DongLam'!$A$2:$A$51,'Consol BS-DTRG'!$A80)</f>
        <v>720131084</v>
      </c>
      <c r="BM80" s="15">
        <f>SUMIFS('BS-KH26-DongLam'!V$2:V$51,'BS-KH26-DongLam'!$A$2:$A$51,'Consol BS-DTRG'!$A80)</f>
        <v>720131084</v>
      </c>
      <c r="BN80" s="15">
        <f>SUMIFS('BS-KH26-DongLam'!W$2:W$51,'BS-KH26-DongLam'!$A$2:$A$51,'Consol BS-DTRG'!$A80)</f>
        <v>720131084</v>
      </c>
      <c r="BO80" s="15">
        <f>SUMIFS('BS-KH26-DongLam'!X$2:X$51,'BS-KH26-DongLam'!$A$2:$A$51,'Consol BS-DTRG'!$A80)</f>
        <v>720131084</v>
      </c>
      <c r="BQ80" s="15">
        <f>SUMIFS('BS-KH26-KhanhNga'!M$2:M$51,'BS-KH26-KhanhNga'!$A$2:$A$51,'Consol BS-DTRG'!$A80)</f>
        <v>396258186</v>
      </c>
      <c r="BR80" s="15">
        <f>SUMIFS('BS-KH26-KhanhNga'!N$2:N$51,'BS-KH26-KhanhNga'!$A$2:$A$51,'Consol BS-DTRG'!$A80)</f>
        <v>396258186</v>
      </c>
      <c r="BS80" s="15">
        <f>SUMIFS('BS-KH26-KhanhNga'!O$2:O$51,'BS-KH26-KhanhNga'!$A$2:$A$51,'Consol BS-DTRG'!$A80)</f>
        <v>396258186</v>
      </c>
      <c r="BT80" s="15">
        <f>SUMIFS('BS-KH26-KhanhNga'!P$2:P$51,'BS-KH26-KhanhNga'!$A$2:$A$51,'Consol BS-DTRG'!$A80)</f>
        <v>396258186</v>
      </c>
      <c r="BU80" s="15">
        <f>SUMIFS('BS-KH26-KhanhNga'!Q$2:Q$51,'BS-KH26-KhanhNga'!$A$2:$A$51,'Consol BS-DTRG'!$A80)</f>
        <v>396258186</v>
      </c>
      <c r="BV80" s="15">
        <f>SUMIFS('BS-KH26-KhanhNga'!R$2:R$51,'BS-KH26-KhanhNga'!$A$2:$A$51,'Consol BS-DTRG'!$A80)</f>
        <v>396258186</v>
      </c>
      <c r="BW80" s="15">
        <f>SUMIFS('BS-KH26-KhanhNga'!S$2:S$51,'BS-KH26-KhanhNga'!$A$2:$A$51,'Consol BS-DTRG'!$A80)</f>
        <v>396258186</v>
      </c>
      <c r="BX80" s="15">
        <f>SUMIFS('BS-KH26-KhanhNga'!T$2:T$51,'BS-KH26-KhanhNga'!$A$2:$A$51,'Consol BS-DTRG'!$A80)</f>
        <v>396258186</v>
      </c>
      <c r="BY80" s="15">
        <f>SUMIFS('BS-KH26-KhanhNga'!U$2:U$51,'BS-KH26-KhanhNga'!$A$2:$A$51,'Consol BS-DTRG'!$A80)</f>
        <v>396258186</v>
      </c>
      <c r="BZ80" s="15">
        <f>SUMIFS('BS-KH26-KhanhNga'!V$2:V$51,'BS-KH26-KhanhNga'!$A$2:$A$51,'Consol BS-DTRG'!$A80)</f>
        <v>396258186</v>
      </c>
      <c r="CA80" s="15">
        <f>SUMIFS('BS-KH26-KhanhNga'!W$2:W$51,'BS-KH26-KhanhNga'!$A$2:$A$51,'Consol BS-DTRG'!$A80)</f>
        <v>396258186</v>
      </c>
      <c r="CB80" s="15">
        <f>SUMIFS('BS-KH26-KhanhNga'!X$2:X$51,'BS-KH26-KhanhNga'!$A$2:$A$51,'Consol BS-DTRG'!$A80)</f>
        <v>396258186</v>
      </c>
      <c r="CD80" s="15">
        <f>SUMIFS('BS-KH26-DaiLoc'!M$2:M$51,'BS-KH26-DaiLoc'!$A$2:$A$51,'Consol BS-DTRG'!$A80)</f>
        <v>0</v>
      </c>
      <c r="CE80" s="15">
        <f>SUMIFS('BS-KH26-DaiLoc'!N$2:N$51,'BS-KH26-DaiLoc'!$A$2:$A$51,'Consol BS-DTRG'!$A80)</f>
        <v>0</v>
      </c>
      <c r="CF80" s="15">
        <f>SUMIFS('BS-KH26-DaiLoc'!O$2:O$51,'BS-KH26-DaiLoc'!$A$2:$A$51,'Consol BS-DTRG'!$A80)</f>
        <v>0</v>
      </c>
      <c r="CG80" s="15">
        <f>SUMIFS('BS-KH26-DaiLoc'!P$2:P$51,'BS-KH26-DaiLoc'!$A$2:$A$51,'Consol BS-DTRG'!$A80)</f>
        <v>0</v>
      </c>
      <c r="CH80" s="15">
        <f>SUMIFS('BS-KH26-DaiLoc'!Q$2:Q$51,'BS-KH26-DaiLoc'!$A$2:$A$51,'Consol BS-DTRG'!$A80)</f>
        <v>0</v>
      </c>
      <c r="CI80" s="15">
        <f>SUMIFS('BS-KH26-DaiLoc'!R$2:R$51,'BS-KH26-DaiLoc'!$A$2:$A$51,'Consol BS-DTRG'!$A80)</f>
        <v>0</v>
      </c>
      <c r="CJ80" s="15">
        <f>SUMIFS('BS-KH26-DaiLoc'!S$2:S$51,'BS-KH26-DaiLoc'!$A$2:$A$51,'Consol BS-DTRG'!$A80)</f>
        <v>0</v>
      </c>
      <c r="CK80" s="15">
        <f>SUMIFS('BS-KH26-DaiLoc'!T$2:T$51,'BS-KH26-DaiLoc'!$A$2:$A$51,'Consol BS-DTRG'!$A80)</f>
        <v>0</v>
      </c>
      <c r="CL80" s="15">
        <f>SUMIFS('BS-KH26-DaiLoc'!U$2:U$51,'BS-KH26-DaiLoc'!$A$2:$A$51,'Consol BS-DTRG'!$A80)</f>
        <v>0</v>
      </c>
      <c r="CM80" s="15">
        <f>SUMIFS('BS-KH26-DaiLoc'!V$2:V$51,'BS-KH26-DaiLoc'!$A$2:$A$51,'Consol BS-DTRG'!$A80)</f>
        <v>0</v>
      </c>
      <c r="CN80" s="15">
        <f>SUMIFS('BS-KH26-DaiLoc'!W$2:W$51,'BS-KH26-DaiLoc'!$A$2:$A$51,'Consol BS-DTRG'!$A80)</f>
        <v>0</v>
      </c>
      <c r="CO80" s="15">
        <f>SUMIFS('BS-KH26-DaiLoc'!X$2:X$51,'BS-KH26-DaiLoc'!$A$2:$A$51,'Consol BS-DTRG'!$A80)</f>
        <v>0</v>
      </c>
      <c r="CQ80" s="15">
        <v>0</v>
      </c>
      <c r="CR80" s="15">
        <f t="shared" si="617"/>
        <v>0</v>
      </c>
      <c r="CS80" s="15">
        <f t="shared" si="617"/>
        <v>0</v>
      </c>
      <c r="CT80" s="15">
        <f t="shared" si="617"/>
        <v>0</v>
      </c>
      <c r="CU80" s="15">
        <f t="shared" si="617"/>
        <v>0</v>
      </c>
      <c r="CV80" s="15">
        <f t="shared" si="617"/>
        <v>0</v>
      </c>
      <c r="CW80" s="15">
        <f t="shared" si="617"/>
        <v>0</v>
      </c>
      <c r="CX80" s="15">
        <f t="shared" si="617"/>
        <v>0</v>
      </c>
      <c r="CY80" s="15">
        <f t="shared" si="617"/>
        <v>0</v>
      </c>
      <c r="CZ80" s="15">
        <f t="shared" si="617"/>
        <v>0</v>
      </c>
      <c r="DA80" s="15">
        <f t="shared" si="617"/>
        <v>0</v>
      </c>
      <c r="DB80" s="15">
        <f t="shared" si="617"/>
        <v>0</v>
      </c>
    </row>
    <row r="81" spans="1:106" collapsed="1">
      <c r="A81" s="635">
        <v>78</v>
      </c>
      <c r="B81" s="624" t="s">
        <v>236</v>
      </c>
      <c r="D81" s="640">
        <f t="shared" ref="D81:O81" ca="1" si="618">D4+D36</f>
        <v>1810816141397.0232</v>
      </c>
      <c r="E81" s="640">
        <f t="shared" ca="1" si="618"/>
        <v>1842447864634.5618</v>
      </c>
      <c r="F81" s="640">
        <f t="shared" ca="1" si="618"/>
        <v>1890868633879.2178</v>
      </c>
      <c r="G81" s="640">
        <f t="shared" ca="1" si="618"/>
        <v>1953742363135.3999</v>
      </c>
      <c r="H81" s="640">
        <f t="shared" ca="1" si="618"/>
        <v>1956704958853.917</v>
      </c>
      <c r="I81" s="640">
        <f t="shared" ca="1" si="618"/>
        <v>1981896714037.1035</v>
      </c>
      <c r="J81" s="640">
        <f t="shared" ca="1" si="618"/>
        <v>1967198638154.7427</v>
      </c>
      <c r="K81" s="640">
        <f t="shared" ca="1" si="618"/>
        <v>1966393282426.0898</v>
      </c>
      <c r="L81" s="640">
        <f t="shared" ca="1" si="618"/>
        <v>1964037519799.605</v>
      </c>
      <c r="M81" s="640">
        <f t="shared" ca="1" si="618"/>
        <v>1966798056851.2043</v>
      </c>
      <c r="N81" s="640">
        <f t="shared" ca="1" si="618"/>
        <v>1953300177767.2896</v>
      </c>
      <c r="O81" s="640">
        <f t="shared" ca="1" si="618"/>
        <v>1995648251694.6128</v>
      </c>
      <c r="Q81" s="640">
        <f t="shared" ref="Q81:AB81" ca="1" si="619">Q4+Q36</f>
        <v>-1081653552.8917923</v>
      </c>
      <c r="R81" s="640">
        <f t="shared" ca="1" si="619"/>
        <v>-206360630.64188004</v>
      </c>
      <c r="S81" s="640">
        <f t="shared" ca="1" si="619"/>
        <v>-1311188694.2388897</v>
      </c>
      <c r="T81" s="640">
        <f t="shared" ca="1" si="619"/>
        <v>-1689504436.190918</v>
      </c>
      <c r="U81" s="640">
        <f t="shared" ca="1" si="619"/>
        <v>-600462545.67515945</v>
      </c>
      <c r="V81" s="640">
        <f t="shared" ca="1" si="619"/>
        <v>-1386793199.9009171</v>
      </c>
      <c r="W81" s="640">
        <f t="shared" ca="1" si="619"/>
        <v>-318276916.1496563</v>
      </c>
      <c r="X81" s="640">
        <f t="shared" ca="1" si="619"/>
        <v>31216146.459789276</v>
      </c>
      <c r="Y81" s="640">
        <f t="shared" ca="1" si="619"/>
        <v>133418850.23434067</v>
      </c>
      <c r="Z81" s="640">
        <f t="shared" ca="1" si="619"/>
        <v>-337062225.32540703</v>
      </c>
      <c r="AA81" s="640">
        <f t="shared" ca="1" si="619"/>
        <v>-153560604.06283951</v>
      </c>
      <c r="AB81" s="640">
        <f t="shared" ca="1" si="619"/>
        <v>-227377208.07666779</v>
      </c>
      <c r="AD81" s="650">
        <f t="shared" ref="AD81" si="620">AD4+AD36</f>
        <v>1811897794949.915</v>
      </c>
      <c r="AE81" s="640">
        <f t="shared" ref="AE81:AO81" si="621">AE4+AE36</f>
        <v>1842654225265.2036</v>
      </c>
      <c r="AF81" s="640">
        <f t="shared" si="621"/>
        <v>1892179822573.4565</v>
      </c>
      <c r="AG81" s="640">
        <f t="shared" si="621"/>
        <v>1955431867571.5908</v>
      </c>
      <c r="AH81" s="640">
        <f t="shared" si="621"/>
        <v>1957305421399.592</v>
      </c>
      <c r="AI81" s="640">
        <f t="shared" si="621"/>
        <v>1983283507237.0044</v>
      </c>
      <c r="AJ81" s="640">
        <f t="shared" si="621"/>
        <v>1967516915070.8921</v>
      </c>
      <c r="AK81" s="640">
        <f t="shared" si="621"/>
        <v>1966362066279.6299</v>
      </c>
      <c r="AL81" s="640">
        <f t="shared" si="621"/>
        <v>1963904100949.3706</v>
      </c>
      <c r="AM81" s="640">
        <f t="shared" si="621"/>
        <v>1967135119076.5298</v>
      </c>
      <c r="AN81" s="640">
        <f t="shared" si="621"/>
        <v>1953453738371.3525</v>
      </c>
      <c r="AO81" s="651">
        <f t="shared" si="621"/>
        <v>1995875628902.6895</v>
      </c>
      <c r="AQ81" s="640">
        <f t="shared" ref="AQ81:BB81" si="622">AQ4+AQ36</f>
        <v>1692902345387.626</v>
      </c>
      <c r="AR81" s="640">
        <f t="shared" si="622"/>
        <v>1726732325359.6299</v>
      </c>
      <c r="AS81" s="640">
        <f t="shared" si="622"/>
        <v>1773762196188.2751</v>
      </c>
      <c r="AT81" s="640">
        <f t="shared" si="622"/>
        <v>1834884037276.8306</v>
      </c>
      <c r="AU81" s="640">
        <f t="shared" si="622"/>
        <v>1836468389137.5723</v>
      </c>
      <c r="AV81" s="640">
        <f t="shared" si="622"/>
        <v>1862475803298.3633</v>
      </c>
      <c r="AW81" s="640">
        <f t="shared" si="622"/>
        <v>1846519846994.686</v>
      </c>
      <c r="AX81" s="640">
        <f t="shared" si="622"/>
        <v>1845391146354.748</v>
      </c>
      <c r="AY81" s="640">
        <f t="shared" si="622"/>
        <v>1842944966164.4766</v>
      </c>
      <c r="AZ81" s="640">
        <f t="shared" si="622"/>
        <v>1844942220443.7805</v>
      </c>
      <c r="BA81" s="640">
        <f t="shared" si="622"/>
        <v>1830875045261.2856</v>
      </c>
      <c r="BB81" s="640">
        <f t="shared" si="622"/>
        <v>1872766834052.74</v>
      </c>
      <c r="BD81" s="640">
        <f t="shared" ref="BD81:BO81" si="623">BD4+BD36</f>
        <v>36241883812.102112</v>
      </c>
      <c r="BE81" s="640">
        <f t="shared" si="623"/>
        <v>35960868990.22258</v>
      </c>
      <c r="BF81" s="640">
        <f t="shared" si="623"/>
        <v>36682275397.233047</v>
      </c>
      <c r="BG81" s="640">
        <f t="shared" si="623"/>
        <v>37061488385.185089</v>
      </c>
      <c r="BH81" s="640">
        <f t="shared" si="623"/>
        <v>37223131578.50386</v>
      </c>
      <c r="BI81" s="640">
        <f t="shared" si="623"/>
        <v>37291616757.686806</v>
      </c>
      <c r="BJ81" s="640">
        <f t="shared" si="623"/>
        <v>37452876298.15963</v>
      </c>
      <c r="BK81" s="640">
        <f t="shared" si="623"/>
        <v>37463980056.368362</v>
      </c>
      <c r="BL81" s="640">
        <f t="shared" si="623"/>
        <v>37458491228.221222</v>
      </c>
      <c r="BM81" s="640">
        <f t="shared" si="623"/>
        <v>37660942797.787857</v>
      </c>
      <c r="BN81" s="640">
        <f t="shared" si="623"/>
        <v>37669650538.534325</v>
      </c>
      <c r="BO81" s="640">
        <f t="shared" si="623"/>
        <v>37839225528.069901</v>
      </c>
      <c r="BQ81" s="640">
        <f t="shared" ref="BQ81:CB81" si="624">BQ4+BQ36</f>
        <v>23825391743.980156</v>
      </c>
      <c r="BR81" s="640">
        <f t="shared" si="624"/>
        <v>23374369430.590412</v>
      </c>
      <c r="BS81" s="640">
        <f t="shared" si="624"/>
        <v>23662425613.538788</v>
      </c>
      <c r="BT81" s="640">
        <f t="shared" si="624"/>
        <v>23917198030.191933</v>
      </c>
      <c r="BU81" s="640">
        <f t="shared" si="624"/>
        <v>24169910863.007935</v>
      </c>
      <c r="BV81" s="640">
        <f t="shared" si="624"/>
        <v>24388315905.36171</v>
      </c>
      <c r="BW81" s="640">
        <f t="shared" si="624"/>
        <v>24591728246.088821</v>
      </c>
      <c r="BX81" s="640">
        <f t="shared" si="624"/>
        <v>24779551447.613716</v>
      </c>
      <c r="BY81" s="640">
        <f t="shared" si="624"/>
        <v>24976672462.657494</v>
      </c>
      <c r="BZ81" s="640">
        <f t="shared" si="624"/>
        <v>25232189093.982384</v>
      </c>
      <c r="CA81" s="640">
        <f t="shared" si="624"/>
        <v>25473780518.671722</v>
      </c>
      <c r="CB81" s="640">
        <f t="shared" si="624"/>
        <v>25708587358.86105</v>
      </c>
      <c r="CD81" s="640">
        <f t="shared" ref="CD81:CO81" si="625">CD4+CD36</f>
        <v>37185592135.095772</v>
      </c>
      <c r="CE81" s="640">
        <f t="shared" si="625"/>
        <v>34848658802.538597</v>
      </c>
      <c r="CF81" s="640">
        <f t="shared" si="625"/>
        <v>36339501881.076294</v>
      </c>
      <c r="CG81" s="640">
        <f t="shared" si="625"/>
        <v>37840699574.938683</v>
      </c>
      <c r="CH81" s="640">
        <f t="shared" si="625"/>
        <v>37720124704.952667</v>
      </c>
      <c r="CI81" s="640">
        <f t="shared" si="625"/>
        <v>37408485348.925888</v>
      </c>
      <c r="CJ81" s="640">
        <f t="shared" si="625"/>
        <v>37237756794.179955</v>
      </c>
      <c r="CK81" s="640">
        <f t="shared" si="625"/>
        <v>37017660872.010941</v>
      </c>
      <c r="CL81" s="640">
        <f t="shared" si="625"/>
        <v>36818822734.015427</v>
      </c>
      <c r="CM81" s="640">
        <f t="shared" si="625"/>
        <v>37599197569.867722</v>
      </c>
      <c r="CN81" s="640">
        <f t="shared" si="625"/>
        <v>37739672070.638901</v>
      </c>
      <c r="CO81" s="640">
        <f t="shared" si="625"/>
        <v>37869971169.685295</v>
      </c>
      <c r="CQ81" s="640">
        <f t="shared" ref="CQ81:DB81" si="626">CQ4+CQ36</f>
        <v>21742581871.111111</v>
      </c>
      <c r="CR81" s="640">
        <f t="shared" si="626"/>
        <v>21738002682.222221</v>
      </c>
      <c r="CS81" s="640">
        <f t="shared" si="626"/>
        <v>21733423493.333332</v>
      </c>
      <c r="CT81" s="640">
        <f t="shared" si="626"/>
        <v>21728444304.444443</v>
      </c>
      <c r="CU81" s="640">
        <f t="shared" si="626"/>
        <v>21723865115.555557</v>
      </c>
      <c r="CV81" s="640">
        <f t="shared" si="626"/>
        <v>21719285926.666668</v>
      </c>
      <c r="CW81" s="640">
        <f t="shared" si="626"/>
        <v>21714706737.777779</v>
      </c>
      <c r="CX81" s="640">
        <f t="shared" si="626"/>
        <v>21709727548.888889</v>
      </c>
      <c r="CY81" s="640">
        <f t="shared" si="626"/>
        <v>21705148360</v>
      </c>
      <c r="CZ81" s="640">
        <f t="shared" si="626"/>
        <v>21700569171.111111</v>
      </c>
      <c r="DA81" s="640">
        <f t="shared" si="626"/>
        <v>21695589982.222221</v>
      </c>
      <c r="DB81" s="640">
        <f t="shared" si="626"/>
        <v>21691010793.333332</v>
      </c>
    </row>
    <row r="82" spans="1:106">
      <c r="A82" s="634">
        <v>79</v>
      </c>
      <c r="B82" s="610" t="s">
        <v>331</v>
      </c>
      <c r="D82" s="639">
        <f t="shared" ref="D82:O82" si="627">D83+D99</f>
        <v>884848221464.91748</v>
      </c>
      <c r="E82" s="639">
        <f t="shared" si="627"/>
        <v>918275074677.13672</v>
      </c>
      <c r="F82" s="639">
        <f t="shared" si="627"/>
        <v>962884531135.66003</v>
      </c>
      <c r="G82" s="639">
        <f t="shared" si="627"/>
        <v>1022914374155.9265</v>
      </c>
      <c r="H82" s="639">
        <f t="shared" si="627"/>
        <v>1021424963216.6635</v>
      </c>
      <c r="I82" s="639">
        <f t="shared" si="627"/>
        <v>1044629479683.7693</v>
      </c>
      <c r="J82" s="639">
        <f t="shared" si="627"/>
        <v>1021379012069.0905</v>
      </c>
      <c r="K82" s="639">
        <f t="shared" si="627"/>
        <v>1013531191901.108</v>
      </c>
      <c r="L82" s="639">
        <f t="shared" si="627"/>
        <v>1004934997647.1996</v>
      </c>
      <c r="M82" s="639">
        <f t="shared" si="627"/>
        <v>1000906331224.4194</v>
      </c>
      <c r="N82" s="639">
        <f t="shared" si="627"/>
        <v>979705709513.12671</v>
      </c>
      <c r="O82" s="639">
        <f t="shared" si="627"/>
        <v>1016337352966.8796</v>
      </c>
      <c r="Q82" s="639">
        <f t="shared" ref="Q82:AB82" si="628">Q83+Q99</f>
        <v>0</v>
      </c>
      <c r="R82" s="639">
        <f t="shared" si="628"/>
        <v>0</v>
      </c>
      <c r="S82" s="639">
        <f t="shared" si="628"/>
        <v>0</v>
      </c>
      <c r="T82" s="639">
        <f t="shared" si="628"/>
        <v>0</v>
      </c>
      <c r="U82" s="639">
        <f t="shared" si="628"/>
        <v>0</v>
      </c>
      <c r="V82" s="639">
        <f t="shared" si="628"/>
        <v>0</v>
      </c>
      <c r="W82" s="639">
        <f t="shared" si="628"/>
        <v>0</v>
      </c>
      <c r="X82" s="639">
        <f t="shared" si="628"/>
        <v>0</v>
      </c>
      <c r="Y82" s="639">
        <f t="shared" si="628"/>
        <v>0</v>
      </c>
      <c r="Z82" s="639">
        <f t="shared" si="628"/>
        <v>0</v>
      </c>
      <c r="AA82" s="639">
        <f t="shared" si="628"/>
        <v>0</v>
      </c>
      <c r="AB82" s="639">
        <f t="shared" si="628"/>
        <v>0</v>
      </c>
      <c r="AD82" s="642">
        <f t="shared" ref="AD82" si="629">AD83+AD99</f>
        <v>884848221464.91748</v>
      </c>
      <c r="AE82" s="639">
        <f t="shared" ref="AE82:AO82" si="630">AE83+AE99</f>
        <v>918275074677.13672</v>
      </c>
      <c r="AF82" s="639">
        <f t="shared" si="630"/>
        <v>962884531135.66003</v>
      </c>
      <c r="AG82" s="639">
        <f t="shared" si="630"/>
        <v>1022914374155.9265</v>
      </c>
      <c r="AH82" s="639">
        <f t="shared" si="630"/>
        <v>1021424963216.6635</v>
      </c>
      <c r="AI82" s="639">
        <f t="shared" si="630"/>
        <v>1044629479683.7693</v>
      </c>
      <c r="AJ82" s="639">
        <f t="shared" si="630"/>
        <v>1021379012069.0905</v>
      </c>
      <c r="AK82" s="639">
        <f t="shared" si="630"/>
        <v>1013531191901.108</v>
      </c>
      <c r="AL82" s="639">
        <f t="shared" si="630"/>
        <v>1004934997647.1996</v>
      </c>
      <c r="AM82" s="639">
        <f t="shared" si="630"/>
        <v>1000906331224.4194</v>
      </c>
      <c r="AN82" s="639">
        <f t="shared" si="630"/>
        <v>979705709513.12671</v>
      </c>
      <c r="AO82" s="643">
        <f t="shared" si="630"/>
        <v>1016337352966.8796</v>
      </c>
      <c r="AQ82" s="639">
        <f t="shared" ref="AQ82:BB82" si="631">AQ83+AQ99</f>
        <v>809327668763.86096</v>
      </c>
      <c r="AR82" s="639">
        <f t="shared" si="631"/>
        <v>844482752378.51453</v>
      </c>
      <c r="AS82" s="639">
        <f t="shared" si="631"/>
        <v>886449043395.12268</v>
      </c>
      <c r="AT82" s="639">
        <f t="shared" si="631"/>
        <v>944583096747.62231</v>
      </c>
      <c r="AU82" s="639">
        <f t="shared" si="631"/>
        <v>943037156724.57935</v>
      </c>
      <c r="AV82" s="639">
        <f t="shared" si="631"/>
        <v>966212798244.78577</v>
      </c>
      <c r="AW82" s="639">
        <f t="shared" si="631"/>
        <v>942906539537.92456</v>
      </c>
      <c r="AX82" s="639">
        <f t="shared" si="631"/>
        <v>935055830877.97253</v>
      </c>
      <c r="AY82" s="639">
        <f t="shared" si="631"/>
        <v>926500402402.52673</v>
      </c>
      <c r="AZ82" s="639">
        <f t="shared" si="631"/>
        <v>921831993902.08057</v>
      </c>
      <c r="BA82" s="639">
        <f t="shared" si="631"/>
        <v>900642140789.76953</v>
      </c>
      <c r="BB82" s="639">
        <f t="shared" si="631"/>
        <v>937242480573.74866</v>
      </c>
      <c r="BD82" s="639">
        <f t="shared" ref="BD82:BO82" si="632">BD83+BD99</f>
        <v>583010498.11770654</v>
      </c>
      <c r="BE82" s="639">
        <f t="shared" si="632"/>
        <v>359729391.10798687</v>
      </c>
      <c r="BF82" s="639">
        <f t="shared" si="632"/>
        <v>792305123.97368252</v>
      </c>
      <c r="BG82" s="639">
        <f t="shared" si="632"/>
        <v>1019073290.2017336</v>
      </c>
      <c r="BH82" s="639">
        <f t="shared" si="632"/>
        <v>1065817590.9449639</v>
      </c>
      <c r="BI82" s="639">
        <f t="shared" si="632"/>
        <v>1068149162.0338529</v>
      </c>
      <c r="BJ82" s="639">
        <f t="shared" si="632"/>
        <v>1106978473.93537</v>
      </c>
      <c r="BK82" s="639">
        <f t="shared" si="632"/>
        <v>1104347509.5326962</v>
      </c>
      <c r="BL82" s="639">
        <f t="shared" si="632"/>
        <v>1070803311.3725926</v>
      </c>
      <c r="BM82" s="639">
        <f t="shared" si="632"/>
        <v>1105766048.9044735</v>
      </c>
      <c r="BN82" s="639">
        <f t="shared" si="632"/>
        <v>1070357700.2822074</v>
      </c>
      <c r="BO82" s="639">
        <f t="shared" si="632"/>
        <v>1106294220.9131479</v>
      </c>
      <c r="BQ82" s="639">
        <f t="shared" ref="BQ82:CB82" si="633">BQ83+BQ99</f>
        <v>8960227426.7937679</v>
      </c>
      <c r="BR82" s="639">
        <f t="shared" si="633"/>
        <v>8858208891.3490124</v>
      </c>
      <c r="BS82" s="639">
        <f t="shared" si="633"/>
        <v>8992279657.070919</v>
      </c>
      <c r="BT82" s="639">
        <f t="shared" si="633"/>
        <v>9029421757.2547245</v>
      </c>
      <c r="BU82" s="639">
        <f t="shared" si="633"/>
        <v>9026654352.8013935</v>
      </c>
      <c r="BV82" s="639">
        <f t="shared" si="633"/>
        <v>9029609640.1525021</v>
      </c>
      <c r="BW82" s="639">
        <f t="shared" si="633"/>
        <v>9030479461.7436085</v>
      </c>
      <c r="BX82" s="639">
        <f t="shared" si="633"/>
        <v>9031648304.7158394</v>
      </c>
      <c r="BY82" s="639">
        <f t="shared" si="633"/>
        <v>9030874623.3236122</v>
      </c>
      <c r="BZ82" s="639">
        <f t="shared" si="633"/>
        <v>9026957795.5458317</v>
      </c>
      <c r="CA82" s="639">
        <f t="shared" si="633"/>
        <v>9028096380.4325008</v>
      </c>
      <c r="CB82" s="639">
        <f t="shared" si="633"/>
        <v>9027996160.6191616</v>
      </c>
      <c r="CD82" s="639">
        <f t="shared" ref="CD82:CO82" si="634">CD83+CD99</f>
        <v>55077314776.145096</v>
      </c>
      <c r="CE82" s="639">
        <f t="shared" si="634"/>
        <v>53674384016.165222</v>
      </c>
      <c r="CF82" s="639">
        <f t="shared" si="634"/>
        <v>55750902959.492737</v>
      </c>
      <c r="CG82" s="639">
        <f t="shared" si="634"/>
        <v>57382782360.847748</v>
      </c>
      <c r="CH82" s="639">
        <f t="shared" si="634"/>
        <v>57395334548.337845</v>
      </c>
      <c r="CI82" s="639">
        <f t="shared" si="634"/>
        <v>57418922636.797173</v>
      </c>
      <c r="CJ82" s="639">
        <f t="shared" si="634"/>
        <v>57435014595.486916</v>
      </c>
      <c r="CK82" s="639">
        <f t="shared" si="634"/>
        <v>57439365208.886917</v>
      </c>
      <c r="CL82" s="639">
        <f t="shared" si="634"/>
        <v>57432917309.976654</v>
      </c>
      <c r="CM82" s="639">
        <f t="shared" si="634"/>
        <v>58041613477.888535</v>
      </c>
      <c r="CN82" s="639">
        <f t="shared" si="634"/>
        <v>58065114642.64238</v>
      </c>
      <c r="CO82" s="639">
        <f t="shared" si="634"/>
        <v>58060582011.598785</v>
      </c>
      <c r="CQ82" s="639">
        <f t="shared" ref="CQ82:DB82" si="635">CQ83+CQ99</f>
        <v>10900000000</v>
      </c>
      <c r="CR82" s="639">
        <f t="shared" si="635"/>
        <v>10900000000</v>
      </c>
      <c r="CS82" s="639">
        <f t="shared" si="635"/>
        <v>10900000000</v>
      </c>
      <c r="CT82" s="639">
        <f t="shared" si="635"/>
        <v>10900000000</v>
      </c>
      <c r="CU82" s="639">
        <f t="shared" si="635"/>
        <v>10900000000</v>
      </c>
      <c r="CV82" s="639">
        <f t="shared" si="635"/>
        <v>10900000000</v>
      </c>
      <c r="CW82" s="639">
        <f t="shared" si="635"/>
        <v>10900000000</v>
      </c>
      <c r="CX82" s="639">
        <f t="shared" si="635"/>
        <v>10900000000</v>
      </c>
      <c r="CY82" s="639">
        <f t="shared" si="635"/>
        <v>10900000000</v>
      </c>
      <c r="CZ82" s="639">
        <f t="shared" si="635"/>
        <v>10900000000</v>
      </c>
      <c r="DA82" s="639">
        <f t="shared" si="635"/>
        <v>10900000000</v>
      </c>
      <c r="DB82" s="639">
        <f t="shared" si="635"/>
        <v>10900000000</v>
      </c>
    </row>
    <row r="83" spans="1:106">
      <c r="A83" s="1">
        <v>80</v>
      </c>
      <c r="B83" s="611" t="s">
        <v>332</v>
      </c>
      <c r="D83" s="14">
        <f t="shared" ref="D83:O83" si="636">SUM(D84:D98)</f>
        <v>404048338678.21393</v>
      </c>
      <c r="E83" s="14">
        <f t="shared" si="636"/>
        <v>441063668571.43311</v>
      </c>
      <c r="F83" s="14">
        <f t="shared" si="636"/>
        <v>506655307710.95642</v>
      </c>
      <c r="G83" s="14">
        <f t="shared" si="636"/>
        <v>500144748804.22284</v>
      </c>
      <c r="H83" s="14">
        <f t="shared" si="636"/>
        <v>502243814545.95984</v>
      </c>
      <c r="I83" s="14">
        <f t="shared" si="636"/>
        <v>546430513694.06561</v>
      </c>
      <c r="J83" s="14">
        <f t="shared" si="636"/>
        <v>524697644152.38678</v>
      </c>
      <c r="K83" s="14">
        <f t="shared" si="636"/>
        <v>520438300665.4043</v>
      </c>
      <c r="L83" s="14">
        <f t="shared" si="636"/>
        <v>532824289092.49585</v>
      </c>
      <c r="M83" s="14">
        <f t="shared" si="636"/>
        <v>530313220742.71558</v>
      </c>
      <c r="N83" s="14">
        <f t="shared" si="636"/>
        <v>512701075712.42285</v>
      </c>
      <c r="O83" s="14">
        <f t="shared" si="636"/>
        <v>570314901847.1759</v>
      </c>
      <c r="Q83" s="14">
        <f t="shared" ref="Q83:AB83" si="637">SUM(Q84:Q98)</f>
        <v>0</v>
      </c>
      <c r="R83" s="14">
        <f t="shared" si="637"/>
        <v>0</v>
      </c>
      <c r="S83" s="14">
        <f t="shared" si="637"/>
        <v>0</v>
      </c>
      <c r="T83" s="14">
        <f t="shared" si="637"/>
        <v>0</v>
      </c>
      <c r="U83" s="14">
        <f t="shared" si="637"/>
        <v>0</v>
      </c>
      <c r="V83" s="14">
        <f t="shared" si="637"/>
        <v>0</v>
      </c>
      <c r="W83" s="14">
        <f t="shared" si="637"/>
        <v>0</v>
      </c>
      <c r="X83" s="14">
        <f t="shared" si="637"/>
        <v>0</v>
      </c>
      <c r="Y83" s="14">
        <f t="shared" si="637"/>
        <v>0</v>
      </c>
      <c r="Z83" s="14">
        <f t="shared" si="637"/>
        <v>0</v>
      </c>
      <c r="AA83" s="14">
        <f t="shared" si="637"/>
        <v>0</v>
      </c>
      <c r="AB83" s="14">
        <f t="shared" si="637"/>
        <v>0</v>
      </c>
      <c r="AD83" s="644">
        <f t="shared" ref="AD83" si="638">SUM(AD84:AD98)</f>
        <v>404048338678.21393</v>
      </c>
      <c r="AE83" s="14">
        <f t="shared" ref="AE83:AO83" si="639">SUM(AE84:AE98)</f>
        <v>441063668571.43311</v>
      </c>
      <c r="AF83" s="14">
        <f t="shared" si="639"/>
        <v>506655307710.95642</v>
      </c>
      <c r="AG83" s="14">
        <f t="shared" si="639"/>
        <v>500144748804.22284</v>
      </c>
      <c r="AH83" s="14">
        <f t="shared" si="639"/>
        <v>502243814545.95984</v>
      </c>
      <c r="AI83" s="14">
        <f t="shared" si="639"/>
        <v>546430513694.06561</v>
      </c>
      <c r="AJ83" s="14">
        <f t="shared" si="639"/>
        <v>524697644152.38678</v>
      </c>
      <c r="AK83" s="14">
        <f t="shared" si="639"/>
        <v>520438300665.4043</v>
      </c>
      <c r="AL83" s="14">
        <f t="shared" si="639"/>
        <v>532824289092.49585</v>
      </c>
      <c r="AM83" s="14">
        <f t="shared" si="639"/>
        <v>530313220742.71558</v>
      </c>
      <c r="AN83" s="14">
        <f t="shared" si="639"/>
        <v>512701075712.42285</v>
      </c>
      <c r="AO83" s="645">
        <f t="shared" si="639"/>
        <v>570314901847.1759</v>
      </c>
      <c r="AQ83" s="14">
        <f t="shared" ref="AQ83:BB83" si="640">SUM(AQ84:AQ98)</f>
        <v>361297785977.15735</v>
      </c>
      <c r="AR83" s="14">
        <f t="shared" si="640"/>
        <v>400041346272.81091</v>
      </c>
      <c r="AS83" s="14">
        <f t="shared" si="640"/>
        <v>462989819970.41907</v>
      </c>
      <c r="AT83" s="14">
        <f t="shared" si="640"/>
        <v>454583471395.91864</v>
      </c>
      <c r="AU83" s="14">
        <f t="shared" si="640"/>
        <v>456626008053.87567</v>
      </c>
      <c r="AV83" s="14">
        <f t="shared" si="640"/>
        <v>500783832255.08209</v>
      </c>
      <c r="AW83" s="14">
        <f t="shared" si="640"/>
        <v>478995171621.22089</v>
      </c>
      <c r="AX83" s="14">
        <f t="shared" si="640"/>
        <v>474732939642.2688</v>
      </c>
      <c r="AY83" s="14">
        <f t="shared" si="640"/>
        <v>487159693847.823</v>
      </c>
      <c r="AZ83" s="14">
        <f t="shared" si="640"/>
        <v>484008883420.37671</v>
      </c>
      <c r="BA83" s="14">
        <f t="shared" si="640"/>
        <v>466407506989.0658</v>
      </c>
      <c r="BB83" s="14">
        <f t="shared" si="640"/>
        <v>523990029454.04486</v>
      </c>
      <c r="BD83" s="14">
        <f t="shared" ref="BD83:BO83" si="641">SUM(BD84:BD98)</f>
        <v>583010498.11770654</v>
      </c>
      <c r="BE83" s="14">
        <f t="shared" si="641"/>
        <v>359729391.10798687</v>
      </c>
      <c r="BF83" s="14">
        <f t="shared" si="641"/>
        <v>792305123.97368252</v>
      </c>
      <c r="BG83" s="14">
        <f t="shared" si="641"/>
        <v>1019073290.2017336</v>
      </c>
      <c r="BH83" s="14">
        <f t="shared" si="641"/>
        <v>1065817590.9449639</v>
      </c>
      <c r="BI83" s="14">
        <f t="shared" si="641"/>
        <v>1068149162.0338529</v>
      </c>
      <c r="BJ83" s="14">
        <f t="shared" si="641"/>
        <v>1106978473.93537</v>
      </c>
      <c r="BK83" s="14">
        <f t="shared" si="641"/>
        <v>1104347509.5326962</v>
      </c>
      <c r="BL83" s="14">
        <f t="shared" si="641"/>
        <v>1070803311.3725926</v>
      </c>
      <c r="BM83" s="14">
        <f t="shared" si="641"/>
        <v>1105766048.9044735</v>
      </c>
      <c r="BN83" s="14">
        <f t="shared" si="641"/>
        <v>1070357700.2822074</v>
      </c>
      <c r="BO83" s="14">
        <f t="shared" si="641"/>
        <v>1106294220.9131479</v>
      </c>
      <c r="BQ83" s="14">
        <f t="shared" ref="BQ83:CB83" si="642">SUM(BQ84:BQ98)</f>
        <v>8960227426.7937679</v>
      </c>
      <c r="BR83" s="14">
        <f t="shared" si="642"/>
        <v>8858208891.3490124</v>
      </c>
      <c r="BS83" s="14">
        <f t="shared" si="642"/>
        <v>8992279657.070919</v>
      </c>
      <c r="BT83" s="14">
        <f t="shared" si="642"/>
        <v>9029421757.2547245</v>
      </c>
      <c r="BU83" s="14">
        <f t="shared" si="642"/>
        <v>9026654352.8013935</v>
      </c>
      <c r="BV83" s="14">
        <f t="shared" si="642"/>
        <v>9029609640.1525021</v>
      </c>
      <c r="BW83" s="14">
        <f t="shared" si="642"/>
        <v>9030479461.7436085</v>
      </c>
      <c r="BX83" s="14">
        <f t="shared" si="642"/>
        <v>9031648304.7158394</v>
      </c>
      <c r="BY83" s="14">
        <f t="shared" si="642"/>
        <v>9030874623.3236122</v>
      </c>
      <c r="BZ83" s="14">
        <f t="shared" si="642"/>
        <v>9026957795.5458317</v>
      </c>
      <c r="CA83" s="14">
        <f t="shared" si="642"/>
        <v>9028096380.4325008</v>
      </c>
      <c r="CB83" s="14">
        <f t="shared" si="642"/>
        <v>9027996160.6191616</v>
      </c>
      <c r="CD83" s="14">
        <f t="shared" ref="CD83:CO83" si="643">SUM(CD84:CD98)</f>
        <v>22307314776.1451</v>
      </c>
      <c r="CE83" s="14">
        <f t="shared" si="643"/>
        <v>20904384016.165218</v>
      </c>
      <c r="CF83" s="14">
        <f t="shared" si="643"/>
        <v>22980902959.492733</v>
      </c>
      <c r="CG83" s="14">
        <f t="shared" si="643"/>
        <v>24612782360.847748</v>
      </c>
      <c r="CH83" s="14">
        <f t="shared" si="643"/>
        <v>24625334548.337845</v>
      </c>
      <c r="CI83" s="14">
        <f t="shared" si="643"/>
        <v>24648922636.797173</v>
      </c>
      <c r="CJ83" s="14">
        <f t="shared" si="643"/>
        <v>24665014595.486916</v>
      </c>
      <c r="CK83" s="14">
        <f t="shared" si="643"/>
        <v>24669365208.886917</v>
      </c>
      <c r="CL83" s="14">
        <f t="shared" si="643"/>
        <v>24662917309.976658</v>
      </c>
      <c r="CM83" s="14">
        <f t="shared" si="643"/>
        <v>25271613477.888531</v>
      </c>
      <c r="CN83" s="14">
        <f t="shared" si="643"/>
        <v>25295114642.64238</v>
      </c>
      <c r="CO83" s="14">
        <f t="shared" si="643"/>
        <v>25290582011.598785</v>
      </c>
      <c r="CQ83" s="14">
        <f t="shared" ref="CQ83:DB83" si="644">SUM(CQ84:CQ98)</f>
        <v>10900000000</v>
      </c>
      <c r="CR83" s="14">
        <f t="shared" si="644"/>
        <v>10900000000</v>
      </c>
      <c r="CS83" s="14">
        <f t="shared" si="644"/>
        <v>10900000000</v>
      </c>
      <c r="CT83" s="14">
        <f t="shared" si="644"/>
        <v>10900000000</v>
      </c>
      <c r="CU83" s="14">
        <f t="shared" si="644"/>
        <v>10900000000</v>
      </c>
      <c r="CV83" s="14">
        <f t="shared" si="644"/>
        <v>10900000000</v>
      </c>
      <c r="CW83" s="14">
        <f t="shared" si="644"/>
        <v>10900000000</v>
      </c>
      <c r="CX83" s="14">
        <f t="shared" si="644"/>
        <v>10900000000</v>
      </c>
      <c r="CY83" s="14">
        <f t="shared" si="644"/>
        <v>10900000000</v>
      </c>
      <c r="CZ83" s="14">
        <f t="shared" si="644"/>
        <v>10900000000</v>
      </c>
      <c r="DA83" s="14">
        <f t="shared" si="644"/>
        <v>10900000000</v>
      </c>
      <c r="DB83" s="14">
        <f t="shared" si="644"/>
        <v>10900000000</v>
      </c>
    </row>
    <row r="84" spans="1:106" hidden="1" outlineLevel="1">
      <c r="A84" s="633">
        <v>81</v>
      </c>
      <c r="B84" s="625" t="s">
        <v>333</v>
      </c>
      <c r="C84" t="s">
        <v>518</v>
      </c>
      <c r="D84" s="15">
        <f t="shared" ref="D84:D98" si="645">AD84+Q84</f>
        <v>56163339905.638245</v>
      </c>
      <c r="E84" s="15">
        <f t="shared" ref="E84:E98" si="646">AE84+R84</f>
        <v>55630212867.85743</v>
      </c>
      <c r="F84" s="15">
        <f t="shared" ref="F84:F98" si="647">AF84+S84</f>
        <v>60212500116.380699</v>
      </c>
      <c r="G84" s="15">
        <f t="shared" ref="G84:G98" si="648">AG84+T84</f>
        <v>59518699185.647133</v>
      </c>
      <c r="H84" s="15">
        <f t="shared" ref="H84:H98" si="649">AH84+U84</f>
        <v>61795022440.38414</v>
      </c>
      <c r="I84" s="15">
        <f t="shared" ref="I84:I98" si="650">AI84+V84</f>
        <v>62581721588.489922</v>
      </c>
      <c r="J84" s="15">
        <f t="shared" ref="J84:J98" si="651">AJ84+W84</f>
        <v>61948852046.811066</v>
      </c>
      <c r="K84" s="15">
        <f t="shared" ref="K84:K98" si="652">AK84+X84</f>
        <v>60689508559.82856</v>
      </c>
      <c r="L84" s="15">
        <f t="shared" ref="L84:L98" si="653">AL84+Y84</f>
        <v>63075496986.920135</v>
      </c>
      <c r="M84" s="15">
        <f t="shared" ref="M84:M98" si="654">AM84+Z84</f>
        <v>60564428637.139847</v>
      </c>
      <c r="N84" s="15">
        <f t="shared" ref="N84:N98" si="655">AN84+AA84</f>
        <v>62952283606.847137</v>
      </c>
      <c r="O84" s="15">
        <f t="shared" ref="O84:O98" si="656">AO84+AB84</f>
        <v>63583554131.132172</v>
      </c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D84" s="646">
        <f t="shared" ref="AD84:AD98" si="657">AQ84+BD84+BQ84+CD84+CQ84</f>
        <v>56163339905.638245</v>
      </c>
      <c r="AE84" s="15">
        <f t="shared" ref="AE84:AE98" si="658">AR84+BE84+BR84+CE84+CR84</f>
        <v>55630212867.85743</v>
      </c>
      <c r="AF84" s="15">
        <f t="shared" ref="AF84:AF98" si="659">AS84+BF84+BS84+CF84+CS84</f>
        <v>60212500116.380699</v>
      </c>
      <c r="AG84" s="15">
        <f t="shared" ref="AG84:AG98" si="660">AT84+BG84+BT84+CG84+CT84</f>
        <v>59518699185.647133</v>
      </c>
      <c r="AH84" s="15">
        <f t="shared" ref="AH84:AH98" si="661">AU84+BH84+BU84+CH84+CU84</f>
        <v>61795022440.38414</v>
      </c>
      <c r="AI84" s="15">
        <f t="shared" ref="AI84:AI98" si="662">AV84+BI84+BV84+CI84+CV84</f>
        <v>62581721588.489922</v>
      </c>
      <c r="AJ84" s="15">
        <f t="shared" ref="AJ84:AJ98" si="663">AW84+BJ84+BW84+CJ84+CW84</f>
        <v>61948852046.811066</v>
      </c>
      <c r="AK84" s="15">
        <f t="shared" ref="AK84:AK98" si="664">AX84+BK84+BX84+CK84+CX84</f>
        <v>60689508559.82856</v>
      </c>
      <c r="AL84" s="15">
        <f t="shared" ref="AL84:AL98" si="665">AY84+BL84+BY84+CL84+CY84</f>
        <v>63075496986.920135</v>
      </c>
      <c r="AM84" s="15">
        <f t="shared" ref="AM84:AM98" si="666">AZ84+BM84+BZ84+CM84+CZ84</f>
        <v>60564428637.139847</v>
      </c>
      <c r="AN84" s="15">
        <f t="shared" ref="AN84:AN98" si="667">BA84+BN84+CA84+CN84+DA84</f>
        <v>62952283606.847137</v>
      </c>
      <c r="AO84" s="647">
        <f t="shared" ref="AO84:AO98" si="668">BB84+BO84+CB84+CO84+DB84</f>
        <v>63583554131.132172</v>
      </c>
      <c r="AQ84" s="15">
        <f>SUMIFS('BS-KH26-DTR'!D$2:D$116,'BS-KH26-DTR'!$B$2:$B$116,$A84)</f>
        <v>38160801538.157364</v>
      </c>
      <c r="AR84" s="15">
        <f>SUMIFS('BS-KH26-DTR'!E$2:E$116,'BS-KH26-DTR'!$B$2:$B$116,$A84)</f>
        <v>39355904902.810913</v>
      </c>
      <c r="AS84" s="15">
        <f>SUMIFS('BS-KH26-DTR'!F$2:F$116,'BS-KH26-DTR'!$B$2:$B$116,$A84)</f>
        <v>41295026709.419067</v>
      </c>
      <c r="AT84" s="15">
        <f>SUMIFS('BS-KH26-DTR'!G$2:G$116,'BS-KH26-DTR'!$B$2:$B$116,$A84)</f>
        <v>38705436110.918625</v>
      </c>
      <c r="AU84" s="15">
        <f>SUMIFS('BS-KH26-DTR'!H$2:H$116,'BS-KH26-DTR'!$B$2:$B$116,$A84)</f>
        <v>40925230281.875648</v>
      </c>
      <c r="AV84" s="15">
        <f>SUMIFS('BS-KH26-DTR'!I$2:I$116,'BS-KH26-DTR'!$B$2:$B$116,$A84)</f>
        <v>41683054483.0821</v>
      </c>
      <c r="AW84" s="15">
        <f>SUMIFS('BS-KH26-DTR'!J$2:J$116,'BS-KH26-DTR'!$B$2:$B$116,$A84)</f>
        <v>40994393849.220871</v>
      </c>
      <c r="AX84" s="15">
        <f>SUMIFS('BS-KH26-DTR'!K$2:K$116,'BS-KH26-DTR'!$B$2:$B$116,$A84)</f>
        <v>39732161870.268814</v>
      </c>
      <c r="AY84" s="15">
        <f>SUMIFS('BS-KH26-DTR'!L$2:L$116,'BS-KH26-DTR'!$B$2:$B$116,$A84)</f>
        <v>42158916075.822983</v>
      </c>
      <c r="AZ84" s="15">
        <f>SUMIFS('BS-KH26-DTR'!M$2:M$116,'BS-KH26-DTR'!$B$2:$B$116,$A84)</f>
        <v>39008105648.376717</v>
      </c>
      <c r="BA84" s="15">
        <f>SUMIFS('BS-KH26-DTR'!N$2:N$116,'BS-KH26-DTR'!$B$2:$B$116,$A84)</f>
        <v>41406729217.065758</v>
      </c>
      <c r="BB84" s="15">
        <f>SUMIFS('BS-KH26-DTR'!O$2:O$116,'BS-KH26-DTR'!$B$2:$B$116,$A84)</f>
        <v>42006696071.576775</v>
      </c>
      <c r="BD84" s="15">
        <f>SUMIFS('BS-KH26-DongLam'!M$2:M$51,'BS-KH26-DongLam'!$A$2:$A$51,'Consol BS-DTRG'!$A84)</f>
        <v>583010498.11770654</v>
      </c>
      <c r="BE84" s="15">
        <f>SUMIFS('BS-KH26-DongLam'!N$2:N$51,'BS-KH26-DongLam'!$A$2:$A$51,'Consol BS-DTRG'!$A84)</f>
        <v>359729391.10798687</v>
      </c>
      <c r="BF84" s="15">
        <f>SUMIFS('BS-KH26-DongLam'!O$2:O$51,'BS-KH26-DongLam'!$A$2:$A$51,'Consol BS-DTRG'!$A84)</f>
        <v>792305123.97368252</v>
      </c>
      <c r="BG84" s="15">
        <f>SUMIFS('BS-KH26-DongLam'!P$2:P$51,'BS-KH26-DongLam'!$A$2:$A$51,'Consol BS-DTRG'!$A84)</f>
        <v>1019073290.2017336</v>
      </c>
      <c r="BH84" s="15">
        <f>SUMIFS('BS-KH26-DongLam'!Q$2:Q$51,'BS-KH26-DongLam'!$A$2:$A$51,'Consol BS-DTRG'!$A84)</f>
        <v>1065817590.9449639</v>
      </c>
      <c r="BI84" s="15">
        <f>SUMIFS('BS-KH26-DongLam'!R$2:R$51,'BS-KH26-DongLam'!$A$2:$A$51,'Consol BS-DTRG'!$A84)</f>
        <v>1068149162.0338529</v>
      </c>
      <c r="BJ84" s="15">
        <f>SUMIFS('BS-KH26-DongLam'!S$2:S$51,'BS-KH26-DongLam'!$A$2:$A$51,'Consol BS-DTRG'!$A84)</f>
        <v>1106978473.93537</v>
      </c>
      <c r="BK84" s="15">
        <f>SUMIFS('BS-KH26-DongLam'!T$2:T$51,'BS-KH26-DongLam'!$A$2:$A$51,'Consol BS-DTRG'!$A84)</f>
        <v>1104347509.5326962</v>
      </c>
      <c r="BL84" s="15">
        <f>SUMIFS('BS-KH26-DongLam'!U$2:U$51,'BS-KH26-DongLam'!$A$2:$A$51,'Consol BS-DTRG'!$A84)</f>
        <v>1070803311.3725926</v>
      </c>
      <c r="BM84" s="15">
        <f>SUMIFS('BS-KH26-DongLam'!V$2:V$51,'BS-KH26-DongLam'!$A$2:$A$51,'Consol BS-DTRG'!$A84)</f>
        <v>1105766048.9044735</v>
      </c>
      <c r="BN84" s="15">
        <f>SUMIFS('BS-KH26-DongLam'!W$2:W$51,'BS-KH26-DongLam'!$A$2:$A$51,'Consol BS-DTRG'!$A84)</f>
        <v>1070357700.2822074</v>
      </c>
      <c r="BO84" s="15">
        <f>SUMIFS('BS-KH26-DongLam'!X$2:X$51,'BS-KH26-DongLam'!$A$2:$A$51,'Consol BS-DTRG'!$A84)</f>
        <v>1106294220.9131479</v>
      </c>
      <c r="BQ84" s="15">
        <f>SUMIFS('BS-KH26-KhanhNga'!M$2:M$51,'BS-KH26-KhanhNga'!$A$2:$A$51,'Consol BS-DTRG'!$A84)</f>
        <v>473633681.21806979</v>
      </c>
      <c r="BR84" s="15">
        <f>SUMIFS('BS-KH26-KhanhNga'!N$2:N$51,'BS-KH26-KhanhNga'!$A$2:$A$51,'Consol BS-DTRG'!$A84)</f>
        <v>371615145.77330935</v>
      </c>
      <c r="BS84" s="15">
        <f>SUMIFS('BS-KH26-KhanhNga'!O$2:O$51,'BS-KH26-KhanhNga'!$A$2:$A$51,'Consol BS-DTRG'!$A84)</f>
        <v>505685911.49521226</v>
      </c>
      <c r="BT84" s="15">
        <f>SUMIFS('BS-KH26-KhanhNga'!P$2:P$51,'BS-KH26-KhanhNga'!$A$2:$A$51,'Consol BS-DTRG'!$A84)</f>
        <v>542828011.67902124</v>
      </c>
      <c r="BU84" s="15">
        <f>SUMIFS('BS-KH26-KhanhNga'!Q$2:Q$51,'BS-KH26-KhanhNga'!$A$2:$A$51,'Consol BS-DTRG'!$A84)</f>
        <v>540060607.22568786</v>
      </c>
      <c r="BV84" s="15">
        <f>SUMIFS('BS-KH26-KhanhNga'!R$2:R$51,'BS-KH26-KhanhNga'!$A$2:$A$51,'Consol BS-DTRG'!$A84)</f>
        <v>543015894.57679904</v>
      </c>
      <c r="BW84" s="15">
        <f>SUMIFS('BS-KH26-KhanhNga'!S$2:S$51,'BS-KH26-KhanhNga'!$A$2:$A$51,'Consol BS-DTRG'!$A84)</f>
        <v>543885716.1679101</v>
      </c>
      <c r="BX84" s="15">
        <f>SUMIFS('BS-KH26-KhanhNga'!T$2:T$51,'BS-KH26-KhanhNga'!$A$2:$A$51,'Consol BS-DTRG'!$A84)</f>
        <v>545054559.14013243</v>
      </c>
      <c r="BY84" s="15">
        <f>SUMIFS('BS-KH26-KhanhNga'!U$2:U$51,'BS-KH26-KhanhNga'!$A$2:$A$51,'Consol BS-DTRG'!$A84)</f>
        <v>544280877.74791014</v>
      </c>
      <c r="BZ84" s="15">
        <f>SUMIFS('BS-KH26-KhanhNga'!V$2:V$51,'BS-KH26-KhanhNga'!$A$2:$A$51,'Consol BS-DTRG'!$A84)</f>
        <v>540364049.97013235</v>
      </c>
      <c r="CA84" s="15">
        <f>SUMIFS('BS-KH26-KhanhNga'!W$2:W$51,'BS-KH26-KhanhNga'!$A$2:$A$51,'Consol BS-DTRG'!$A84)</f>
        <v>541502634.85679901</v>
      </c>
      <c r="CB84" s="15">
        <f>SUMIFS('BS-KH26-KhanhNga'!X$2:X$51,'BS-KH26-KhanhNga'!$A$2:$A$51,'Consol BS-DTRG'!$A84)</f>
        <v>541402415.04346573</v>
      </c>
      <c r="CD84" s="15">
        <f>SUMIFS('BS-KH26-DaiLoc'!M$2:M$51,'BS-KH26-DaiLoc'!$A$2:$A$51,'Consol BS-DTRG'!$A84)</f>
        <v>7045894188.1451006</v>
      </c>
      <c r="CE84" s="15">
        <f>SUMIFS('BS-KH26-DaiLoc'!N$2:N$51,'BS-KH26-DaiLoc'!$A$2:$A$51,'Consol BS-DTRG'!$A84)</f>
        <v>5642963428.1652193</v>
      </c>
      <c r="CF84" s="15">
        <f>SUMIFS('BS-KH26-DaiLoc'!O$2:O$51,'BS-KH26-DaiLoc'!$A$2:$A$51,'Consol BS-DTRG'!$A84)</f>
        <v>7719482371.492734</v>
      </c>
      <c r="CG84" s="15">
        <f>SUMIFS('BS-KH26-DaiLoc'!P$2:P$51,'BS-KH26-DaiLoc'!$A$2:$A$51,'Consol BS-DTRG'!$A84)</f>
        <v>9351361772.8477459</v>
      </c>
      <c r="CH84" s="15">
        <f>SUMIFS('BS-KH26-DaiLoc'!Q$2:Q$51,'BS-KH26-DaiLoc'!$A$2:$A$51,'Consol BS-DTRG'!$A84)</f>
        <v>9363913960.3378429</v>
      </c>
      <c r="CI84" s="15">
        <f>SUMIFS('BS-KH26-DaiLoc'!R$2:R$51,'BS-KH26-DaiLoc'!$A$2:$A$51,'Consol BS-DTRG'!$A84)</f>
        <v>9387502048.7971706</v>
      </c>
      <c r="CJ84" s="15">
        <f>SUMIFS('BS-KH26-DaiLoc'!S$2:S$51,'BS-KH26-DaiLoc'!$A$2:$A$51,'Consol BS-DTRG'!$A84)</f>
        <v>9403594007.4869137</v>
      </c>
      <c r="CK84" s="15">
        <f>SUMIFS('BS-KH26-DaiLoc'!T$2:T$51,'BS-KH26-DaiLoc'!$A$2:$A$51,'Consol BS-DTRG'!$A84)</f>
        <v>9407944620.8869152</v>
      </c>
      <c r="CL84" s="15">
        <f>SUMIFS('BS-KH26-DaiLoc'!U$2:U$51,'BS-KH26-DaiLoc'!$A$2:$A$51,'Consol BS-DTRG'!$A84)</f>
        <v>9401496721.9766579</v>
      </c>
      <c r="CM84" s="15">
        <f>SUMIFS('BS-KH26-DaiLoc'!V$2:V$51,'BS-KH26-DaiLoc'!$A$2:$A$51,'Consol BS-DTRG'!$A84)</f>
        <v>10010192889.888531</v>
      </c>
      <c r="CN84" s="15">
        <f>SUMIFS('BS-KH26-DaiLoc'!W$2:W$51,'BS-KH26-DaiLoc'!$A$2:$A$51,'Consol BS-DTRG'!$A84)</f>
        <v>10033694054.642378</v>
      </c>
      <c r="CO84" s="15">
        <f>SUMIFS('BS-KH26-DaiLoc'!X$2:X$51,'BS-KH26-DaiLoc'!$A$2:$A$51,'Consol BS-DTRG'!$A84)</f>
        <v>10029161423.598787</v>
      </c>
      <c r="CQ84" s="15">
        <v>9900000000</v>
      </c>
      <c r="CR84" s="15">
        <f t="shared" ref="CR84:DB98" si="669">CQ84</f>
        <v>9900000000</v>
      </c>
      <c r="CS84" s="15">
        <f t="shared" si="669"/>
        <v>9900000000</v>
      </c>
      <c r="CT84" s="15">
        <f t="shared" si="669"/>
        <v>9900000000</v>
      </c>
      <c r="CU84" s="15">
        <f t="shared" si="669"/>
        <v>9900000000</v>
      </c>
      <c r="CV84" s="15">
        <f t="shared" si="669"/>
        <v>9900000000</v>
      </c>
      <c r="CW84" s="15">
        <f t="shared" si="669"/>
        <v>9900000000</v>
      </c>
      <c r="CX84" s="15">
        <f t="shared" si="669"/>
        <v>9900000000</v>
      </c>
      <c r="CY84" s="15">
        <f t="shared" si="669"/>
        <v>9900000000</v>
      </c>
      <c r="CZ84" s="15">
        <f t="shared" si="669"/>
        <v>9900000000</v>
      </c>
      <c r="DA84" s="15">
        <f t="shared" si="669"/>
        <v>9900000000</v>
      </c>
      <c r="DB84" s="15">
        <f t="shared" si="669"/>
        <v>9900000000</v>
      </c>
    </row>
    <row r="85" spans="1:106" hidden="1" outlineLevel="1">
      <c r="A85" s="633">
        <v>82</v>
      </c>
      <c r="B85" s="625" t="s">
        <v>334</v>
      </c>
      <c r="C85" t="s">
        <v>518</v>
      </c>
      <c r="D85" s="15">
        <f t="shared" si="645"/>
        <v>5995670638</v>
      </c>
      <c r="E85" s="15">
        <f t="shared" si="646"/>
        <v>5995670638</v>
      </c>
      <c r="F85" s="15">
        <f t="shared" si="647"/>
        <v>5995670638</v>
      </c>
      <c r="G85" s="15">
        <f t="shared" si="648"/>
        <v>5995670638</v>
      </c>
      <c r="H85" s="15">
        <f t="shared" si="649"/>
        <v>5995670638</v>
      </c>
      <c r="I85" s="15">
        <f t="shared" si="650"/>
        <v>5995670638</v>
      </c>
      <c r="J85" s="15">
        <f t="shared" si="651"/>
        <v>5995670638</v>
      </c>
      <c r="K85" s="15">
        <f t="shared" si="652"/>
        <v>5995670638</v>
      </c>
      <c r="L85" s="15">
        <f t="shared" si="653"/>
        <v>5995670638</v>
      </c>
      <c r="M85" s="15">
        <f t="shared" si="654"/>
        <v>5995670638</v>
      </c>
      <c r="N85" s="15">
        <f t="shared" si="655"/>
        <v>5995670638</v>
      </c>
      <c r="O85" s="15">
        <f t="shared" si="656"/>
        <v>5995670638</v>
      </c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D85" s="646">
        <f t="shared" si="657"/>
        <v>5995670638</v>
      </c>
      <c r="AE85" s="15">
        <f t="shared" si="658"/>
        <v>5995670638</v>
      </c>
      <c r="AF85" s="15">
        <f t="shared" si="659"/>
        <v>5995670638</v>
      </c>
      <c r="AG85" s="15">
        <f t="shared" si="660"/>
        <v>5995670638</v>
      </c>
      <c r="AH85" s="15">
        <f t="shared" si="661"/>
        <v>5995670638</v>
      </c>
      <c r="AI85" s="15">
        <f t="shared" si="662"/>
        <v>5995670638</v>
      </c>
      <c r="AJ85" s="15">
        <f t="shared" si="663"/>
        <v>5995670638</v>
      </c>
      <c r="AK85" s="15">
        <f t="shared" si="664"/>
        <v>5995670638</v>
      </c>
      <c r="AL85" s="15">
        <f t="shared" si="665"/>
        <v>5995670638</v>
      </c>
      <c r="AM85" s="15">
        <f t="shared" si="666"/>
        <v>5995670638</v>
      </c>
      <c r="AN85" s="15">
        <f t="shared" si="667"/>
        <v>5995670638</v>
      </c>
      <c r="AO85" s="647">
        <f t="shared" si="668"/>
        <v>5995670638</v>
      </c>
      <c r="AQ85" s="15">
        <f>SUMIFS('BS-KH26-DTR'!D$2:D$116,'BS-KH26-DTR'!$B$2:$B$116,$A85)</f>
        <v>5995670638</v>
      </c>
      <c r="AR85" s="15">
        <f>SUMIFS('BS-KH26-DTR'!E$2:E$116,'BS-KH26-DTR'!$B$2:$B$116,$A85)</f>
        <v>5995670638</v>
      </c>
      <c r="AS85" s="15">
        <f>SUMIFS('BS-KH26-DTR'!F$2:F$116,'BS-KH26-DTR'!$B$2:$B$116,$A85)</f>
        <v>5995670638</v>
      </c>
      <c r="AT85" s="15">
        <f>SUMIFS('BS-KH26-DTR'!G$2:G$116,'BS-KH26-DTR'!$B$2:$B$116,$A85)</f>
        <v>5995670638</v>
      </c>
      <c r="AU85" s="15">
        <f>SUMIFS('BS-KH26-DTR'!H$2:H$116,'BS-KH26-DTR'!$B$2:$B$116,$A85)</f>
        <v>5995670638</v>
      </c>
      <c r="AV85" s="15">
        <f>SUMIFS('BS-KH26-DTR'!I$2:I$116,'BS-KH26-DTR'!$B$2:$B$116,$A85)</f>
        <v>5995670638</v>
      </c>
      <c r="AW85" s="15">
        <f>SUMIFS('BS-KH26-DTR'!J$2:J$116,'BS-KH26-DTR'!$B$2:$B$116,$A85)</f>
        <v>5995670638</v>
      </c>
      <c r="AX85" s="15">
        <f>SUMIFS('BS-KH26-DTR'!K$2:K$116,'BS-KH26-DTR'!$B$2:$B$116,$A85)</f>
        <v>5995670638</v>
      </c>
      <c r="AY85" s="15">
        <f>SUMIFS('BS-KH26-DTR'!L$2:L$116,'BS-KH26-DTR'!$B$2:$B$116,$A85)</f>
        <v>5995670638</v>
      </c>
      <c r="AZ85" s="15">
        <f>SUMIFS('BS-KH26-DTR'!M$2:M$116,'BS-KH26-DTR'!$B$2:$B$116,$A85)</f>
        <v>5995670638</v>
      </c>
      <c r="BA85" s="15">
        <f>SUMIFS('BS-KH26-DTR'!N$2:N$116,'BS-KH26-DTR'!$B$2:$B$116,$A85)</f>
        <v>5995670638</v>
      </c>
      <c r="BB85" s="15">
        <f>SUMIFS('BS-KH26-DTR'!O$2:O$116,'BS-KH26-DTR'!$B$2:$B$116,$A85)</f>
        <v>5995670638</v>
      </c>
      <c r="BD85" s="15">
        <f>SUMIFS('BS-KH26-DongLam'!M$2:M$51,'BS-KH26-DongLam'!$A$2:$A$51,'Consol BS-DTRG'!$A85)</f>
        <v>0</v>
      </c>
      <c r="BE85" s="15">
        <f>SUMIFS('BS-KH26-DongLam'!N$2:N$51,'BS-KH26-DongLam'!$A$2:$A$51,'Consol BS-DTRG'!$A85)</f>
        <v>0</v>
      </c>
      <c r="BF85" s="15">
        <f>SUMIFS('BS-KH26-DongLam'!O$2:O$51,'BS-KH26-DongLam'!$A$2:$A$51,'Consol BS-DTRG'!$A85)</f>
        <v>0</v>
      </c>
      <c r="BG85" s="15">
        <f>SUMIFS('BS-KH26-DongLam'!P$2:P$51,'BS-KH26-DongLam'!$A$2:$A$51,'Consol BS-DTRG'!$A85)</f>
        <v>0</v>
      </c>
      <c r="BH85" s="15">
        <f>SUMIFS('BS-KH26-DongLam'!Q$2:Q$51,'BS-KH26-DongLam'!$A$2:$A$51,'Consol BS-DTRG'!$A85)</f>
        <v>0</v>
      </c>
      <c r="BI85" s="15">
        <f>SUMIFS('BS-KH26-DongLam'!R$2:R$51,'BS-KH26-DongLam'!$A$2:$A$51,'Consol BS-DTRG'!$A85)</f>
        <v>0</v>
      </c>
      <c r="BJ85" s="15">
        <f>SUMIFS('BS-KH26-DongLam'!S$2:S$51,'BS-KH26-DongLam'!$A$2:$A$51,'Consol BS-DTRG'!$A85)</f>
        <v>0</v>
      </c>
      <c r="BK85" s="15">
        <f>SUMIFS('BS-KH26-DongLam'!T$2:T$51,'BS-KH26-DongLam'!$A$2:$A$51,'Consol BS-DTRG'!$A85)</f>
        <v>0</v>
      </c>
      <c r="BL85" s="15">
        <f>SUMIFS('BS-KH26-DongLam'!U$2:U$51,'BS-KH26-DongLam'!$A$2:$A$51,'Consol BS-DTRG'!$A85)</f>
        <v>0</v>
      </c>
      <c r="BM85" s="15">
        <f>SUMIFS('BS-KH26-DongLam'!V$2:V$51,'BS-KH26-DongLam'!$A$2:$A$51,'Consol BS-DTRG'!$A85)</f>
        <v>0</v>
      </c>
      <c r="BN85" s="15">
        <f>SUMIFS('BS-KH26-DongLam'!W$2:W$51,'BS-KH26-DongLam'!$A$2:$A$51,'Consol BS-DTRG'!$A85)</f>
        <v>0</v>
      </c>
      <c r="BO85" s="15">
        <f>SUMIFS('BS-KH26-DongLam'!X$2:X$51,'BS-KH26-DongLam'!$A$2:$A$51,'Consol BS-DTRG'!$A85)</f>
        <v>0</v>
      </c>
      <c r="BQ85" s="15">
        <f>SUMIFS('BS-KH26-KhanhNga'!M$2:M$51,'BS-KH26-KhanhNga'!$A$2:$A$51,'Consol BS-DTRG'!$A85)</f>
        <v>0</v>
      </c>
      <c r="BR85" s="15">
        <f>SUMIFS('BS-KH26-KhanhNga'!N$2:N$51,'BS-KH26-KhanhNga'!$A$2:$A$51,'Consol BS-DTRG'!$A85)</f>
        <v>0</v>
      </c>
      <c r="BS85" s="15">
        <f>SUMIFS('BS-KH26-KhanhNga'!O$2:O$51,'BS-KH26-KhanhNga'!$A$2:$A$51,'Consol BS-DTRG'!$A85)</f>
        <v>0</v>
      </c>
      <c r="BT85" s="15">
        <f>SUMIFS('BS-KH26-KhanhNga'!P$2:P$51,'BS-KH26-KhanhNga'!$A$2:$A$51,'Consol BS-DTRG'!$A85)</f>
        <v>0</v>
      </c>
      <c r="BU85" s="15">
        <f>SUMIFS('BS-KH26-KhanhNga'!Q$2:Q$51,'BS-KH26-KhanhNga'!$A$2:$A$51,'Consol BS-DTRG'!$A85)</f>
        <v>0</v>
      </c>
      <c r="BV85" s="15">
        <f>SUMIFS('BS-KH26-KhanhNga'!R$2:R$51,'BS-KH26-KhanhNga'!$A$2:$A$51,'Consol BS-DTRG'!$A85)</f>
        <v>0</v>
      </c>
      <c r="BW85" s="15">
        <f>SUMIFS('BS-KH26-KhanhNga'!S$2:S$51,'BS-KH26-KhanhNga'!$A$2:$A$51,'Consol BS-DTRG'!$A85)</f>
        <v>0</v>
      </c>
      <c r="BX85" s="15">
        <f>SUMIFS('BS-KH26-KhanhNga'!T$2:T$51,'BS-KH26-KhanhNga'!$A$2:$A$51,'Consol BS-DTRG'!$A85)</f>
        <v>0</v>
      </c>
      <c r="BY85" s="15">
        <f>SUMIFS('BS-KH26-KhanhNga'!U$2:U$51,'BS-KH26-KhanhNga'!$A$2:$A$51,'Consol BS-DTRG'!$A85)</f>
        <v>0</v>
      </c>
      <c r="BZ85" s="15">
        <f>SUMIFS('BS-KH26-KhanhNga'!V$2:V$51,'BS-KH26-KhanhNga'!$A$2:$A$51,'Consol BS-DTRG'!$A85)</f>
        <v>0</v>
      </c>
      <c r="CA85" s="15">
        <f>SUMIFS('BS-KH26-KhanhNga'!W$2:W$51,'BS-KH26-KhanhNga'!$A$2:$A$51,'Consol BS-DTRG'!$A85)</f>
        <v>0</v>
      </c>
      <c r="CB85" s="15">
        <f>SUMIFS('BS-KH26-KhanhNga'!X$2:X$51,'BS-KH26-KhanhNga'!$A$2:$A$51,'Consol BS-DTRG'!$A85)</f>
        <v>0</v>
      </c>
      <c r="CD85" s="15">
        <f>SUMIFS('BS-KH26-DaiLoc'!M$2:M$51,'BS-KH26-DaiLoc'!$A$2:$A$51,'Consol BS-DTRG'!$A85)</f>
        <v>0</v>
      </c>
      <c r="CE85" s="15">
        <f>SUMIFS('BS-KH26-DaiLoc'!N$2:N$51,'BS-KH26-DaiLoc'!$A$2:$A$51,'Consol BS-DTRG'!$A85)</f>
        <v>0</v>
      </c>
      <c r="CF85" s="15">
        <f>SUMIFS('BS-KH26-DaiLoc'!O$2:O$51,'BS-KH26-DaiLoc'!$A$2:$A$51,'Consol BS-DTRG'!$A85)</f>
        <v>0</v>
      </c>
      <c r="CG85" s="15">
        <f>SUMIFS('BS-KH26-DaiLoc'!P$2:P$51,'BS-KH26-DaiLoc'!$A$2:$A$51,'Consol BS-DTRG'!$A85)</f>
        <v>0</v>
      </c>
      <c r="CH85" s="15">
        <f>SUMIFS('BS-KH26-DaiLoc'!Q$2:Q$51,'BS-KH26-DaiLoc'!$A$2:$A$51,'Consol BS-DTRG'!$A85)</f>
        <v>0</v>
      </c>
      <c r="CI85" s="15">
        <f>SUMIFS('BS-KH26-DaiLoc'!R$2:R$51,'BS-KH26-DaiLoc'!$A$2:$A$51,'Consol BS-DTRG'!$A85)</f>
        <v>0</v>
      </c>
      <c r="CJ85" s="15">
        <f>SUMIFS('BS-KH26-DaiLoc'!S$2:S$51,'BS-KH26-DaiLoc'!$A$2:$A$51,'Consol BS-DTRG'!$A85)</f>
        <v>0</v>
      </c>
      <c r="CK85" s="15">
        <f>SUMIFS('BS-KH26-DaiLoc'!T$2:T$51,'BS-KH26-DaiLoc'!$A$2:$A$51,'Consol BS-DTRG'!$A85)</f>
        <v>0</v>
      </c>
      <c r="CL85" s="15">
        <f>SUMIFS('BS-KH26-DaiLoc'!U$2:U$51,'BS-KH26-DaiLoc'!$A$2:$A$51,'Consol BS-DTRG'!$A85)</f>
        <v>0</v>
      </c>
      <c r="CM85" s="15">
        <f>SUMIFS('BS-KH26-DaiLoc'!V$2:V$51,'BS-KH26-DaiLoc'!$A$2:$A$51,'Consol BS-DTRG'!$A85)</f>
        <v>0</v>
      </c>
      <c r="CN85" s="15">
        <f>SUMIFS('BS-KH26-DaiLoc'!W$2:W$51,'BS-KH26-DaiLoc'!$A$2:$A$51,'Consol BS-DTRG'!$A85)</f>
        <v>0</v>
      </c>
      <c r="CO85" s="15">
        <f>SUMIFS('BS-KH26-DaiLoc'!X$2:X$51,'BS-KH26-DaiLoc'!$A$2:$A$51,'Consol BS-DTRG'!$A85)</f>
        <v>0</v>
      </c>
      <c r="CQ85" s="15">
        <v>0</v>
      </c>
      <c r="CR85" s="15">
        <f t="shared" si="669"/>
        <v>0</v>
      </c>
      <c r="CS85" s="15">
        <f t="shared" si="669"/>
        <v>0</v>
      </c>
      <c r="CT85" s="15">
        <f t="shared" si="669"/>
        <v>0</v>
      </c>
      <c r="CU85" s="15">
        <f t="shared" si="669"/>
        <v>0</v>
      </c>
      <c r="CV85" s="15">
        <f t="shared" si="669"/>
        <v>0</v>
      </c>
      <c r="CW85" s="15">
        <f t="shared" si="669"/>
        <v>0</v>
      </c>
      <c r="CX85" s="15">
        <f t="shared" si="669"/>
        <v>0</v>
      </c>
      <c r="CY85" s="15">
        <f t="shared" si="669"/>
        <v>0</v>
      </c>
      <c r="CZ85" s="15">
        <f t="shared" si="669"/>
        <v>0</v>
      </c>
      <c r="DA85" s="15">
        <f t="shared" si="669"/>
        <v>0</v>
      </c>
      <c r="DB85" s="15">
        <f t="shared" si="669"/>
        <v>0</v>
      </c>
    </row>
    <row r="86" spans="1:106" hidden="1" outlineLevel="1">
      <c r="A86" s="633">
        <v>83</v>
      </c>
      <c r="B86" s="625" t="s">
        <v>335</v>
      </c>
      <c r="C86" t="s">
        <v>518</v>
      </c>
      <c r="D86" s="15">
        <f t="shared" si="645"/>
        <v>0</v>
      </c>
      <c r="E86" s="15">
        <f t="shared" si="646"/>
        <v>0</v>
      </c>
      <c r="F86" s="15">
        <f t="shared" si="647"/>
        <v>0</v>
      </c>
      <c r="G86" s="15">
        <f t="shared" si="648"/>
        <v>0</v>
      </c>
      <c r="H86" s="15">
        <f t="shared" si="649"/>
        <v>0</v>
      </c>
      <c r="I86" s="15">
        <f t="shared" si="650"/>
        <v>0</v>
      </c>
      <c r="J86" s="15">
        <f t="shared" si="651"/>
        <v>0</v>
      </c>
      <c r="K86" s="15">
        <f t="shared" si="652"/>
        <v>0</v>
      </c>
      <c r="L86" s="15">
        <f t="shared" si="653"/>
        <v>0</v>
      </c>
      <c r="M86" s="15">
        <f t="shared" si="654"/>
        <v>0</v>
      </c>
      <c r="N86" s="15">
        <f t="shared" si="655"/>
        <v>0</v>
      </c>
      <c r="O86" s="15">
        <f t="shared" si="656"/>
        <v>0</v>
      </c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D86" s="646">
        <f t="shared" si="657"/>
        <v>0</v>
      </c>
      <c r="AE86" s="15">
        <f t="shared" si="658"/>
        <v>0</v>
      </c>
      <c r="AF86" s="15">
        <f t="shared" si="659"/>
        <v>0</v>
      </c>
      <c r="AG86" s="15">
        <f t="shared" si="660"/>
        <v>0</v>
      </c>
      <c r="AH86" s="15">
        <f t="shared" si="661"/>
        <v>0</v>
      </c>
      <c r="AI86" s="15">
        <f t="shared" si="662"/>
        <v>0</v>
      </c>
      <c r="AJ86" s="15">
        <f t="shared" si="663"/>
        <v>0</v>
      </c>
      <c r="AK86" s="15">
        <f t="shared" si="664"/>
        <v>0</v>
      </c>
      <c r="AL86" s="15">
        <f t="shared" si="665"/>
        <v>0</v>
      </c>
      <c r="AM86" s="15">
        <f t="shared" si="666"/>
        <v>0</v>
      </c>
      <c r="AN86" s="15">
        <f t="shared" si="667"/>
        <v>0</v>
      </c>
      <c r="AO86" s="647">
        <f t="shared" si="668"/>
        <v>0</v>
      </c>
      <c r="AQ86" s="15">
        <f>SUMIFS('BS-KH26-DTR'!D$2:D$116,'BS-KH26-DTR'!$B$2:$B$116,$A86)</f>
        <v>0</v>
      </c>
      <c r="AR86" s="15">
        <f>SUMIFS('BS-KH26-DTR'!E$2:E$116,'BS-KH26-DTR'!$B$2:$B$116,$A86)</f>
        <v>0</v>
      </c>
      <c r="AS86" s="15">
        <f>SUMIFS('BS-KH26-DTR'!F$2:F$116,'BS-KH26-DTR'!$B$2:$B$116,$A86)</f>
        <v>0</v>
      </c>
      <c r="AT86" s="15">
        <f>SUMIFS('BS-KH26-DTR'!G$2:G$116,'BS-KH26-DTR'!$B$2:$B$116,$A86)</f>
        <v>0</v>
      </c>
      <c r="AU86" s="15">
        <f>SUMIFS('BS-KH26-DTR'!H$2:H$116,'BS-KH26-DTR'!$B$2:$B$116,$A86)</f>
        <v>0</v>
      </c>
      <c r="AV86" s="15">
        <f>SUMIFS('BS-KH26-DTR'!I$2:I$116,'BS-KH26-DTR'!$B$2:$B$116,$A86)</f>
        <v>0</v>
      </c>
      <c r="AW86" s="15">
        <f>SUMIFS('BS-KH26-DTR'!J$2:J$116,'BS-KH26-DTR'!$B$2:$B$116,$A86)</f>
        <v>0</v>
      </c>
      <c r="AX86" s="15">
        <f>SUMIFS('BS-KH26-DTR'!K$2:K$116,'BS-KH26-DTR'!$B$2:$B$116,$A86)</f>
        <v>0</v>
      </c>
      <c r="AY86" s="15">
        <f>SUMIFS('BS-KH26-DTR'!L$2:L$116,'BS-KH26-DTR'!$B$2:$B$116,$A86)</f>
        <v>0</v>
      </c>
      <c r="AZ86" s="15">
        <f>SUMIFS('BS-KH26-DTR'!M$2:M$116,'BS-KH26-DTR'!$B$2:$B$116,$A86)</f>
        <v>0</v>
      </c>
      <c r="BA86" s="15">
        <f>SUMIFS('BS-KH26-DTR'!N$2:N$116,'BS-KH26-DTR'!$B$2:$B$116,$A86)</f>
        <v>0</v>
      </c>
      <c r="BB86" s="15">
        <f>SUMIFS('BS-KH26-DTR'!O$2:O$116,'BS-KH26-DTR'!$B$2:$B$116,$A86)</f>
        <v>0</v>
      </c>
      <c r="BD86" s="15">
        <f>SUMIFS('BS-KH26-DongLam'!M$2:M$51,'BS-KH26-DongLam'!$A$2:$A$51,'Consol BS-DTRG'!$A86)</f>
        <v>0</v>
      </c>
      <c r="BE86" s="15">
        <f>SUMIFS('BS-KH26-DongLam'!N$2:N$51,'BS-KH26-DongLam'!$A$2:$A$51,'Consol BS-DTRG'!$A86)</f>
        <v>0</v>
      </c>
      <c r="BF86" s="15">
        <f>SUMIFS('BS-KH26-DongLam'!O$2:O$51,'BS-KH26-DongLam'!$A$2:$A$51,'Consol BS-DTRG'!$A86)</f>
        <v>0</v>
      </c>
      <c r="BG86" s="15">
        <f>SUMIFS('BS-KH26-DongLam'!P$2:P$51,'BS-KH26-DongLam'!$A$2:$A$51,'Consol BS-DTRG'!$A86)</f>
        <v>0</v>
      </c>
      <c r="BH86" s="15">
        <f>SUMIFS('BS-KH26-DongLam'!Q$2:Q$51,'BS-KH26-DongLam'!$A$2:$A$51,'Consol BS-DTRG'!$A86)</f>
        <v>0</v>
      </c>
      <c r="BI86" s="15">
        <f>SUMIFS('BS-KH26-DongLam'!R$2:R$51,'BS-KH26-DongLam'!$A$2:$A$51,'Consol BS-DTRG'!$A86)</f>
        <v>0</v>
      </c>
      <c r="BJ86" s="15">
        <f>SUMIFS('BS-KH26-DongLam'!S$2:S$51,'BS-KH26-DongLam'!$A$2:$A$51,'Consol BS-DTRG'!$A86)</f>
        <v>0</v>
      </c>
      <c r="BK86" s="15">
        <f>SUMIFS('BS-KH26-DongLam'!T$2:T$51,'BS-KH26-DongLam'!$A$2:$A$51,'Consol BS-DTRG'!$A86)</f>
        <v>0</v>
      </c>
      <c r="BL86" s="15">
        <f>SUMIFS('BS-KH26-DongLam'!U$2:U$51,'BS-KH26-DongLam'!$A$2:$A$51,'Consol BS-DTRG'!$A86)</f>
        <v>0</v>
      </c>
      <c r="BM86" s="15">
        <f>SUMIFS('BS-KH26-DongLam'!V$2:V$51,'BS-KH26-DongLam'!$A$2:$A$51,'Consol BS-DTRG'!$A86)</f>
        <v>0</v>
      </c>
      <c r="BN86" s="15">
        <f>SUMIFS('BS-KH26-DongLam'!W$2:W$51,'BS-KH26-DongLam'!$A$2:$A$51,'Consol BS-DTRG'!$A86)</f>
        <v>0</v>
      </c>
      <c r="BO86" s="15">
        <f>SUMIFS('BS-KH26-DongLam'!X$2:X$51,'BS-KH26-DongLam'!$A$2:$A$51,'Consol BS-DTRG'!$A86)</f>
        <v>0</v>
      </c>
      <c r="BQ86" s="15">
        <f>SUMIFS('BS-KH26-KhanhNga'!M$2:M$51,'BS-KH26-KhanhNga'!$A$2:$A$51,'Consol BS-DTRG'!$A86)</f>
        <v>0</v>
      </c>
      <c r="BR86" s="15">
        <f>SUMIFS('BS-KH26-KhanhNga'!N$2:N$51,'BS-KH26-KhanhNga'!$A$2:$A$51,'Consol BS-DTRG'!$A86)</f>
        <v>0</v>
      </c>
      <c r="BS86" s="15">
        <f>SUMIFS('BS-KH26-KhanhNga'!O$2:O$51,'BS-KH26-KhanhNga'!$A$2:$A$51,'Consol BS-DTRG'!$A86)</f>
        <v>0</v>
      </c>
      <c r="BT86" s="15">
        <f>SUMIFS('BS-KH26-KhanhNga'!P$2:P$51,'BS-KH26-KhanhNga'!$A$2:$A$51,'Consol BS-DTRG'!$A86)</f>
        <v>0</v>
      </c>
      <c r="BU86" s="15">
        <f>SUMIFS('BS-KH26-KhanhNga'!Q$2:Q$51,'BS-KH26-KhanhNga'!$A$2:$A$51,'Consol BS-DTRG'!$A86)</f>
        <v>0</v>
      </c>
      <c r="BV86" s="15">
        <f>SUMIFS('BS-KH26-KhanhNga'!R$2:R$51,'BS-KH26-KhanhNga'!$A$2:$A$51,'Consol BS-DTRG'!$A86)</f>
        <v>0</v>
      </c>
      <c r="BW86" s="15">
        <f>SUMIFS('BS-KH26-KhanhNga'!S$2:S$51,'BS-KH26-KhanhNga'!$A$2:$A$51,'Consol BS-DTRG'!$A86)</f>
        <v>0</v>
      </c>
      <c r="BX86" s="15">
        <f>SUMIFS('BS-KH26-KhanhNga'!T$2:T$51,'BS-KH26-KhanhNga'!$A$2:$A$51,'Consol BS-DTRG'!$A86)</f>
        <v>0</v>
      </c>
      <c r="BY86" s="15">
        <f>SUMIFS('BS-KH26-KhanhNga'!U$2:U$51,'BS-KH26-KhanhNga'!$A$2:$A$51,'Consol BS-DTRG'!$A86)</f>
        <v>0</v>
      </c>
      <c r="BZ86" s="15">
        <f>SUMIFS('BS-KH26-KhanhNga'!V$2:V$51,'BS-KH26-KhanhNga'!$A$2:$A$51,'Consol BS-DTRG'!$A86)</f>
        <v>0</v>
      </c>
      <c r="CA86" s="15">
        <f>SUMIFS('BS-KH26-KhanhNga'!W$2:W$51,'BS-KH26-KhanhNga'!$A$2:$A$51,'Consol BS-DTRG'!$A86)</f>
        <v>0</v>
      </c>
      <c r="CB86" s="15">
        <f>SUMIFS('BS-KH26-KhanhNga'!X$2:X$51,'BS-KH26-KhanhNga'!$A$2:$A$51,'Consol BS-DTRG'!$A86)</f>
        <v>0</v>
      </c>
      <c r="CD86" s="15">
        <f>SUMIFS('BS-KH26-DaiLoc'!M$2:M$51,'BS-KH26-DaiLoc'!$A$2:$A$51,'Consol BS-DTRG'!$A86)</f>
        <v>0</v>
      </c>
      <c r="CE86" s="15">
        <f>SUMIFS('BS-KH26-DaiLoc'!N$2:N$51,'BS-KH26-DaiLoc'!$A$2:$A$51,'Consol BS-DTRG'!$A86)</f>
        <v>0</v>
      </c>
      <c r="CF86" s="15">
        <f>SUMIFS('BS-KH26-DaiLoc'!O$2:O$51,'BS-KH26-DaiLoc'!$A$2:$A$51,'Consol BS-DTRG'!$A86)</f>
        <v>0</v>
      </c>
      <c r="CG86" s="15">
        <f>SUMIFS('BS-KH26-DaiLoc'!P$2:P$51,'BS-KH26-DaiLoc'!$A$2:$A$51,'Consol BS-DTRG'!$A86)</f>
        <v>0</v>
      </c>
      <c r="CH86" s="15">
        <f>SUMIFS('BS-KH26-DaiLoc'!Q$2:Q$51,'BS-KH26-DaiLoc'!$A$2:$A$51,'Consol BS-DTRG'!$A86)</f>
        <v>0</v>
      </c>
      <c r="CI86" s="15">
        <f>SUMIFS('BS-KH26-DaiLoc'!R$2:R$51,'BS-KH26-DaiLoc'!$A$2:$A$51,'Consol BS-DTRG'!$A86)</f>
        <v>0</v>
      </c>
      <c r="CJ86" s="15">
        <f>SUMIFS('BS-KH26-DaiLoc'!S$2:S$51,'BS-KH26-DaiLoc'!$A$2:$A$51,'Consol BS-DTRG'!$A86)</f>
        <v>0</v>
      </c>
      <c r="CK86" s="15">
        <f>SUMIFS('BS-KH26-DaiLoc'!T$2:T$51,'BS-KH26-DaiLoc'!$A$2:$A$51,'Consol BS-DTRG'!$A86)</f>
        <v>0</v>
      </c>
      <c r="CL86" s="15">
        <f>SUMIFS('BS-KH26-DaiLoc'!U$2:U$51,'BS-KH26-DaiLoc'!$A$2:$A$51,'Consol BS-DTRG'!$A86)</f>
        <v>0</v>
      </c>
      <c r="CM86" s="15">
        <f>SUMIFS('BS-KH26-DaiLoc'!V$2:V$51,'BS-KH26-DaiLoc'!$A$2:$A$51,'Consol BS-DTRG'!$A86)</f>
        <v>0</v>
      </c>
      <c r="CN86" s="15">
        <f>SUMIFS('BS-KH26-DaiLoc'!W$2:W$51,'BS-KH26-DaiLoc'!$A$2:$A$51,'Consol BS-DTRG'!$A86)</f>
        <v>0</v>
      </c>
      <c r="CO86" s="15">
        <f>SUMIFS('BS-KH26-DaiLoc'!X$2:X$51,'BS-KH26-DaiLoc'!$A$2:$A$51,'Consol BS-DTRG'!$A86)</f>
        <v>0</v>
      </c>
      <c r="CQ86" s="15">
        <v>0</v>
      </c>
      <c r="CR86" s="15">
        <f t="shared" si="669"/>
        <v>0</v>
      </c>
      <c r="CS86" s="15">
        <f t="shared" si="669"/>
        <v>0</v>
      </c>
      <c r="CT86" s="15">
        <f t="shared" si="669"/>
        <v>0</v>
      </c>
      <c r="CU86" s="15">
        <f t="shared" si="669"/>
        <v>0</v>
      </c>
      <c r="CV86" s="15">
        <f t="shared" si="669"/>
        <v>0</v>
      </c>
      <c r="CW86" s="15">
        <f t="shared" si="669"/>
        <v>0</v>
      </c>
      <c r="CX86" s="15">
        <f t="shared" si="669"/>
        <v>0</v>
      </c>
      <c r="CY86" s="15">
        <f t="shared" si="669"/>
        <v>0</v>
      </c>
      <c r="CZ86" s="15">
        <f t="shared" si="669"/>
        <v>0</v>
      </c>
      <c r="DA86" s="15">
        <f t="shared" si="669"/>
        <v>0</v>
      </c>
      <c r="DB86" s="15">
        <f t="shared" si="669"/>
        <v>0</v>
      </c>
    </row>
    <row r="87" spans="1:106" hidden="1" outlineLevel="1">
      <c r="A87" s="633">
        <v>84</v>
      </c>
      <c r="B87" s="625" t="s">
        <v>336</v>
      </c>
      <c r="C87" t="s">
        <v>518</v>
      </c>
      <c r="D87" s="15">
        <f t="shared" si="645"/>
        <v>3074628856</v>
      </c>
      <c r="E87" s="15">
        <f t="shared" si="646"/>
        <v>3074628856</v>
      </c>
      <c r="F87" s="15">
        <f t="shared" si="647"/>
        <v>3074628856</v>
      </c>
      <c r="G87" s="15">
        <f t="shared" si="648"/>
        <v>3074628856</v>
      </c>
      <c r="H87" s="15">
        <f t="shared" si="649"/>
        <v>3074628856</v>
      </c>
      <c r="I87" s="15">
        <f t="shared" si="650"/>
        <v>3074628856</v>
      </c>
      <c r="J87" s="15">
        <f t="shared" si="651"/>
        <v>3074628856</v>
      </c>
      <c r="K87" s="15">
        <f t="shared" si="652"/>
        <v>3074628856</v>
      </c>
      <c r="L87" s="15">
        <f t="shared" si="653"/>
        <v>3074628856</v>
      </c>
      <c r="M87" s="15">
        <f t="shared" si="654"/>
        <v>3074628856</v>
      </c>
      <c r="N87" s="15">
        <f t="shared" si="655"/>
        <v>3074628856</v>
      </c>
      <c r="O87" s="15">
        <f t="shared" si="656"/>
        <v>3074628856</v>
      </c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D87" s="646">
        <f t="shared" si="657"/>
        <v>3074628856</v>
      </c>
      <c r="AE87" s="15">
        <f t="shared" si="658"/>
        <v>3074628856</v>
      </c>
      <c r="AF87" s="15">
        <f t="shared" si="659"/>
        <v>3074628856</v>
      </c>
      <c r="AG87" s="15">
        <f t="shared" si="660"/>
        <v>3074628856</v>
      </c>
      <c r="AH87" s="15">
        <f t="shared" si="661"/>
        <v>3074628856</v>
      </c>
      <c r="AI87" s="15">
        <f t="shared" si="662"/>
        <v>3074628856</v>
      </c>
      <c r="AJ87" s="15">
        <f t="shared" si="663"/>
        <v>3074628856</v>
      </c>
      <c r="AK87" s="15">
        <f t="shared" si="664"/>
        <v>3074628856</v>
      </c>
      <c r="AL87" s="15">
        <f t="shared" si="665"/>
        <v>3074628856</v>
      </c>
      <c r="AM87" s="15">
        <f t="shared" si="666"/>
        <v>3074628856</v>
      </c>
      <c r="AN87" s="15">
        <f t="shared" si="667"/>
        <v>3074628856</v>
      </c>
      <c r="AO87" s="647">
        <f t="shared" si="668"/>
        <v>3074628856</v>
      </c>
      <c r="AQ87" s="15">
        <f>SUMIFS('BS-KH26-DTR'!D$2:D$116,'BS-KH26-DTR'!$B$2:$B$116,$A87)</f>
        <v>3074628856</v>
      </c>
      <c r="AR87" s="15">
        <f>SUMIFS('BS-KH26-DTR'!E$2:E$116,'BS-KH26-DTR'!$B$2:$B$116,$A87)</f>
        <v>3074628856</v>
      </c>
      <c r="AS87" s="15">
        <f>SUMIFS('BS-KH26-DTR'!F$2:F$116,'BS-KH26-DTR'!$B$2:$B$116,$A87)</f>
        <v>3074628856</v>
      </c>
      <c r="AT87" s="15">
        <f>SUMIFS('BS-KH26-DTR'!G$2:G$116,'BS-KH26-DTR'!$B$2:$B$116,$A87)</f>
        <v>3074628856</v>
      </c>
      <c r="AU87" s="15">
        <f>SUMIFS('BS-KH26-DTR'!H$2:H$116,'BS-KH26-DTR'!$B$2:$B$116,$A87)</f>
        <v>3074628856</v>
      </c>
      <c r="AV87" s="15">
        <f>SUMIFS('BS-KH26-DTR'!I$2:I$116,'BS-KH26-DTR'!$B$2:$B$116,$A87)</f>
        <v>3074628856</v>
      </c>
      <c r="AW87" s="15">
        <f>SUMIFS('BS-KH26-DTR'!J$2:J$116,'BS-KH26-DTR'!$B$2:$B$116,$A87)</f>
        <v>3074628856</v>
      </c>
      <c r="AX87" s="15">
        <f>SUMIFS('BS-KH26-DTR'!K$2:K$116,'BS-KH26-DTR'!$B$2:$B$116,$A87)</f>
        <v>3074628856</v>
      </c>
      <c r="AY87" s="15">
        <f>SUMIFS('BS-KH26-DTR'!L$2:L$116,'BS-KH26-DTR'!$B$2:$B$116,$A87)</f>
        <v>3074628856</v>
      </c>
      <c r="AZ87" s="15">
        <f>SUMIFS('BS-KH26-DTR'!M$2:M$116,'BS-KH26-DTR'!$B$2:$B$116,$A87)</f>
        <v>3074628856</v>
      </c>
      <c r="BA87" s="15">
        <f>SUMIFS('BS-KH26-DTR'!N$2:N$116,'BS-KH26-DTR'!$B$2:$B$116,$A87)</f>
        <v>3074628856</v>
      </c>
      <c r="BB87" s="15">
        <f>SUMIFS('BS-KH26-DTR'!O$2:O$116,'BS-KH26-DTR'!$B$2:$B$116,$A87)</f>
        <v>3074628856</v>
      </c>
      <c r="BD87" s="15">
        <f>SUMIFS('BS-KH26-DongLam'!M$2:M$51,'BS-KH26-DongLam'!$A$2:$A$51,'Consol BS-DTRG'!$A87)</f>
        <v>0</v>
      </c>
      <c r="BE87" s="15">
        <f>SUMIFS('BS-KH26-DongLam'!N$2:N$51,'BS-KH26-DongLam'!$A$2:$A$51,'Consol BS-DTRG'!$A87)</f>
        <v>0</v>
      </c>
      <c r="BF87" s="15">
        <f>SUMIFS('BS-KH26-DongLam'!O$2:O$51,'BS-KH26-DongLam'!$A$2:$A$51,'Consol BS-DTRG'!$A87)</f>
        <v>0</v>
      </c>
      <c r="BG87" s="15">
        <f>SUMIFS('BS-KH26-DongLam'!P$2:P$51,'BS-KH26-DongLam'!$A$2:$A$51,'Consol BS-DTRG'!$A87)</f>
        <v>0</v>
      </c>
      <c r="BH87" s="15">
        <f>SUMIFS('BS-KH26-DongLam'!Q$2:Q$51,'BS-KH26-DongLam'!$A$2:$A$51,'Consol BS-DTRG'!$A87)</f>
        <v>0</v>
      </c>
      <c r="BI87" s="15">
        <f>SUMIFS('BS-KH26-DongLam'!R$2:R$51,'BS-KH26-DongLam'!$A$2:$A$51,'Consol BS-DTRG'!$A87)</f>
        <v>0</v>
      </c>
      <c r="BJ87" s="15">
        <f>SUMIFS('BS-KH26-DongLam'!S$2:S$51,'BS-KH26-DongLam'!$A$2:$A$51,'Consol BS-DTRG'!$A87)</f>
        <v>0</v>
      </c>
      <c r="BK87" s="15">
        <f>SUMIFS('BS-KH26-DongLam'!T$2:T$51,'BS-KH26-DongLam'!$A$2:$A$51,'Consol BS-DTRG'!$A87)</f>
        <v>0</v>
      </c>
      <c r="BL87" s="15">
        <f>SUMIFS('BS-KH26-DongLam'!U$2:U$51,'BS-KH26-DongLam'!$A$2:$A$51,'Consol BS-DTRG'!$A87)</f>
        <v>0</v>
      </c>
      <c r="BM87" s="15">
        <f>SUMIFS('BS-KH26-DongLam'!V$2:V$51,'BS-KH26-DongLam'!$A$2:$A$51,'Consol BS-DTRG'!$A87)</f>
        <v>0</v>
      </c>
      <c r="BN87" s="15">
        <f>SUMIFS('BS-KH26-DongLam'!W$2:W$51,'BS-KH26-DongLam'!$A$2:$A$51,'Consol BS-DTRG'!$A87)</f>
        <v>0</v>
      </c>
      <c r="BO87" s="15">
        <f>SUMIFS('BS-KH26-DongLam'!X$2:X$51,'BS-KH26-DongLam'!$A$2:$A$51,'Consol BS-DTRG'!$A87)</f>
        <v>0</v>
      </c>
      <c r="BQ87" s="15">
        <f>SUMIFS('BS-KH26-KhanhNga'!M$2:M$51,'BS-KH26-KhanhNga'!$A$2:$A$51,'Consol BS-DTRG'!$A87)</f>
        <v>0</v>
      </c>
      <c r="BR87" s="15">
        <f>SUMIFS('BS-KH26-KhanhNga'!N$2:N$51,'BS-KH26-KhanhNga'!$A$2:$A$51,'Consol BS-DTRG'!$A87)</f>
        <v>0</v>
      </c>
      <c r="BS87" s="15">
        <f>SUMIFS('BS-KH26-KhanhNga'!O$2:O$51,'BS-KH26-KhanhNga'!$A$2:$A$51,'Consol BS-DTRG'!$A87)</f>
        <v>0</v>
      </c>
      <c r="BT87" s="15">
        <f>SUMIFS('BS-KH26-KhanhNga'!P$2:P$51,'BS-KH26-KhanhNga'!$A$2:$A$51,'Consol BS-DTRG'!$A87)</f>
        <v>0</v>
      </c>
      <c r="BU87" s="15">
        <f>SUMIFS('BS-KH26-KhanhNga'!Q$2:Q$51,'BS-KH26-KhanhNga'!$A$2:$A$51,'Consol BS-DTRG'!$A87)</f>
        <v>0</v>
      </c>
      <c r="BV87" s="15">
        <f>SUMIFS('BS-KH26-KhanhNga'!R$2:R$51,'BS-KH26-KhanhNga'!$A$2:$A$51,'Consol BS-DTRG'!$A87)</f>
        <v>0</v>
      </c>
      <c r="BW87" s="15">
        <f>SUMIFS('BS-KH26-KhanhNga'!S$2:S$51,'BS-KH26-KhanhNga'!$A$2:$A$51,'Consol BS-DTRG'!$A87)</f>
        <v>0</v>
      </c>
      <c r="BX87" s="15">
        <f>SUMIFS('BS-KH26-KhanhNga'!T$2:T$51,'BS-KH26-KhanhNga'!$A$2:$A$51,'Consol BS-DTRG'!$A87)</f>
        <v>0</v>
      </c>
      <c r="BY87" s="15">
        <f>SUMIFS('BS-KH26-KhanhNga'!U$2:U$51,'BS-KH26-KhanhNga'!$A$2:$A$51,'Consol BS-DTRG'!$A87)</f>
        <v>0</v>
      </c>
      <c r="BZ87" s="15">
        <f>SUMIFS('BS-KH26-KhanhNga'!V$2:V$51,'BS-KH26-KhanhNga'!$A$2:$A$51,'Consol BS-DTRG'!$A87)</f>
        <v>0</v>
      </c>
      <c r="CA87" s="15">
        <f>SUMIFS('BS-KH26-KhanhNga'!W$2:W$51,'BS-KH26-KhanhNga'!$A$2:$A$51,'Consol BS-DTRG'!$A87)</f>
        <v>0</v>
      </c>
      <c r="CB87" s="15">
        <f>SUMIFS('BS-KH26-KhanhNga'!X$2:X$51,'BS-KH26-KhanhNga'!$A$2:$A$51,'Consol BS-DTRG'!$A87)</f>
        <v>0</v>
      </c>
      <c r="CD87" s="15">
        <f>SUMIFS('BS-KH26-DaiLoc'!M$2:M$51,'BS-KH26-DaiLoc'!$A$2:$A$51,'Consol BS-DTRG'!$A87)</f>
        <v>0</v>
      </c>
      <c r="CE87" s="15">
        <f>SUMIFS('BS-KH26-DaiLoc'!N$2:N$51,'BS-KH26-DaiLoc'!$A$2:$A$51,'Consol BS-DTRG'!$A87)</f>
        <v>0</v>
      </c>
      <c r="CF87" s="15">
        <f>SUMIFS('BS-KH26-DaiLoc'!O$2:O$51,'BS-KH26-DaiLoc'!$A$2:$A$51,'Consol BS-DTRG'!$A87)</f>
        <v>0</v>
      </c>
      <c r="CG87" s="15">
        <f>SUMIFS('BS-KH26-DaiLoc'!P$2:P$51,'BS-KH26-DaiLoc'!$A$2:$A$51,'Consol BS-DTRG'!$A87)</f>
        <v>0</v>
      </c>
      <c r="CH87" s="15">
        <f>SUMIFS('BS-KH26-DaiLoc'!Q$2:Q$51,'BS-KH26-DaiLoc'!$A$2:$A$51,'Consol BS-DTRG'!$A87)</f>
        <v>0</v>
      </c>
      <c r="CI87" s="15">
        <f>SUMIFS('BS-KH26-DaiLoc'!R$2:R$51,'BS-KH26-DaiLoc'!$A$2:$A$51,'Consol BS-DTRG'!$A87)</f>
        <v>0</v>
      </c>
      <c r="CJ87" s="15">
        <f>SUMIFS('BS-KH26-DaiLoc'!S$2:S$51,'BS-KH26-DaiLoc'!$A$2:$A$51,'Consol BS-DTRG'!$A87)</f>
        <v>0</v>
      </c>
      <c r="CK87" s="15">
        <f>SUMIFS('BS-KH26-DaiLoc'!T$2:T$51,'BS-KH26-DaiLoc'!$A$2:$A$51,'Consol BS-DTRG'!$A87)</f>
        <v>0</v>
      </c>
      <c r="CL87" s="15">
        <f>SUMIFS('BS-KH26-DaiLoc'!U$2:U$51,'BS-KH26-DaiLoc'!$A$2:$A$51,'Consol BS-DTRG'!$A87)</f>
        <v>0</v>
      </c>
      <c r="CM87" s="15">
        <f>SUMIFS('BS-KH26-DaiLoc'!V$2:V$51,'BS-KH26-DaiLoc'!$A$2:$A$51,'Consol BS-DTRG'!$A87)</f>
        <v>0</v>
      </c>
      <c r="CN87" s="15">
        <f>SUMIFS('BS-KH26-DaiLoc'!W$2:W$51,'BS-KH26-DaiLoc'!$A$2:$A$51,'Consol BS-DTRG'!$A87)</f>
        <v>0</v>
      </c>
      <c r="CO87" s="15">
        <f>SUMIFS('BS-KH26-DaiLoc'!X$2:X$51,'BS-KH26-DaiLoc'!$A$2:$A$51,'Consol BS-DTRG'!$A87)</f>
        <v>0</v>
      </c>
      <c r="CQ87" s="15">
        <v>0</v>
      </c>
      <c r="CR87" s="15">
        <f t="shared" si="669"/>
        <v>0</v>
      </c>
      <c r="CS87" s="15">
        <f t="shared" si="669"/>
        <v>0</v>
      </c>
      <c r="CT87" s="15">
        <f t="shared" si="669"/>
        <v>0</v>
      </c>
      <c r="CU87" s="15">
        <f t="shared" si="669"/>
        <v>0</v>
      </c>
      <c r="CV87" s="15">
        <f t="shared" si="669"/>
        <v>0</v>
      </c>
      <c r="CW87" s="15">
        <f t="shared" si="669"/>
        <v>0</v>
      </c>
      <c r="CX87" s="15">
        <f t="shared" si="669"/>
        <v>0</v>
      </c>
      <c r="CY87" s="15">
        <f t="shared" si="669"/>
        <v>0</v>
      </c>
      <c r="CZ87" s="15">
        <f t="shared" si="669"/>
        <v>0</v>
      </c>
      <c r="DA87" s="15">
        <f t="shared" si="669"/>
        <v>0</v>
      </c>
      <c r="DB87" s="15">
        <f t="shared" si="669"/>
        <v>0</v>
      </c>
    </row>
    <row r="88" spans="1:106" hidden="1" outlineLevel="1">
      <c r="A88" s="633">
        <v>85</v>
      </c>
      <c r="B88" s="625" t="s">
        <v>337</v>
      </c>
      <c r="C88" t="s">
        <v>518</v>
      </c>
      <c r="D88" s="15">
        <f t="shared" si="645"/>
        <v>9132322907</v>
      </c>
      <c r="E88" s="15">
        <f t="shared" si="646"/>
        <v>9132322907</v>
      </c>
      <c r="F88" s="15">
        <f t="shared" si="647"/>
        <v>9132322907</v>
      </c>
      <c r="G88" s="15">
        <f t="shared" si="648"/>
        <v>9132322907</v>
      </c>
      <c r="H88" s="15">
        <f t="shared" si="649"/>
        <v>9132322907</v>
      </c>
      <c r="I88" s="15">
        <f t="shared" si="650"/>
        <v>9132322907</v>
      </c>
      <c r="J88" s="15">
        <f t="shared" si="651"/>
        <v>9132322907</v>
      </c>
      <c r="K88" s="15">
        <f t="shared" si="652"/>
        <v>9132322907</v>
      </c>
      <c r="L88" s="15">
        <f t="shared" si="653"/>
        <v>9132322907</v>
      </c>
      <c r="M88" s="15">
        <f t="shared" si="654"/>
        <v>9132322907</v>
      </c>
      <c r="N88" s="15">
        <f t="shared" si="655"/>
        <v>9132322907</v>
      </c>
      <c r="O88" s="15">
        <f t="shared" si="656"/>
        <v>9132322907</v>
      </c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D88" s="646">
        <f t="shared" si="657"/>
        <v>9132322907</v>
      </c>
      <c r="AE88" s="15">
        <f t="shared" si="658"/>
        <v>9132322907</v>
      </c>
      <c r="AF88" s="15">
        <f t="shared" si="659"/>
        <v>9132322907</v>
      </c>
      <c r="AG88" s="15">
        <f t="shared" si="660"/>
        <v>9132322907</v>
      </c>
      <c r="AH88" s="15">
        <f t="shared" si="661"/>
        <v>9132322907</v>
      </c>
      <c r="AI88" s="15">
        <f t="shared" si="662"/>
        <v>9132322907</v>
      </c>
      <c r="AJ88" s="15">
        <f t="shared" si="663"/>
        <v>9132322907</v>
      </c>
      <c r="AK88" s="15">
        <f t="shared" si="664"/>
        <v>9132322907</v>
      </c>
      <c r="AL88" s="15">
        <f t="shared" si="665"/>
        <v>9132322907</v>
      </c>
      <c r="AM88" s="15">
        <f t="shared" si="666"/>
        <v>9132322907</v>
      </c>
      <c r="AN88" s="15">
        <f t="shared" si="667"/>
        <v>9132322907</v>
      </c>
      <c r="AO88" s="647">
        <f t="shared" si="668"/>
        <v>9132322907</v>
      </c>
      <c r="AQ88" s="15">
        <f>SUMIFS('BS-KH26-DTR'!D$2:D$116,'BS-KH26-DTR'!$B$2:$B$116,$A88)</f>
        <v>9132322907</v>
      </c>
      <c r="AR88" s="15">
        <f>SUMIFS('BS-KH26-DTR'!E$2:E$116,'BS-KH26-DTR'!$B$2:$B$116,$A88)</f>
        <v>9132322907</v>
      </c>
      <c r="AS88" s="15">
        <f>SUMIFS('BS-KH26-DTR'!F$2:F$116,'BS-KH26-DTR'!$B$2:$B$116,$A88)</f>
        <v>9132322907</v>
      </c>
      <c r="AT88" s="15">
        <f>SUMIFS('BS-KH26-DTR'!G$2:G$116,'BS-KH26-DTR'!$B$2:$B$116,$A88)</f>
        <v>9132322907</v>
      </c>
      <c r="AU88" s="15">
        <f>SUMIFS('BS-KH26-DTR'!H$2:H$116,'BS-KH26-DTR'!$B$2:$B$116,$A88)</f>
        <v>9132322907</v>
      </c>
      <c r="AV88" s="15">
        <f>SUMIFS('BS-KH26-DTR'!I$2:I$116,'BS-KH26-DTR'!$B$2:$B$116,$A88)</f>
        <v>9132322907</v>
      </c>
      <c r="AW88" s="15">
        <f>SUMIFS('BS-KH26-DTR'!J$2:J$116,'BS-KH26-DTR'!$B$2:$B$116,$A88)</f>
        <v>9132322907</v>
      </c>
      <c r="AX88" s="15">
        <f>SUMIFS('BS-KH26-DTR'!K$2:K$116,'BS-KH26-DTR'!$B$2:$B$116,$A88)</f>
        <v>9132322907</v>
      </c>
      <c r="AY88" s="15">
        <f>SUMIFS('BS-KH26-DTR'!L$2:L$116,'BS-KH26-DTR'!$B$2:$B$116,$A88)</f>
        <v>9132322907</v>
      </c>
      <c r="AZ88" s="15">
        <f>SUMIFS('BS-KH26-DTR'!M$2:M$116,'BS-KH26-DTR'!$B$2:$B$116,$A88)</f>
        <v>9132322907</v>
      </c>
      <c r="BA88" s="15">
        <f>SUMIFS('BS-KH26-DTR'!N$2:N$116,'BS-KH26-DTR'!$B$2:$B$116,$A88)</f>
        <v>9132322907</v>
      </c>
      <c r="BB88" s="15">
        <f>SUMIFS('BS-KH26-DTR'!O$2:O$116,'BS-KH26-DTR'!$B$2:$B$116,$A88)</f>
        <v>9132322907</v>
      </c>
      <c r="BD88" s="15">
        <f>SUMIFS('BS-KH26-DongLam'!M$2:M$51,'BS-KH26-DongLam'!$A$2:$A$51,'Consol BS-DTRG'!$A88)</f>
        <v>0</v>
      </c>
      <c r="BE88" s="15">
        <f>SUMIFS('BS-KH26-DongLam'!N$2:N$51,'BS-KH26-DongLam'!$A$2:$A$51,'Consol BS-DTRG'!$A88)</f>
        <v>0</v>
      </c>
      <c r="BF88" s="15">
        <f>SUMIFS('BS-KH26-DongLam'!O$2:O$51,'BS-KH26-DongLam'!$A$2:$A$51,'Consol BS-DTRG'!$A88)</f>
        <v>0</v>
      </c>
      <c r="BG88" s="15">
        <f>SUMIFS('BS-KH26-DongLam'!P$2:P$51,'BS-KH26-DongLam'!$A$2:$A$51,'Consol BS-DTRG'!$A88)</f>
        <v>0</v>
      </c>
      <c r="BH88" s="15">
        <f>SUMIFS('BS-KH26-DongLam'!Q$2:Q$51,'BS-KH26-DongLam'!$A$2:$A$51,'Consol BS-DTRG'!$A88)</f>
        <v>0</v>
      </c>
      <c r="BI88" s="15">
        <f>SUMIFS('BS-KH26-DongLam'!R$2:R$51,'BS-KH26-DongLam'!$A$2:$A$51,'Consol BS-DTRG'!$A88)</f>
        <v>0</v>
      </c>
      <c r="BJ88" s="15">
        <f>SUMIFS('BS-KH26-DongLam'!S$2:S$51,'BS-KH26-DongLam'!$A$2:$A$51,'Consol BS-DTRG'!$A88)</f>
        <v>0</v>
      </c>
      <c r="BK88" s="15">
        <f>SUMIFS('BS-KH26-DongLam'!T$2:T$51,'BS-KH26-DongLam'!$A$2:$A$51,'Consol BS-DTRG'!$A88)</f>
        <v>0</v>
      </c>
      <c r="BL88" s="15">
        <f>SUMIFS('BS-KH26-DongLam'!U$2:U$51,'BS-KH26-DongLam'!$A$2:$A$51,'Consol BS-DTRG'!$A88)</f>
        <v>0</v>
      </c>
      <c r="BM88" s="15">
        <f>SUMIFS('BS-KH26-DongLam'!V$2:V$51,'BS-KH26-DongLam'!$A$2:$A$51,'Consol BS-DTRG'!$A88)</f>
        <v>0</v>
      </c>
      <c r="BN88" s="15">
        <f>SUMIFS('BS-KH26-DongLam'!W$2:W$51,'BS-KH26-DongLam'!$A$2:$A$51,'Consol BS-DTRG'!$A88)</f>
        <v>0</v>
      </c>
      <c r="BO88" s="15">
        <f>SUMIFS('BS-KH26-DongLam'!X$2:X$51,'BS-KH26-DongLam'!$A$2:$A$51,'Consol BS-DTRG'!$A88)</f>
        <v>0</v>
      </c>
      <c r="BQ88" s="15">
        <f>SUMIFS('BS-KH26-KhanhNga'!M$2:M$51,'BS-KH26-KhanhNga'!$A$2:$A$51,'Consol BS-DTRG'!$A88)</f>
        <v>0</v>
      </c>
      <c r="BR88" s="15">
        <f>SUMIFS('BS-KH26-KhanhNga'!N$2:N$51,'BS-KH26-KhanhNga'!$A$2:$A$51,'Consol BS-DTRG'!$A88)</f>
        <v>0</v>
      </c>
      <c r="BS88" s="15">
        <f>SUMIFS('BS-KH26-KhanhNga'!O$2:O$51,'BS-KH26-KhanhNga'!$A$2:$A$51,'Consol BS-DTRG'!$A88)</f>
        <v>0</v>
      </c>
      <c r="BT88" s="15">
        <f>SUMIFS('BS-KH26-KhanhNga'!P$2:P$51,'BS-KH26-KhanhNga'!$A$2:$A$51,'Consol BS-DTRG'!$A88)</f>
        <v>0</v>
      </c>
      <c r="BU88" s="15">
        <f>SUMIFS('BS-KH26-KhanhNga'!Q$2:Q$51,'BS-KH26-KhanhNga'!$A$2:$A$51,'Consol BS-DTRG'!$A88)</f>
        <v>0</v>
      </c>
      <c r="BV88" s="15">
        <f>SUMIFS('BS-KH26-KhanhNga'!R$2:R$51,'BS-KH26-KhanhNga'!$A$2:$A$51,'Consol BS-DTRG'!$A88)</f>
        <v>0</v>
      </c>
      <c r="BW88" s="15">
        <f>SUMIFS('BS-KH26-KhanhNga'!S$2:S$51,'BS-KH26-KhanhNga'!$A$2:$A$51,'Consol BS-DTRG'!$A88)</f>
        <v>0</v>
      </c>
      <c r="BX88" s="15">
        <f>SUMIFS('BS-KH26-KhanhNga'!T$2:T$51,'BS-KH26-KhanhNga'!$A$2:$A$51,'Consol BS-DTRG'!$A88)</f>
        <v>0</v>
      </c>
      <c r="BY88" s="15">
        <f>SUMIFS('BS-KH26-KhanhNga'!U$2:U$51,'BS-KH26-KhanhNga'!$A$2:$A$51,'Consol BS-DTRG'!$A88)</f>
        <v>0</v>
      </c>
      <c r="BZ88" s="15">
        <f>SUMIFS('BS-KH26-KhanhNga'!V$2:V$51,'BS-KH26-KhanhNga'!$A$2:$A$51,'Consol BS-DTRG'!$A88)</f>
        <v>0</v>
      </c>
      <c r="CA88" s="15">
        <f>SUMIFS('BS-KH26-KhanhNga'!W$2:W$51,'BS-KH26-KhanhNga'!$A$2:$A$51,'Consol BS-DTRG'!$A88)</f>
        <v>0</v>
      </c>
      <c r="CB88" s="15">
        <f>SUMIFS('BS-KH26-KhanhNga'!X$2:X$51,'BS-KH26-KhanhNga'!$A$2:$A$51,'Consol BS-DTRG'!$A88)</f>
        <v>0</v>
      </c>
      <c r="CD88" s="15">
        <f>SUMIFS('BS-KH26-DaiLoc'!M$2:M$51,'BS-KH26-DaiLoc'!$A$2:$A$51,'Consol BS-DTRG'!$A88)</f>
        <v>0</v>
      </c>
      <c r="CE88" s="15">
        <f>SUMIFS('BS-KH26-DaiLoc'!N$2:N$51,'BS-KH26-DaiLoc'!$A$2:$A$51,'Consol BS-DTRG'!$A88)</f>
        <v>0</v>
      </c>
      <c r="CF88" s="15">
        <f>SUMIFS('BS-KH26-DaiLoc'!O$2:O$51,'BS-KH26-DaiLoc'!$A$2:$A$51,'Consol BS-DTRG'!$A88)</f>
        <v>0</v>
      </c>
      <c r="CG88" s="15">
        <f>SUMIFS('BS-KH26-DaiLoc'!P$2:P$51,'BS-KH26-DaiLoc'!$A$2:$A$51,'Consol BS-DTRG'!$A88)</f>
        <v>0</v>
      </c>
      <c r="CH88" s="15">
        <f>SUMIFS('BS-KH26-DaiLoc'!Q$2:Q$51,'BS-KH26-DaiLoc'!$A$2:$A$51,'Consol BS-DTRG'!$A88)</f>
        <v>0</v>
      </c>
      <c r="CI88" s="15">
        <f>SUMIFS('BS-KH26-DaiLoc'!R$2:R$51,'BS-KH26-DaiLoc'!$A$2:$A$51,'Consol BS-DTRG'!$A88)</f>
        <v>0</v>
      </c>
      <c r="CJ88" s="15">
        <f>SUMIFS('BS-KH26-DaiLoc'!S$2:S$51,'BS-KH26-DaiLoc'!$A$2:$A$51,'Consol BS-DTRG'!$A88)</f>
        <v>0</v>
      </c>
      <c r="CK88" s="15">
        <f>SUMIFS('BS-KH26-DaiLoc'!T$2:T$51,'BS-KH26-DaiLoc'!$A$2:$A$51,'Consol BS-DTRG'!$A88)</f>
        <v>0</v>
      </c>
      <c r="CL88" s="15">
        <f>SUMIFS('BS-KH26-DaiLoc'!U$2:U$51,'BS-KH26-DaiLoc'!$A$2:$A$51,'Consol BS-DTRG'!$A88)</f>
        <v>0</v>
      </c>
      <c r="CM88" s="15">
        <f>SUMIFS('BS-KH26-DaiLoc'!V$2:V$51,'BS-KH26-DaiLoc'!$A$2:$A$51,'Consol BS-DTRG'!$A88)</f>
        <v>0</v>
      </c>
      <c r="CN88" s="15">
        <f>SUMIFS('BS-KH26-DaiLoc'!W$2:W$51,'BS-KH26-DaiLoc'!$A$2:$A$51,'Consol BS-DTRG'!$A88)</f>
        <v>0</v>
      </c>
      <c r="CO88" s="15">
        <f>SUMIFS('BS-KH26-DaiLoc'!X$2:X$51,'BS-KH26-DaiLoc'!$A$2:$A$51,'Consol BS-DTRG'!$A88)</f>
        <v>0</v>
      </c>
      <c r="CQ88" s="15">
        <v>0</v>
      </c>
      <c r="CR88" s="15">
        <f t="shared" si="669"/>
        <v>0</v>
      </c>
      <c r="CS88" s="15">
        <f t="shared" si="669"/>
        <v>0</v>
      </c>
      <c r="CT88" s="15">
        <f t="shared" si="669"/>
        <v>0</v>
      </c>
      <c r="CU88" s="15">
        <f t="shared" si="669"/>
        <v>0</v>
      </c>
      <c r="CV88" s="15">
        <f t="shared" si="669"/>
        <v>0</v>
      </c>
      <c r="CW88" s="15">
        <f t="shared" si="669"/>
        <v>0</v>
      </c>
      <c r="CX88" s="15">
        <f t="shared" si="669"/>
        <v>0</v>
      </c>
      <c r="CY88" s="15">
        <f t="shared" si="669"/>
        <v>0</v>
      </c>
      <c r="CZ88" s="15">
        <f t="shared" si="669"/>
        <v>0</v>
      </c>
      <c r="DA88" s="15">
        <f t="shared" si="669"/>
        <v>0</v>
      </c>
      <c r="DB88" s="15">
        <f t="shared" si="669"/>
        <v>0</v>
      </c>
    </row>
    <row r="89" spans="1:106" hidden="1" outlineLevel="1">
      <c r="A89" s="633">
        <v>86</v>
      </c>
      <c r="B89" s="625" t="s">
        <v>338</v>
      </c>
      <c r="C89" t="s">
        <v>518</v>
      </c>
      <c r="D89" s="15">
        <f t="shared" si="645"/>
        <v>4328544862</v>
      </c>
      <c r="E89" s="15">
        <f t="shared" si="646"/>
        <v>4328544862</v>
      </c>
      <c r="F89" s="15">
        <f t="shared" si="647"/>
        <v>4328544862</v>
      </c>
      <c r="G89" s="15">
        <f t="shared" si="648"/>
        <v>4328544862</v>
      </c>
      <c r="H89" s="15">
        <f t="shared" si="649"/>
        <v>4328544862</v>
      </c>
      <c r="I89" s="15">
        <f t="shared" si="650"/>
        <v>4328544862</v>
      </c>
      <c r="J89" s="15">
        <f t="shared" si="651"/>
        <v>4328544862</v>
      </c>
      <c r="K89" s="15">
        <f t="shared" si="652"/>
        <v>4328544862</v>
      </c>
      <c r="L89" s="15">
        <f t="shared" si="653"/>
        <v>4328544862</v>
      </c>
      <c r="M89" s="15">
        <f t="shared" si="654"/>
        <v>4328544862</v>
      </c>
      <c r="N89" s="15">
        <f t="shared" si="655"/>
        <v>4328544862</v>
      </c>
      <c r="O89" s="15">
        <f t="shared" si="656"/>
        <v>4328544862</v>
      </c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D89" s="646">
        <f t="shared" si="657"/>
        <v>4328544862</v>
      </c>
      <c r="AE89" s="15">
        <f t="shared" si="658"/>
        <v>4328544862</v>
      </c>
      <c r="AF89" s="15">
        <f t="shared" si="659"/>
        <v>4328544862</v>
      </c>
      <c r="AG89" s="15">
        <f t="shared" si="660"/>
        <v>4328544862</v>
      </c>
      <c r="AH89" s="15">
        <f t="shared" si="661"/>
        <v>4328544862</v>
      </c>
      <c r="AI89" s="15">
        <f t="shared" si="662"/>
        <v>4328544862</v>
      </c>
      <c r="AJ89" s="15">
        <f t="shared" si="663"/>
        <v>4328544862</v>
      </c>
      <c r="AK89" s="15">
        <f t="shared" si="664"/>
        <v>4328544862</v>
      </c>
      <c r="AL89" s="15">
        <f t="shared" si="665"/>
        <v>4328544862</v>
      </c>
      <c r="AM89" s="15">
        <f t="shared" si="666"/>
        <v>4328544862</v>
      </c>
      <c r="AN89" s="15">
        <f t="shared" si="667"/>
        <v>4328544862</v>
      </c>
      <c r="AO89" s="647">
        <f t="shared" si="668"/>
        <v>4328544862</v>
      </c>
      <c r="AQ89" s="15">
        <f>SUMIFS('BS-KH26-DTR'!D$2:D$116,'BS-KH26-DTR'!$B$2:$B$116,$A89)</f>
        <v>4328544862</v>
      </c>
      <c r="AR89" s="15">
        <f>SUMIFS('BS-KH26-DTR'!E$2:E$116,'BS-KH26-DTR'!$B$2:$B$116,$A89)</f>
        <v>4328544862</v>
      </c>
      <c r="AS89" s="15">
        <f>SUMIFS('BS-KH26-DTR'!F$2:F$116,'BS-KH26-DTR'!$B$2:$B$116,$A89)</f>
        <v>4328544862</v>
      </c>
      <c r="AT89" s="15">
        <f>SUMIFS('BS-KH26-DTR'!G$2:G$116,'BS-KH26-DTR'!$B$2:$B$116,$A89)</f>
        <v>4328544862</v>
      </c>
      <c r="AU89" s="15">
        <f>SUMIFS('BS-KH26-DTR'!H$2:H$116,'BS-KH26-DTR'!$B$2:$B$116,$A89)</f>
        <v>4328544862</v>
      </c>
      <c r="AV89" s="15">
        <f>SUMIFS('BS-KH26-DTR'!I$2:I$116,'BS-KH26-DTR'!$B$2:$B$116,$A89)</f>
        <v>4328544862</v>
      </c>
      <c r="AW89" s="15">
        <f>SUMIFS('BS-KH26-DTR'!J$2:J$116,'BS-KH26-DTR'!$B$2:$B$116,$A89)</f>
        <v>4328544862</v>
      </c>
      <c r="AX89" s="15">
        <f>SUMIFS('BS-KH26-DTR'!K$2:K$116,'BS-KH26-DTR'!$B$2:$B$116,$A89)</f>
        <v>4328544862</v>
      </c>
      <c r="AY89" s="15">
        <f>SUMIFS('BS-KH26-DTR'!L$2:L$116,'BS-KH26-DTR'!$B$2:$B$116,$A89)</f>
        <v>4328544862</v>
      </c>
      <c r="AZ89" s="15">
        <f>SUMIFS('BS-KH26-DTR'!M$2:M$116,'BS-KH26-DTR'!$B$2:$B$116,$A89)</f>
        <v>4328544862</v>
      </c>
      <c r="BA89" s="15">
        <f>SUMIFS('BS-KH26-DTR'!N$2:N$116,'BS-KH26-DTR'!$B$2:$B$116,$A89)</f>
        <v>4328544862</v>
      </c>
      <c r="BB89" s="15">
        <f>SUMIFS('BS-KH26-DTR'!O$2:O$116,'BS-KH26-DTR'!$B$2:$B$116,$A89)</f>
        <v>4328544862</v>
      </c>
      <c r="BD89" s="15">
        <f>SUMIFS('BS-KH26-DongLam'!M$2:M$51,'BS-KH26-DongLam'!$A$2:$A$51,'Consol BS-DTRG'!$A89)</f>
        <v>0</v>
      </c>
      <c r="BE89" s="15">
        <f>SUMIFS('BS-KH26-DongLam'!N$2:N$51,'BS-KH26-DongLam'!$A$2:$A$51,'Consol BS-DTRG'!$A89)</f>
        <v>0</v>
      </c>
      <c r="BF89" s="15">
        <f>SUMIFS('BS-KH26-DongLam'!O$2:O$51,'BS-KH26-DongLam'!$A$2:$A$51,'Consol BS-DTRG'!$A89)</f>
        <v>0</v>
      </c>
      <c r="BG89" s="15">
        <f>SUMIFS('BS-KH26-DongLam'!P$2:P$51,'BS-KH26-DongLam'!$A$2:$A$51,'Consol BS-DTRG'!$A89)</f>
        <v>0</v>
      </c>
      <c r="BH89" s="15">
        <f>SUMIFS('BS-KH26-DongLam'!Q$2:Q$51,'BS-KH26-DongLam'!$A$2:$A$51,'Consol BS-DTRG'!$A89)</f>
        <v>0</v>
      </c>
      <c r="BI89" s="15">
        <f>SUMIFS('BS-KH26-DongLam'!R$2:R$51,'BS-KH26-DongLam'!$A$2:$A$51,'Consol BS-DTRG'!$A89)</f>
        <v>0</v>
      </c>
      <c r="BJ89" s="15">
        <f>SUMIFS('BS-KH26-DongLam'!S$2:S$51,'BS-KH26-DongLam'!$A$2:$A$51,'Consol BS-DTRG'!$A89)</f>
        <v>0</v>
      </c>
      <c r="BK89" s="15">
        <f>SUMIFS('BS-KH26-DongLam'!T$2:T$51,'BS-KH26-DongLam'!$A$2:$A$51,'Consol BS-DTRG'!$A89)</f>
        <v>0</v>
      </c>
      <c r="BL89" s="15">
        <f>SUMIFS('BS-KH26-DongLam'!U$2:U$51,'BS-KH26-DongLam'!$A$2:$A$51,'Consol BS-DTRG'!$A89)</f>
        <v>0</v>
      </c>
      <c r="BM89" s="15">
        <f>SUMIFS('BS-KH26-DongLam'!V$2:V$51,'BS-KH26-DongLam'!$A$2:$A$51,'Consol BS-DTRG'!$A89)</f>
        <v>0</v>
      </c>
      <c r="BN89" s="15">
        <f>SUMIFS('BS-KH26-DongLam'!W$2:W$51,'BS-KH26-DongLam'!$A$2:$A$51,'Consol BS-DTRG'!$A89)</f>
        <v>0</v>
      </c>
      <c r="BO89" s="15">
        <f>SUMIFS('BS-KH26-DongLam'!X$2:X$51,'BS-KH26-DongLam'!$A$2:$A$51,'Consol BS-DTRG'!$A89)</f>
        <v>0</v>
      </c>
      <c r="BQ89" s="15">
        <f>SUMIFS('BS-KH26-KhanhNga'!M$2:M$51,'BS-KH26-KhanhNga'!$A$2:$A$51,'Consol BS-DTRG'!$A89)</f>
        <v>0</v>
      </c>
      <c r="BR89" s="15">
        <f>SUMIFS('BS-KH26-KhanhNga'!N$2:N$51,'BS-KH26-KhanhNga'!$A$2:$A$51,'Consol BS-DTRG'!$A89)</f>
        <v>0</v>
      </c>
      <c r="BS89" s="15">
        <f>SUMIFS('BS-KH26-KhanhNga'!O$2:O$51,'BS-KH26-KhanhNga'!$A$2:$A$51,'Consol BS-DTRG'!$A89)</f>
        <v>0</v>
      </c>
      <c r="BT89" s="15">
        <f>SUMIFS('BS-KH26-KhanhNga'!P$2:P$51,'BS-KH26-KhanhNga'!$A$2:$A$51,'Consol BS-DTRG'!$A89)</f>
        <v>0</v>
      </c>
      <c r="BU89" s="15">
        <f>SUMIFS('BS-KH26-KhanhNga'!Q$2:Q$51,'BS-KH26-KhanhNga'!$A$2:$A$51,'Consol BS-DTRG'!$A89)</f>
        <v>0</v>
      </c>
      <c r="BV89" s="15">
        <f>SUMIFS('BS-KH26-KhanhNga'!R$2:R$51,'BS-KH26-KhanhNga'!$A$2:$A$51,'Consol BS-DTRG'!$A89)</f>
        <v>0</v>
      </c>
      <c r="BW89" s="15">
        <f>SUMIFS('BS-KH26-KhanhNga'!S$2:S$51,'BS-KH26-KhanhNga'!$A$2:$A$51,'Consol BS-DTRG'!$A89)</f>
        <v>0</v>
      </c>
      <c r="BX89" s="15">
        <f>SUMIFS('BS-KH26-KhanhNga'!T$2:T$51,'BS-KH26-KhanhNga'!$A$2:$A$51,'Consol BS-DTRG'!$A89)</f>
        <v>0</v>
      </c>
      <c r="BY89" s="15">
        <f>SUMIFS('BS-KH26-KhanhNga'!U$2:U$51,'BS-KH26-KhanhNga'!$A$2:$A$51,'Consol BS-DTRG'!$A89)</f>
        <v>0</v>
      </c>
      <c r="BZ89" s="15">
        <f>SUMIFS('BS-KH26-KhanhNga'!V$2:V$51,'BS-KH26-KhanhNga'!$A$2:$A$51,'Consol BS-DTRG'!$A89)</f>
        <v>0</v>
      </c>
      <c r="CA89" s="15">
        <f>SUMIFS('BS-KH26-KhanhNga'!W$2:W$51,'BS-KH26-KhanhNga'!$A$2:$A$51,'Consol BS-DTRG'!$A89)</f>
        <v>0</v>
      </c>
      <c r="CB89" s="15">
        <f>SUMIFS('BS-KH26-KhanhNga'!X$2:X$51,'BS-KH26-KhanhNga'!$A$2:$A$51,'Consol BS-DTRG'!$A89)</f>
        <v>0</v>
      </c>
      <c r="CD89" s="15">
        <f>SUMIFS('BS-KH26-DaiLoc'!M$2:M$51,'BS-KH26-DaiLoc'!$A$2:$A$51,'Consol BS-DTRG'!$A89)</f>
        <v>0</v>
      </c>
      <c r="CE89" s="15">
        <f>SUMIFS('BS-KH26-DaiLoc'!N$2:N$51,'BS-KH26-DaiLoc'!$A$2:$A$51,'Consol BS-DTRG'!$A89)</f>
        <v>0</v>
      </c>
      <c r="CF89" s="15">
        <f>SUMIFS('BS-KH26-DaiLoc'!O$2:O$51,'BS-KH26-DaiLoc'!$A$2:$A$51,'Consol BS-DTRG'!$A89)</f>
        <v>0</v>
      </c>
      <c r="CG89" s="15">
        <f>SUMIFS('BS-KH26-DaiLoc'!P$2:P$51,'BS-KH26-DaiLoc'!$A$2:$A$51,'Consol BS-DTRG'!$A89)</f>
        <v>0</v>
      </c>
      <c r="CH89" s="15">
        <f>SUMIFS('BS-KH26-DaiLoc'!Q$2:Q$51,'BS-KH26-DaiLoc'!$A$2:$A$51,'Consol BS-DTRG'!$A89)</f>
        <v>0</v>
      </c>
      <c r="CI89" s="15">
        <f>SUMIFS('BS-KH26-DaiLoc'!R$2:R$51,'BS-KH26-DaiLoc'!$A$2:$A$51,'Consol BS-DTRG'!$A89)</f>
        <v>0</v>
      </c>
      <c r="CJ89" s="15">
        <f>SUMIFS('BS-KH26-DaiLoc'!S$2:S$51,'BS-KH26-DaiLoc'!$A$2:$A$51,'Consol BS-DTRG'!$A89)</f>
        <v>0</v>
      </c>
      <c r="CK89" s="15">
        <f>SUMIFS('BS-KH26-DaiLoc'!T$2:T$51,'BS-KH26-DaiLoc'!$A$2:$A$51,'Consol BS-DTRG'!$A89)</f>
        <v>0</v>
      </c>
      <c r="CL89" s="15">
        <f>SUMIFS('BS-KH26-DaiLoc'!U$2:U$51,'BS-KH26-DaiLoc'!$A$2:$A$51,'Consol BS-DTRG'!$A89)</f>
        <v>0</v>
      </c>
      <c r="CM89" s="15">
        <f>SUMIFS('BS-KH26-DaiLoc'!V$2:V$51,'BS-KH26-DaiLoc'!$A$2:$A$51,'Consol BS-DTRG'!$A89)</f>
        <v>0</v>
      </c>
      <c r="CN89" s="15">
        <f>SUMIFS('BS-KH26-DaiLoc'!W$2:W$51,'BS-KH26-DaiLoc'!$A$2:$A$51,'Consol BS-DTRG'!$A89)</f>
        <v>0</v>
      </c>
      <c r="CO89" s="15">
        <f>SUMIFS('BS-KH26-DaiLoc'!X$2:X$51,'BS-KH26-DaiLoc'!$A$2:$A$51,'Consol BS-DTRG'!$A89)</f>
        <v>0</v>
      </c>
      <c r="CQ89" s="15">
        <v>0</v>
      </c>
      <c r="CR89" s="15">
        <f t="shared" si="669"/>
        <v>0</v>
      </c>
      <c r="CS89" s="15">
        <f t="shared" si="669"/>
        <v>0</v>
      </c>
      <c r="CT89" s="15">
        <f t="shared" si="669"/>
        <v>0</v>
      </c>
      <c r="CU89" s="15">
        <f t="shared" si="669"/>
        <v>0</v>
      </c>
      <c r="CV89" s="15">
        <f t="shared" si="669"/>
        <v>0</v>
      </c>
      <c r="CW89" s="15">
        <f t="shared" si="669"/>
        <v>0</v>
      </c>
      <c r="CX89" s="15">
        <f t="shared" si="669"/>
        <v>0</v>
      </c>
      <c r="CY89" s="15">
        <f t="shared" si="669"/>
        <v>0</v>
      </c>
      <c r="CZ89" s="15">
        <f t="shared" si="669"/>
        <v>0</v>
      </c>
      <c r="DA89" s="15">
        <f t="shared" si="669"/>
        <v>0</v>
      </c>
      <c r="DB89" s="15">
        <f t="shared" si="669"/>
        <v>0</v>
      </c>
    </row>
    <row r="90" spans="1:106" hidden="1" outlineLevel="1">
      <c r="A90" s="633">
        <v>87</v>
      </c>
      <c r="B90" s="625" t="s">
        <v>339</v>
      </c>
      <c r="C90" t="s">
        <v>518</v>
      </c>
      <c r="D90" s="15">
        <f t="shared" si="645"/>
        <v>0</v>
      </c>
      <c r="E90" s="15">
        <f t="shared" si="646"/>
        <v>0</v>
      </c>
      <c r="F90" s="15">
        <f t="shared" si="647"/>
        <v>0</v>
      </c>
      <c r="G90" s="15">
        <f t="shared" si="648"/>
        <v>0</v>
      </c>
      <c r="H90" s="15">
        <f t="shared" si="649"/>
        <v>0</v>
      </c>
      <c r="I90" s="15">
        <f t="shared" si="650"/>
        <v>0</v>
      </c>
      <c r="J90" s="15">
        <f t="shared" si="651"/>
        <v>0</v>
      </c>
      <c r="K90" s="15">
        <f t="shared" si="652"/>
        <v>0</v>
      </c>
      <c r="L90" s="15">
        <f t="shared" si="653"/>
        <v>0</v>
      </c>
      <c r="M90" s="15">
        <f t="shared" si="654"/>
        <v>0</v>
      </c>
      <c r="N90" s="15">
        <f t="shared" si="655"/>
        <v>0</v>
      </c>
      <c r="O90" s="15">
        <f t="shared" si="656"/>
        <v>0</v>
      </c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D90" s="646">
        <f t="shared" si="657"/>
        <v>0</v>
      </c>
      <c r="AE90" s="15">
        <f t="shared" si="658"/>
        <v>0</v>
      </c>
      <c r="AF90" s="15">
        <f t="shared" si="659"/>
        <v>0</v>
      </c>
      <c r="AG90" s="15">
        <f t="shared" si="660"/>
        <v>0</v>
      </c>
      <c r="AH90" s="15">
        <f t="shared" si="661"/>
        <v>0</v>
      </c>
      <c r="AI90" s="15">
        <f t="shared" si="662"/>
        <v>0</v>
      </c>
      <c r="AJ90" s="15">
        <f t="shared" si="663"/>
        <v>0</v>
      </c>
      <c r="AK90" s="15">
        <f t="shared" si="664"/>
        <v>0</v>
      </c>
      <c r="AL90" s="15">
        <f t="shared" si="665"/>
        <v>0</v>
      </c>
      <c r="AM90" s="15">
        <f t="shared" si="666"/>
        <v>0</v>
      </c>
      <c r="AN90" s="15">
        <f t="shared" si="667"/>
        <v>0</v>
      </c>
      <c r="AO90" s="647">
        <f t="shared" si="668"/>
        <v>0</v>
      </c>
      <c r="AQ90" s="15">
        <f>SUMIFS('BS-KH26-DTR'!D$2:D$116,'BS-KH26-DTR'!$B$2:$B$116,$A90)</f>
        <v>0</v>
      </c>
      <c r="AR90" s="15">
        <f>SUMIFS('BS-KH26-DTR'!E$2:E$116,'BS-KH26-DTR'!$B$2:$B$116,$A90)</f>
        <v>0</v>
      </c>
      <c r="AS90" s="15">
        <f>SUMIFS('BS-KH26-DTR'!F$2:F$116,'BS-KH26-DTR'!$B$2:$B$116,$A90)</f>
        <v>0</v>
      </c>
      <c r="AT90" s="15">
        <f>SUMIFS('BS-KH26-DTR'!G$2:G$116,'BS-KH26-DTR'!$B$2:$B$116,$A90)</f>
        <v>0</v>
      </c>
      <c r="AU90" s="15">
        <f>SUMIFS('BS-KH26-DTR'!H$2:H$116,'BS-KH26-DTR'!$B$2:$B$116,$A90)</f>
        <v>0</v>
      </c>
      <c r="AV90" s="15">
        <f>SUMIFS('BS-KH26-DTR'!I$2:I$116,'BS-KH26-DTR'!$B$2:$B$116,$A90)</f>
        <v>0</v>
      </c>
      <c r="AW90" s="15">
        <f>SUMIFS('BS-KH26-DTR'!J$2:J$116,'BS-KH26-DTR'!$B$2:$B$116,$A90)</f>
        <v>0</v>
      </c>
      <c r="AX90" s="15">
        <f>SUMIFS('BS-KH26-DTR'!K$2:K$116,'BS-KH26-DTR'!$B$2:$B$116,$A90)</f>
        <v>0</v>
      </c>
      <c r="AY90" s="15">
        <f>SUMIFS('BS-KH26-DTR'!L$2:L$116,'BS-KH26-DTR'!$B$2:$B$116,$A90)</f>
        <v>0</v>
      </c>
      <c r="AZ90" s="15">
        <f>SUMIFS('BS-KH26-DTR'!M$2:M$116,'BS-KH26-DTR'!$B$2:$B$116,$A90)</f>
        <v>0</v>
      </c>
      <c r="BA90" s="15">
        <f>SUMIFS('BS-KH26-DTR'!N$2:N$116,'BS-KH26-DTR'!$B$2:$B$116,$A90)</f>
        <v>0</v>
      </c>
      <c r="BB90" s="15">
        <f>SUMIFS('BS-KH26-DTR'!O$2:O$116,'BS-KH26-DTR'!$B$2:$B$116,$A90)</f>
        <v>0</v>
      </c>
      <c r="BD90" s="15">
        <f>SUMIFS('BS-KH26-DongLam'!M$2:M$51,'BS-KH26-DongLam'!$A$2:$A$51,'Consol BS-DTRG'!$A90)</f>
        <v>0</v>
      </c>
      <c r="BE90" s="15">
        <f>SUMIFS('BS-KH26-DongLam'!N$2:N$51,'BS-KH26-DongLam'!$A$2:$A$51,'Consol BS-DTRG'!$A90)</f>
        <v>0</v>
      </c>
      <c r="BF90" s="15">
        <f>SUMIFS('BS-KH26-DongLam'!O$2:O$51,'BS-KH26-DongLam'!$A$2:$A$51,'Consol BS-DTRG'!$A90)</f>
        <v>0</v>
      </c>
      <c r="BG90" s="15">
        <f>SUMIFS('BS-KH26-DongLam'!P$2:P$51,'BS-KH26-DongLam'!$A$2:$A$51,'Consol BS-DTRG'!$A90)</f>
        <v>0</v>
      </c>
      <c r="BH90" s="15">
        <f>SUMIFS('BS-KH26-DongLam'!Q$2:Q$51,'BS-KH26-DongLam'!$A$2:$A$51,'Consol BS-DTRG'!$A90)</f>
        <v>0</v>
      </c>
      <c r="BI90" s="15">
        <f>SUMIFS('BS-KH26-DongLam'!R$2:R$51,'BS-KH26-DongLam'!$A$2:$A$51,'Consol BS-DTRG'!$A90)</f>
        <v>0</v>
      </c>
      <c r="BJ90" s="15">
        <f>SUMIFS('BS-KH26-DongLam'!S$2:S$51,'BS-KH26-DongLam'!$A$2:$A$51,'Consol BS-DTRG'!$A90)</f>
        <v>0</v>
      </c>
      <c r="BK90" s="15">
        <f>SUMIFS('BS-KH26-DongLam'!T$2:T$51,'BS-KH26-DongLam'!$A$2:$A$51,'Consol BS-DTRG'!$A90)</f>
        <v>0</v>
      </c>
      <c r="BL90" s="15">
        <f>SUMIFS('BS-KH26-DongLam'!U$2:U$51,'BS-KH26-DongLam'!$A$2:$A$51,'Consol BS-DTRG'!$A90)</f>
        <v>0</v>
      </c>
      <c r="BM90" s="15">
        <f>SUMIFS('BS-KH26-DongLam'!V$2:V$51,'BS-KH26-DongLam'!$A$2:$A$51,'Consol BS-DTRG'!$A90)</f>
        <v>0</v>
      </c>
      <c r="BN90" s="15">
        <f>SUMIFS('BS-KH26-DongLam'!W$2:W$51,'BS-KH26-DongLam'!$A$2:$A$51,'Consol BS-DTRG'!$A90)</f>
        <v>0</v>
      </c>
      <c r="BO90" s="15">
        <f>SUMIFS('BS-KH26-DongLam'!X$2:X$51,'BS-KH26-DongLam'!$A$2:$A$51,'Consol BS-DTRG'!$A90)</f>
        <v>0</v>
      </c>
      <c r="BQ90" s="15">
        <f>SUMIFS('BS-KH26-KhanhNga'!M$2:M$51,'BS-KH26-KhanhNga'!$A$2:$A$51,'Consol BS-DTRG'!$A90)</f>
        <v>0</v>
      </c>
      <c r="BR90" s="15">
        <f>SUMIFS('BS-KH26-KhanhNga'!N$2:N$51,'BS-KH26-KhanhNga'!$A$2:$A$51,'Consol BS-DTRG'!$A90)</f>
        <v>0</v>
      </c>
      <c r="BS90" s="15">
        <f>SUMIFS('BS-KH26-KhanhNga'!O$2:O$51,'BS-KH26-KhanhNga'!$A$2:$A$51,'Consol BS-DTRG'!$A90)</f>
        <v>0</v>
      </c>
      <c r="BT90" s="15">
        <f>SUMIFS('BS-KH26-KhanhNga'!P$2:P$51,'BS-KH26-KhanhNga'!$A$2:$A$51,'Consol BS-DTRG'!$A90)</f>
        <v>0</v>
      </c>
      <c r="BU90" s="15">
        <f>SUMIFS('BS-KH26-KhanhNga'!Q$2:Q$51,'BS-KH26-KhanhNga'!$A$2:$A$51,'Consol BS-DTRG'!$A90)</f>
        <v>0</v>
      </c>
      <c r="BV90" s="15">
        <f>SUMIFS('BS-KH26-KhanhNga'!R$2:R$51,'BS-KH26-KhanhNga'!$A$2:$A$51,'Consol BS-DTRG'!$A90)</f>
        <v>0</v>
      </c>
      <c r="BW90" s="15">
        <f>SUMIFS('BS-KH26-KhanhNga'!S$2:S$51,'BS-KH26-KhanhNga'!$A$2:$A$51,'Consol BS-DTRG'!$A90)</f>
        <v>0</v>
      </c>
      <c r="BX90" s="15">
        <f>SUMIFS('BS-KH26-KhanhNga'!T$2:T$51,'BS-KH26-KhanhNga'!$A$2:$A$51,'Consol BS-DTRG'!$A90)</f>
        <v>0</v>
      </c>
      <c r="BY90" s="15">
        <f>SUMIFS('BS-KH26-KhanhNga'!U$2:U$51,'BS-KH26-KhanhNga'!$A$2:$A$51,'Consol BS-DTRG'!$A90)</f>
        <v>0</v>
      </c>
      <c r="BZ90" s="15">
        <f>SUMIFS('BS-KH26-KhanhNga'!V$2:V$51,'BS-KH26-KhanhNga'!$A$2:$A$51,'Consol BS-DTRG'!$A90)</f>
        <v>0</v>
      </c>
      <c r="CA90" s="15">
        <f>SUMIFS('BS-KH26-KhanhNga'!W$2:W$51,'BS-KH26-KhanhNga'!$A$2:$A$51,'Consol BS-DTRG'!$A90)</f>
        <v>0</v>
      </c>
      <c r="CB90" s="15">
        <f>SUMIFS('BS-KH26-KhanhNga'!X$2:X$51,'BS-KH26-KhanhNga'!$A$2:$A$51,'Consol BS-DTRG'!$A90)</f>
        <v>0</v>
      </c>
      <c r="CD90" s="15">
        <f>SUMIFS('BS-KH26-DaiLoc'!M$2:M$51,'BS-KH26-DaiLoc'!$A$2:$A$51,'Consol BS-DTRG'!$A90)</f>
        <v>0</v>
      </c>
      <c r="CE90" s="15">
        <f>SUMIFS('BS-KH26-DaiLoc'!N$2:N$51,'BS-KH26-DaiLoc'!$A$2:$A$51,'Consol BS-DTRG'!$A90)</f>
        <v>0</v>
      </c>
      <c r="CF90" s="15">
        <f>SUMIFS('BS-KH26-DaiLoc'!O$2:O$51,'BS-KH26-DaiLoc'!$A$2:$A$51,'Consol BS-DTRG'!$A90)</f>
        <v>0</v>
      </c>
      <c r="CG90" s="15">
        <f>SUMIFS('BS-KH26-DaiLoc'!P$2:P$51,'BS-KH26-DaiLoc'!$A$2:$A$51,'Consol BS-DTRG'!$A90)</f>
        <v>0</v>
      </c>
      <c r="CH90" s="15">
        <f>SUMIFS('BS-KH26-DaiLoc'!Q$2:Q$51,'BS-KH26-DaiLoc'!$A$2:$A$51,'Consol BS-DTRG'!$A90)</f>
        <v>0</v>
      </c>
      <c r="CI90" s="15">
        <f>SUMIFS('BS-KH26-DaiLoc'!R$2:R$51,'BS-KH26-DaiLoc'!$A$2:$A$51,'Consol BS-DTRG'!$A90)</f>
        <v>0</v>
      </c>
      <c r="CJ90" s="15">
        <f>SUMIFS('BS-KH26-DaiLoc'!S$2:S$51,'BS-KH26-DaiLoc'!$A$2:$A$51,'Consol BS-DTRG'!$A90)</f>
        <v>0</v>
      </c>
      <c r="CK90" s="15">
        <f>SUMIFS('BS-KH26-DaiLoc'!T$2:T$51,'BS-KH26-DaiLoc'!$A$2:$A$51,'Consol BS-DTRG'!$A90)</f>
        <v>0</v>
      </c>
      <c r="CL90" s="15">
        <f>SUMIFS('BS-KH26-DaiLoc'!U$2:U$51,'BS-KH26-DaiLoc'!$A$2:$A$51,'Consol BS-DTRG'!$A90)</f>
        <v>0</v>
      </c>
      <c r="CM90" s="15">
        <f>SUMIFS('BS-KH26-DaiLoc'!V$2:V$51,'BS-KH26-DaiLoc'!$A$2:$A$51,'Consol BS-DTRG'!$A90)</f>
        <v>0</v>
      </c>
      <c r="CN90" s="15">
        <f>SUMIFS('BS-KH26-DaiLoc'!W$2:W$51,'BS-KH26-DaiLoc'!$A$2:$A$51,'Consol BS-DTRG'!$A90)</f>
        <v>0</v>
      </c>
      <c r="CO90" s="15">
        <f>SUMIFS('BS-KH26-DaiLoc'!X$2:X$51,'BS-KH26-DaiLoc'!$A$2:$A$51,'Consol BS-DTRG'!$A90)</f>
        <v>0</v>
      </c>
      <c r="CQ90" s="15">
        <v>0</v>
      </c>
      <c r="CR90" s="15">
        <f t="shared" si="669"/>
        <v>0</v>
      </c>
      <c r="CS90" s="15">
        <f t="shared" si="669"/>
        <v>0</v>
      </c>
      <c r="CT90" s="15">
        <f t="shared" si="669"/>
        <v>0</v>
      </c>
      <c r="CU90" s="15">
        <f t="shared" si="669"/>
        <v>0</v>
      </c>
      <c r="CV90" s="15">
        <f t="shared" si="669"/>
        <v>0</v>
      </c>
      <c r="CW90" s="15">
        <f t="shared" si="669"/>
        <v>0</v>
      </c>
      <c r="CX90" s="15">
        <f t="shared" si="669"/>
        <v>0</v>
      </c>
      <c r="CY90" s="15">
        <f t="shared" si="669"/>
        <v>0</v>
      </c>
      <c r="CZ90" s="15">
        <f t="shared" si="669"/>
        <v>0</v>
      </c>
      <c r="DA90" s="15">
        <f t="shared" si="669"/>
        <v>0</v>
      </c>
      <c r="DB90" s="15">
        <f t="shared" si="669"/>
        <v>0</v>
      </c>
    </row>
    <row r="91" spans="1:106" hidden="1" outlineLevel="1">
      <c r="A91" s="633">
        <v>88</v>
      </c>
      <c r="B91" s="625" t="s">
        <v>340</v>
      </c>
      <c r="C91" t="s">
        <v>518</v>
      </c>
      <c r="D91" s="15">
        <f t="shared" si="645"/>
        <v>0</v>
      </c>
      <c r="E91" s="15">
        <f t="shared" si="646"/>
        <v>0</v>
      </c>
      <c r="F91" s="15">
        <f t="shared" si="647"/>
        <v>0</v>
      </c>
      <c r="G91" s="15">
        <f t="shared" si="648"/>
        <v>0</v>
      </c>
      <c r="H91" s="15">
        <f t="shared" si="649"/>
        <v>0</v>
      </c>
      <c r="I91" s="15">
        <f t="shared" si="650"/>
        <v>0</v>
      </c>
      <c r="J91" s="15">
        <f t="shared" si="651"/>
        <v>0</v>
      </c>
      <c r="K91" s="15">
        <f t="shared" si="652"/>
        <v>0</v>
      </c>
      <c r="L91" s="15">
        <f t="shared" si="653"/>
        <v>0</v>
      </c>
      <c r="M91" s="15">
        <f t="shared" si="654"/>
        <v>0</v>
      </c>
      <c r="N91" s="15">
        <f t="shared" si="655"/>
        <v>0</v>
      </c>
      <c r="O91" s="15">
        <f t="shared" si="656"/>
        <v>0</v>
      </c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D91" s="646">
        <f t="shared" si="657"/>
        <v>0</v>
      </c>
      <c r="AE91" s="15">
        <f t="shared" si="658"/>
        <v>0</v>
      </c>
      <c r="AF91" s="15">
        <f t="shared" si="659"/>
        <v>0</v>
      </c>
      <c r="AG91" s="15">
        <f t="shared" si="660"/>
        <v>0</v>
      </c>
      <c r="AH91" s="15">
        <f t="shared" si="661"/>
        <v>0</v>
      </c>
      <c r="AI91" s="15">
        <f t="shared" si="662"/>
        <v>0</v>
      </c>
      <c r="AJ91" s="15">
        <f t="shared" si="663"/>
        <v>0</v>
      </c>
      <c r="AK91" s="15">
        <f t="shared" si="664"/>
        <v>0</v>
      </c>
      <c r="AL91" s="15">
        <f t="shared" si="665"/>
        <v>0</v>
      </c>
      <c r="AM91" s="15">
        <f t="shared" si="666"/>
        <v>0</v>
      </c>
      <c r="AN91" s="15">
        <f t="shared" si="667"/>
        <v>0</v>
      </c>
      <c r="AO91" s="647">
        <f t="shared" si="668"/>
        <v>0</v>
      </c>
      <c r="AQ91" s="15">
        <f>SUMIFS('BS-KH26-DTR'!D$2:D$116,'BS-KH26-DTR'!$B$2:$B$116,$A91)</f>
        <v>0</v>
      </c>
      <c r="AR91" s="15">
        <f>SUMIFS('BS-KH26-DTR'!E$2:E$116,'BS-KH26-DTR'!$B$2:$B$116,$A91)</f>
        <v>0</v>
      </c>
      <c r="AS91" s="15">
        <f>SUMIFS('BS-KH26-DTR'!F$2:F$116,'BS-KH26-DTR'!$B$2:$B$116,$A91)</f>
        <v>0</v>
      </c>
      <c r="AT91" s="15">
        <f>SUMIFS('BS-KH26-DTR'!G$2:G$116,'BS-KH26-DTR'!$B$2:$B$116,$A91)</f>
        <v>0</v>
      </c>
      <c r="AU91" s="15">
        <f>SUMIFS('BS-KH26-DTR'!H$2:H$116,'BS-KH26-DTR'!$B$2:$B$116,$A91)</f>
        <v>0</v>
      </c>
      <c r="AV91" s="15">
        <f>SUMIFS('BS-KH26-DTR'!I$2:I$116,'BS-KH26-DTR'!$B$2:$B$116,$A91)</f>
        <v>0</v>
      </c>
      <c r="AW91" s="15">
        <f>SUMIFS('BS-KH26-DTR'!J$2:J$116,'BS-KH26-DTR'!$B$2:$B$116,$A91)</f>
        <v>0</v>
      </c>
      <c r="AX91" s="15">
        <f>SUMIFS('BS-KH26-DTR'!K$2:K$116,'BS-KH26-DTR'!$B$2:$B$116,$A91)</f>
        <v>0</v>
      </c>
      <c r="AY91" s="15">
        <f>SUMIFS('BS-KH26-DTR'!L$2:L$116,'BS-KH26-DTR'!$B$2:$B$116,$A91)</f>
        <v>0</v>
      </c>
      <c r="AZ91" s="15">
        <f>SUMIFS('BS-KH26-DTR'!M$2:M$116,'BS-KH26-DTR'!$B$2:$B$116,$A91)</f>
        <v>0</v>
      </c>
      <c r="BA91" s="15">
        <f>SUMIFS('BS-KH26-DTR'!N$2:N$116,'BS-KH26-DTR'!$B$2:$B$116,$A91)</f>
        <v>0</v>
      </c>
      <c r="BB91" s="15">
        <f>SUMIFS('BS-KH26-DTR'!O$2:O$116,'BS-KH26-DTR'!$B$2:$B$116,$A91)</f>
        <v>0</v>
      </c>
      <c r="BD91" s="15">
        <f>SUMIFS('BS-KH26-DongLam'!M$2:M$51,'BS-KH26-DongLam'!$A$2:$A$51,'Consol BS-DTRG'!$A91)</f>
        <v>0</v>
      </c>
      <c r="BE91" s="15">
        <f>SUMIFS('BS-KH26-DongLam'!N$2:N$51,'BS-KH26-DongLam'!$A$2:$A$51,'Consol BS-DTRG'!$A91)</f>
        <v>0</v>
      </c>
      <c r="BF91" s="15">
        <f>SUMIFS('BS-KH26-DongLam'!O$2:O$51,'BS-KH26-DongLam'!$A$2:$A$51,'Consol BS-DTRG'!$A91)</f>
        <v>0</v>
      </c>
      <c r="BG91" s="15">
        <f>SUMIFS('BS-KH26-DongLam'!P$2:P$51,'BS-KH26-DongLam'!$A$2:$A$51,'Consol BS-DTRG'!$A91)</f>
        <v>0</v>
      </c>
      <c r="BH91" s="15">
        <f>SUMIFS('BS-KH26-DongLam'!Q$2:Q$51,'BS-KH26-DongLam'!$A$2:$A$51,'Consol BS-DTRG'!$A91)</f>
        <v>0</v>
      </c>
      <c r="BI91" s="15">
        <f>SUMIFS('BS-KH26-DongLam'!R$2:R$51,'BS-KH26-DongLam'!$A$2:$A$51,'Consol BS-DTRG'!$A91)</f>
        <v>0</v>
      </c>
      <c r="BJ91" s="15">
        <f>SUMIFS('BS-KH26-DongLam'!S$2:S$51,'BS-KH26-DongLam'!$A$2:$A$51,'Consol BS-DTRG'!$A91)</f>
        <v>0</v>
      </c>
      <c r="BK91" s="15">
        <f>SUMIFS('BS-KH26-DongLam'!T$2:T$51,'BS-KH26-DongLam'!$A$2:$A$51,'Consol BS-DTRG'!$A91)</f>
        <v>0</v>
      </c>
      <c r="BL91" s="15">
        <f>SUMIFS('BS-KH26-DongLam'!U$2:U$51,'BS-KH26-DongLam'!$A$2:$A$51,'Consol BS-DTRG'!$A91)</f>
        <v>0</v>
      </c>
      <c r="BM91" s="15">
        <f>SUMIFS('BS-KH26-DongLam'!V$2:V$51,'BS-KH26-DongLam'!$A$2:$A$51,'Consol BS-DTRG'!$A91)</f>
        <v>0</v>
      </c>
      <c r="BN91" s="15">
        <f>SUMIFS('BS-KH26-DongLam'!W$2:W$51,'BS-KH26-DongLam'!$A$2:$A$51,'Consol BS-DTRG'!$A91)</f>
        <v>0</v>
      </c>
      <c r="BO91" s="15">
        <f>SUMIFS('BS-KH26-DongLam'!X$2:X$51,'BS-KH26-DongLam'!$A$2:$A$51,'Consol BS-DTRG'!$A91)</f>
        <v>0</v>
      </c>
      <c r="BQ91" s="15">
        <f>SUMIFS('BS-KH26-KhanhNga'!M$2:M$51,'BS-KH26-KhanhNga'!$A$2:$A$51,'Consol BS-DTRG'!$A91)</f>
        <v>0</v>
      </c>
      <c r="BR91" s="15">
        <f>SUMIFS('BS-KH26-KhanhNga'!N$2:N$51,'BS-KH26-KhanhNga'!$A$2:$A$51,'Consol BS-DTRG'!$A91)</f>
        <v>0</v>
      </c>
      <c r="BS91" s="15">
        <f>SUMIFS('BS-KH26-KhanhNga'!O$2:O$51,'BS-KH26-KhanhNga'!$A$2:$A$51,'Consol BS-DTRG'!$A91)</f>
        <v>0</v>
      </c>
      <c r="BT91" s="15">
        <f>SUMIFS('BS-KH26-KhanhNga'!P$2:P$51,'BS-KH26-KhanhNga'!$A$2:$A$51,'Consol BS-DTRG'!$A91)</f>
        <v>0</v>
      </c>
      <c r="BU91" s="15">
        <f>SUMIFS('BS-KH26-KhanhNga'!Q$2:Q$51,'BS-KH26-KhanhNga'!$A$2:$A$51,'Consol BS-DTRG'!$A91)</f>
        <v>0</v>
      </c>
      <c r="BV91" s="15">
        <f>SUMIFS('BS-KH26-KhanhNga'!R$2:R$51,'BS-KH26-KhanhNga'!$A$2:$A$51,'Consol BS-DTRG'!$A91)</f>
        <v>0</v>
      </c>
      <c r="BW91" s="15">
        <f>SUMIFS('BS-KH26-KhanhNga'!S$2:S$51,'BS-KH26-KhanhNga'!$A$2:$A$51,'Consol BS-DTRG'!$A91)</f>
        <v>0</v>
      </c>
      <c r="BX91" s="15">
        <f>SUMIFS('BS-KH26-KhanhNga'!T$2:T$51,'BS-KH26-KhanhNga'!$A$2:$A$51,'Consol BS-DTRG'!$A91)</f>
        <v>0</v>
      </c>
      <c r="BY91" s="15">
        <f>SUMIFS('BS-KH26-KhanhNga'!U$2:U$51,'BS-KH26-KhanhNga'!$A$2:$A$51,'Consol BS-DTRG'!$A91)</f>
        <v>0</v>
      </c>
      <c r="BZ91" s="15">
        <f>SUMIFS('BS-KH26-KhanhNga'!V$2:V$51,'BS-KH26-KhanhNga'!$A$2:$A$51,'Consol BS-DTRG'!$A91)</f>
        <v>0</v>
      </c>
      <c r="CA91" s="15">
        <f>SUMIFS('BS-KH26-KhanhNga'!W$2:W$51,'BS-KH26-KhanhNga'!$A$2:$A$51,'Consol BS-DTRG'!$A91)</f>
        <v>0</v>
      </c>
      <c r="CB91" s="15">
        <f>SUMIFS('BS-KH26-KhanhNga'!X$2:X$51,'BS-KH26-KhanhNga'!$A$2:$A$51,'Consol BS-DTRG'!$A91)</f>
        <v>0</v>
      </c>
      <c r="CD91" s="15">
        <f>SUMIFS('BS-KH26-DaiLoc'!M$2:M$51,'BS-KH26-DaiLoc'!$A$2:$A$51,'Consol BS-DTRG'!$A91)</f>
        <v>0</v>
      </c>
      <c r="CE91" s="15">
        <f>SUMIFS('BS-KH26-DaiLoc'!N$2:N$51,'BS-KH26-DaiLoc'!$A$2:$A$51,'Consol BS-DTRG'!$A91)</f>
        <v>0</v>
      </c>
      <c r="CF91" s="15">
        <f>SUMIFS('BS-KH26-DaiLoc'!O$2:O$51,'BS-KH26-DaiLoc'!$A$2:$A$51,'Consol BS-DTRG'!$A91)</f>
        <v>0</v>
      </c>
      <c r="CG91" s="15">
        <f>SUMIFS('BS-KH26-DaiLoc'!P$2:P$51,'BS-KH26-DaiLoc'!$A$2:$A$51,'Consol BS-DTRG'!$A91)</f>
        <v>0</v>
      </c>
      <c r="CH91" s="15">
        <f>SUMIFS('BS-KH26-DaiLoc'!Q$2:Q$51,'BS-KH26-DaiLoc'!$A$2:$A$51,'Consol BS-DTRG'!$A91)</f>
        <v>0</v>
      </c>
      <c r="CI91" s="15">
        <f>SUMIFS('BS-KH26-DaiLoc'!R$2:R$51,'BS-KH26-DaiLoc'!$A$2:$A$51,'Consol BS-DTRG'!$A91)</f>
        <v>0</v>
      </c>
      <c r="CJ91" s="15">
        <f>SUMIFS('BS-KH26-DaiLoc'!S$2:S$51,'BS-KH26-DaiLoc'!$A$2:$A$51,'Consol BS-DTRG'!$A91)</f>
        <v>0</v>
      </c>
      <c r="CK91" s="15">
        <f>SUMIFS('BS-KH26-DaiLoc'!T$2:T$51,'BS-KH26-DaiLoc'!$A$2:$A$51,'Consol BS-DTRG'!$A91)</f>
        <v>0</v>
      </c>
      <c r="CL91" s="15">
        <f>SUMIFS('BS-KH26-DaiLoc'!U$2:U$51,'BS-KH26-DaiLoc'!$A$2:$A$51,'Consol BS-DTRG'!$A91)</f>
        <v>0</v>
      </c>
      <c r="CM91" s="15">
        <f>SUMIFS('BS-KH26-DaiLoc'!V$2:V$51,'BS-KH26-DaiLoc'!$A$2:$A$51,'Consol BS-DTRG'!$A91)</f>
        <v>0</v>
      </c>
      <c r="CN91" s="15">
        <f>SUMIFS('BS-KH26-DaiLoc'!W$2:W$51,'BS-KH26-DaiLoc'!$A$2:$A$51,'Consol BS-DTRG'!$A91)</f>
        <v>0</v>
      </c>
      <c r="CO91" s="15">
        <f>SUMIFS('BS-KH26-DaiLoc'!X$2:X$51,'BS-KH26-DaiLoc'!$A$2:$A$51,'Consol BS-DTRG'!$A91)</f>
        <v>0</v>
      </c>
      <c r="CQ91" s="15">
        <v>0</v>
      </c>
      <c r="CR91" s="15">
        <f t="shared" si="669"/>
        <v>0</v>
      </c>
      <c r="CS91" s="15">
        <f t="shared" si="669"/>
        <v>0</v>
      </c>
      <c r="CT91" s="15">
        <f t="shared" si="669"/>
        <v>0</v>
      </c>
      <c r="CU91" s="15">
        <f t="shared" si="669"/>
        <v>0</v>
      </c>
      <c r="CV91" s="15">
        <f t="shared" si="669"/>
        <v>0</v>
      </c>
      <c r="CW91" s="15">
        <f t="shared" si="669"/>
        <v>0</v>
      </c>
      <c r="CX91" s="15">
        <f t="shared" si="669"/>
        <v>0</v>
      </c>
      <c r="CY91" s="15">
        <f t="shared" si="669"/>
        <v>0</v>
      </c>
      <c r="CZ91" s="15">
        <f t="shared" si="669"/>
        <v>0</v>
      </c>
      <c r="DA91" s="15">
        <f t="shared" si="669"/>
        <v>0</v>
      </c>
      <c r="DB91" s="15">
        <f t="shared" si="669"/>
        <v>0</v>
      </c>
    </row>
    <row r="92" spans="1:106" hidden="1" outlineLevel="1">
      <c r="A92" s="633">
        <v>89</v>
      </c>
      <c r="B92" s="625" t="s">
        <v>341</v>
      </c>
      <c r="C92" t="s">
        <v>518</v>
      </c>
      <c r="D92" s="15">
        <f t="shared" si="645"/>
        <v>0</v>
      </c>
      <c r="E92" s="15">
        <f t="shared" si="646"/>
        <v>0</v>
      </c>
      <c r="F92" s="15">
        <f t="shared" si="647"/>
        <v>0</v>
      </c>
      <c r="G92" s="15">
        <f t="shared" si="648"/>
        <v>0</v>
      </c>
      <c r="H92" s="15">
        <f t="shared" si="649"/>
        <v>0</v>
      </c>
      <c r="I92" s="15">
        <f t="shared" si="650"/>
        <v>0</v>
      </c>
      <c r="J92" s="15">
        <f t="shared" si="651"/>
        <v>0</v>
      </c>
      <c r="K92" s="15">
        <f t="shared" si="652"/>
        <v>0</v>
      </c>
      <c r="L92" s="15">
        <f t="shared" si="653"/>
        <v>0</v>
      </c>
      <c r="M92" s="15">
        <f t="shared" si="654"/>
        <v>0</v>
      </c>
      <c r="N92" s="15">
        <f t="shared" si="655"/>
        <v>0</v>
      </c>
      <c r="O92" s="15">
        <f t="shared" si="656"/>
        <v>0</v>
      </c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D92" s="646">
        <f t="shared" si="657"/>
        <v>0</v>
      </c>
      <c r="AE92" s="15">
        <f t="shared" si="658"/>
        <v>0</v>
      </c>
      <c r="AF92" s="15">
        <f t="shared" si="659"/>
        <v>0</v>
      </c>
      <c r="AG92" s="15">
        <f t="shared" si="660"/>
        <v>0</v>
      </c>
      <c r="AH92" s="15">
        <f t="shared" si="661"/>
        <v>0</v>
      </c>
      <c r="AI92" s="15">
        <f t="shared" si="662"/>
        <v>0</v>
      </c>
      <c r="AJ92" s="15">
        <f t="shared" si="663"/>
        <v>0</v>
      </c>
      <c r="AK92" s="15">
        <f t="shared" si="664"/>
        <v>0</v>
      </c>
      <c r="AL92" s="15">
        <f t="shared" si="665"/>
        <v>0</v>
      </c>
      <c r="AM92" s="15">
        <f t="shared" si="666"/>
        <v>0</v>
      </c>
      <c r="AN92" s="15">
        <f t="shared" si="667"/>
        <v>0</v>
      </c>
      <c r="AO92" s="647">
        <f t="shared" si="668"/>
        <v>0</v>
      </c>
      <c r="AQ92" s="15">
        <f>SUMIFS('BS-KH26-DTR'!D$2:D$116,'BS-KH26-DTR'!$B$2:$B$116,$A92)</f>
        <v>0</v>
      </c>
      <c r="AR92" s="15">
        <f>SUMIFS('BS-KH26-DTR'!E$2:E$116,'BS-KH26-DTR'!$B$2:$B$116,$A92)</f>
        <v>0</v>
      </c>
      <c r="AS92" s="15">
        <f>SUMIFS('BS-KH26-DTR'!F$2:F$116,'BS-KH26-DTR'!$B$2:$B$116,$A92)</f>
        <v>0</v>
      </c>
      <c r="AT92" s="15">
        <f>SUMIFS('BS-KH26-DTR'!G$2:G$116,'BS-KH26-DTR'!$B$2:$B$116,$A92)</f>
        <v>0</v>
      </c>
      <c r="AU92" s="15">
        <f>SUMIFS('BS-KH26-DTR'!H$2:H$116,'BS-KH26-DTR'!$B$2:$B$116,$A92)</f>
        <v>0</v>
      </c>
      <c r="AV92" s="15">
        <f>SUMIFS('BS-KH26-DTR'!I$2:I$116,'BS-KH26-DTR'!$B$2:$B$116,$A92)</f>
        <v>0</v>
      </c>
      <c r="AW92" s="15">
        <f>SUMIFS('BS-KH26-DTR'!J$2:J$116,'BS-KH26-DTR'!$B$2:$B$116,$A92)</f>
        <v>0</v>
      </c>
      <c r="AX92" s="15">
        <f>SUMIFS('BS-KH26-DTR'!K$2:K$116,'BS-KH26-DTR'!$B$2:$B$116,$A92)</f>
        <v>0</v>
      </c>
      <c r="AY92" s="15">
        <f>SUMIFS('BS-KH26-DTR'!L$2:L$116,'BS-KH26-DTR'!$B$2:$B$116,$A92)</f>
        <v>0</v>
      </c>
      <c r="AZ92" s="15">
        <f>SUMIFS('BS-KH26-DTR'!M$2:M$116,'BS-KH26-DTR'!$B$2:$B$116,$A92)</f>
        <v>0</v>
      </c>
      <c r="BA92" s="15">
        <f>SUMIFS('BS-KH26-DTR'!N$2:N$116,'BS-KH26-DTR'!$B$2:$B$116,$A92)</f>
        <v>0</v>
      </c>
      <c r="BB92" s="15">
        <f>SUMIFS('BS-KH26-DTR'!O$2:O$116,'BS-KH26-DTR'!$B$2:$B$116,$A92)</f>
        <v>0</v>
      </c>
      <c r="BD92" s="15">
        <f>SUMIFS('BS-KH26-DongLam'!M$2:M$51,'BS-KH26-DongLam'!$A$2:$A$51,'Consol BS-DTRG'!$A92)</f>
        <v>0</v>
      </c>
      <c r="BE92" s="15">
        <f>SUMIFS('BS-KH26-DongLam'!N$2:N$51,'BS-KH26-DongLam'!$A$2:$A$51,'Consol BS-DTRG'!$A92)</f>
        <v>0</v>
      </c>
      <c r="BF92" s="15">
        <f>SUMIFS('BS-KH26-DongLam'!O$2:O$51,'BS-KH26-DongLam'!$A$2:$A$51,'Consol BS-DTRG'!$A92)</f>
        <v>0</v>
      </c>
      <c r="BG92" s="15">
        <f>SUMIFS('BS-KH26-DongLam'!P$2:P$51,'BS-KH26-DongLam'!$A$2:$A$51,'Consol BS-DTRG'!$A92)</f>
        <v>0</v>
      </c>
      <c r="BH92" s="15">
        <f>SUMIFS('BS-KH26-DongLam'!Q$2:Q$51,'BS-KH26-DongLam'!$A$2:$A$51,'Consol BS-DTRG'!$A92)</f>
        <v>0</v>
      </c>
      <c r="BI92" s="15">
        <f>SUMIFS('BS-KH26-DongLam'!R$2:R$51,'BS-KH26-DongLam'!$A$2:$A$51,'Consol BS-DTRG'!$A92)</f>
        <v>0</v>
      </c>
      <c r="BJ92" s="15">
        <f>SUMIFS('BS-KH26-DongLam'!S$2:S$51,'BS-KH26-DongLam'!$A$2:$A$51,'Consol BS-DTRG'!$A92)</f>
        <v>0</v>
      </c>
      <c r="BK92" s="15">
        <f>SUMIFS('BS-KH26-DongLam'!T$2:T$51,'BS-KH26-DongLam'!$A$2:$A$51,'Consol BS-DTRG'!$A92)</f>
        <v>0</v>
      </c>
      <c r="BL92" s="15">
        <f>SUMIFS('BS-KH26-DongLam'!U$2:U$51,'BS-KH26-DongLam'!$A$2:$A$51,'Consol BS-DTRG'!$A92)</f>
        <v>0</v>
      </c>
      <c r="BM92" s="15">
        <f>SUMIFS('BS-KH26-DongLam'!V$2:V$51,'BS-KH26-DongLam'!$A$2:$A$51,'Consol BS-DTRG'!$A92)</f>
        <v>0</v>
      </c>
      <c r="BN92" s="15">
        <f>SUMIFS('BS-KH26-DongLam'!W$2:W$51,'BS-KH26-DongLam'!$A$2:$A$51,'Consol BS-DTRG'!$A92)</f>
        <v>0</v>
      </c>
      <c r="BO92" s="15">
        <f>SUMIFS('BS-KH26-DongLam'!X$2:X$51,'BS-KH26-DongLam'!$A$2:$A$51,'Consol BS-DTRG'!$A92)</f>
        <v>0</v>
      </c>
      <c r="BQ92" s="15">
        <f>SUMIFS('BS-KH26-KhanhNga'!M$2:M$51,'BS-KH26-KhanhNga'!$A$2:$A$51,'Consol BS-DTRG'!$A92)</f>
        <v>0</v>
      </c>
      <c r="BR92" s="15">
        <f>SUMIFS('BS-KH26-KhanhNga'!N$2:N$51,'BS-KH26-KhanhNga'!$A$2:$A$51,'Consol BS-DTRG'!$A92)</f>
        <v>0</v>
      </c>
      <c r="BS92" s="15">
        <f>SUMIFS('BS-KH26-KhanhNga'!O$2:O$51,'BS-KH26-KhanhNga'!$A$2:$A$51,'Consol BS-DTRG'!$A92)</f>
        <v>0</v>
      </c>
      <c r="BT92" s="15">
        <f>SUMIFS('BS-KH26-KhanhNga'!P$2:P$51,'BS-KH26-KhanhNga'!$A$2:$A$51,'Consol BS-DTRG'!$A92)</f>
        <v>0</v>
      </c>
      <c r="BU92" s="15">
        <f>SUMIFS('BS-KH26-KhanhNga'!Q$2:Q$51,'BS-KH26-KhanhNga'!$A$2:$A$51,'Consol BS-DTRG'!$A92)</f>
        <v>0</v>
      </c>
      <c r="BV92" s="15">
        <f>SUMIFS('BS-KH26-KhanhNga'!R$2:R$51,'BS-KH26-KhanhNga'!$A$2:$A$51,'Consol BS-DTRG'!$A92)</f>
        <v>0</v>
      </c>
      <c r="BW92" s="15">
        <f>SUMIFS('BS-KH26-KhanhNga'!S$2:S$51,'BS-KH26-KhanhNga'!$A$2:$A$51,'Consol BS-DTRG'!$A92)</f>
        <v>0</v>
      </c>
      <c r="BX92" s="15">
        <f>SUMIFS('BS-KH26-KhanhNga'!T$2:T$51,'BS-KH26-KhanhNga'!$A$2:$A$51,'Consol BS-DTRG'!$A92)</f>
        <v>0</v>
      </c>
      <c r="BY92" s="15">
        <f>SUMIFS('BS-KH26-KhanhNga'!U$2:U$51,'BS-KH26-KhanhNga'!$A$2:$A$51,'Consol BS-DTRG'!$A92)</f>
        <v>0</v>
      </c>
      <c r="BZ92" s="15">
        <f>SUMIFS('BS-KH26-KhanhNga'!V$2:V$51,'BS-KH26-KhanhNga'!$A$2:$A$51,'Consol BS-DTRG'!$A92)</f>
        <v>0</v>
      </c>
      <c r="CA92" s="15">
        <f>SUMIFS('BS-KH26-KhanhNga'!W$2:W$51,'BS-KH26-KhanhNga'!$A$2:$A$51,'Consol BS-DTRG'!$A92)</f>
        <v>0</v>
      </c>
      <c r="CB92" s="15">
        <f>SUMIFS('BS-KH26-KhanhNga'!X$2:X$51,'BS-KH26-KhanhNga'!$A$2:$A$51,'Consol BS-DTRG'!$A92)</f>
        <v>0</v>
      </c>
      <c r="CD92" s="15">
        <f>SUMIFS('BS-KH26-DaiLoc'!M$2:M$51,'BS-KH26-DaiLoc'!$A$2:$A$51,'Consol BS-DTRG'!$A92)</f>
        <v>0</v>
      </c>
      <c r="CE92" s="15">
        <f>SUMIFS('BS-KH26-DaiLoc'!N$2:N$51,'BS-KH26-DaiLoc'!$A$2:$A$51,'Consol BS-DTRG'!$A92)</f>
        <v>0</v>
      </c>
      <c r="CF92" s="15">
        <f>SUMIFS('BS-KH26-DaiLoc'!O$2:O$51,'BS-KH26-DaiLoc'!$A$2:$A$51,'Consol BS-DTRG'!$A92)</f>
        <v>0</v>
      </c>
      <c r="CG92" s="15">
        <f>SUMIFS('BS-KH26-DaiLoc'!P$2:P$51,'BS-KH26-DaiLoc'!$A$2:$A$51,'Consol BS-DTRG'!$A92)</f>
        <v>0</v>
      </c>
      <c r="CH92" s="15">
        <f>SUMIFS('BS-KH26-DaiLoc'!Q$2:Q$51,'BS-KH26-DaiLoc'!$A$2:$A$51,'Consol BS-DTRG'!$A92)</f>
        <v>0</v>
      </c>
      <c r="CI92" s="15">
        <f>SUMIFS('BS-KH26-DaiLoc'!R$2:R$51,'BS-KH26-DaiLoc'!$A$2:$A$51,'Consol BS-DTRG'!$A92)</f>
        <v>0</v>
      </c>
      <c r="CJ92" s="15">
        <f>SUMIFS('BS-KH26-DaiLoc'!S$2:S$51,'BS-KH26-DaiLoc'!$A$2:$A$51,'Consol BS-DTRG'!$A92)</f>
        <v>0</v>
      </c>
      <c r="CK92" s="15">
        <f>SUMIFS('BS-KH26-DaiLoc'!T$2:T$51,'BS-KH26-DaiLoc'!$A$2:$A$51,'Consol BS-DTRG'!$A92)</f>
        <v>0</v>
      </c>
      <c r="CL92" s="15">
        <f>SUMIFS('BS-KH26-DaiLoc'!U$2:U$51,'BS-KH26-DaiLoc'!$A$2:$A$51,'Consol BS-DTRG'!$A92)</f>
        <v>0</v>
      </c>
      <c r="CM92" s="15">
        <f>SUMIFS('BS-KH26-DaiLoc'!V$2:V$51,'BS-KH26-DaiLoc'!$A$2:$A$51,'Consol BS-DTRG'!$A92)</f>
        <v>0</v>
      </c>
      <c r="CN92" s="15">
        <f>SUMIFS('BS-KH26-DaiLoc'!W$2:W$51,'BS-KH26-DaiLoc'!$A$2:$A$51,'Consol BS-DTRG'!$A92)</f>
        <v>0</v>
      </c>
      <c r="CO92" s="15">
        <f>SUMIFS('BS-KH26-DaiLoc'!X$2:X$51,'BS-KH26-DaiLoc'!$A$2:$A$51,'Consol BS-DTRG'!$A92)</f>
        <v>0</v>
      </c>
      <c r="CQ92" s="15">
        <v>0</v>
      </c>
      <c r="CR92" s="15">
        <f t="shared" si="669"/>
        <v>0</v>
      </c>
      <c r="CS92" s="15">
        <f t="shared" si="669"/>
        <v>0</v>
      </c>
      <c r="CT92" s="15">
        <f t="shared" si="669"/>
        <v>0</v>
      </c>
      <c r="CU92" s="15">
        <f t="shared" si="669"/>
        <v>0</v>
      </c>
      <c r="CV92" s="15">
        <f t="shared" si="669"/>
        <v>0</v>
      </c>
      <c r="CW92" s="15">
        <f t="shared" si="669"/>
        <v>0</v>
      </c>
      <c r="CX92" s="15">
        <f t="shared" si="669"/>
        <v>0</v>
      </c>
      <c r="CY92" s="15">
        <f t="shared" si="669"/>
        <v>0</v>
      </c>
      <c r="CZ92" s="15">
        <f t="shared" si="669"/>
        <v>0</v>
      </c>
      <c r="DA92" s="15">
        <f t="shared" si="669"/>
        <v>0</v>
      </c>
      <c r="DB92" s="15">
        <f t="shared" si="669"/>
        <v>0</v>
      </c>
    </row>
    <row r="93" spans="1:106" hidden="1" outlineLevel="1">
      <c r="A93" s="633">
        <v>90</v>
      </c>
      <c r="B93" s="625" t="s">
        <v>342</v>
      </c>
      <c r="C93" t="s">
        <v>518</v>
      </c>
      <c r="D93" s="15">
        <f t="shared" si="645"/>
        <v>29838477598.575699</v>
      </c>
      <c r="E93" s="15">
        <f t="shared" si="646"/>
        <v>29838477598.575703</v>
      </c>
      <c r="F93" s="15">
        <f t="shared" si="647"/>
        <v>29838477598.575706</v>
      </c>
      <c r="G93" s="15">
        <f t="shared" si="648"/>
        <v>29838477598.575703</v>
      </c>
      <c r="H93" s="15">
        <f t="shared" si="649"/>
        <v>29838477598.575706</v>
      </c>
      <c r="I93" s="15">
        <f t="shared" si="650"/>
        <v>29838477598.575703</v>
      </c>
      <c r="J93" s="15">
        <f t="shared" si="651"/>
        <v>29838477598.575699</v>
      </c>
      <c r="K93" s="15">
        <f t="shared" si="652"/>
        <v>29838477598.575706</v>
      </c>
      <c r="L93" s="15">
        <f t="shared" si="653"/>
        <v>29838477598.575703</v>
      </c>
      <c r="M93" s="15">
        <f t="shared" si="654"/>
        <v>29838477598.575699</v>
      </c>
      <c r="N93" s="15">
        <f t="shared" si="655"/>
        <v>29838477598.575703</v>
      </c>
      <c r="O93" s="15">
        <f t="shared" si="656"/>
        <v>29838477598.575695</v>
      </c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D93" s="646">
        <f t="shared" si="657"/>
        <v>29838477598.575699</v>
      </c>
      <c r="AE93" s="15">
        <f t="shared" si="658"/>
        <v>29838477598.575703</v>
      </c>
      <c r="AF93" s="15">
        <f t="shared" si="659"/>
        <v>29838477598.575706</v>
      </c>
      <c r="AG93" s="15">
        <f t="shared" si="660"/>
        <v>29838477598.575703</v>
      </c>
      <c r="AH93" s="15">
        <f t="shared" si="661"/>
        <v>29838477598.575706</v>
      </c>
      <c r="AI93" s="15">
        <f t="shared" si="662"/>
        <v>29838477598.575703</v>
      </c>
      <c r="AJ93" s="15">
        <f t="shared" si="663"/>
        <v>29838477598.575699</v>
      </c>
      <c r="AK93" s="15">
        <f t="shared" si="664"/>
        <v>29838477598.575706</v>
      </c>
      <c r="AL93" s="15">
        <f t="shared" si="665"/>
        <v>29838477598.575703</v>
      </c>
      <c r="AM93" s="15">
        <f t="shared" si="666"/>
        <v>29838477598.575699</v>
      </c>
      <c r="AN93" s="15">
        <f t="shared" si="667"/>
        <v>29838477598.575703</v>
      </c>
      <c r="AO93" s="647">
        <f t="shared" si="668"/>
        <v>29838477598.575695</v>
      </c>
      <c r="AQ93" s="15">
        <f>SUMIFS('BS-KH26-DTR'!D$2:D$116,'BS-KH26-DTR'!$B$2:$B$116,$A93)</f>
        <v>5090463265</v>
      </c>
      <c r="AR93" s="15">
        <f>SUMIFS('BS-KH26-DTR'!E$2:E$116,'BS-KH26-DTR'!$B$2:$B$116,$A93)</f>
        <v>5090463265</v>
      </c>
      <c r="AS93" s="15">
        <f>SUMIFS('BS-KH26-DTR'!F$2:F$116,'BS-KH26-DTR'!$B$2:$B$116,$A93)</f>
        <v>5090463265</v>
      </c>
      <c r="AT93" s="15">
        <f>SUMIFS('BS-KH26-DTR'!G$2:G$116,'BS-KH26-DTR'!$B$2:$B$116,$A93)</f>
        <v>5090463265</v>
      </c>
      <c r="AU93" s="15">
        <f>SUMIFS('BS-KH26-DTR'!H$2:H$116,'BS-KH26-DTR'!$B$2:$B$116,$A93)</f>
        <v>5090463265</v>
      </c>
      <c r="AV93" s="15">
        <f>SUMIFS('BS-KH26-DTR'!I$2:I$116,'BS-KH26-DTR'!$B$2:$B$116,$A93)</f>
        <v>5090463265</v>
      </c>
      <c r="AW93" s="15">
        <f>SUMIFS('BS-KH26-DTR'!J$2:J$116,'BS-KH26-DTR'!$B$2:$B$116,$A93)</f>
        <v>5090463265</v>
      </c>
      <c r="AX93" s="15">
        <f>SUMIFS('BS-KH26-DTR'!K$2:K$116,'BS-KH26-DTR'!$B$2:$B$116,$A93)</f>
        <v>5090463265</v>
      </c>
      <c r="AY93" s="15">
        <f>SUMIFS('BS-KH26-DTR'!L$2:L$116,'BS-KH26-DTR'!$B$2:$B$116,$A93)</f>
        <v>5090463265</v>
      </c>
      <c r="AZ93" s="15">
        <f>SUMIFS('BS-KH26-DTR'!M$2:M$116,'BS-KH26-DTR'!$B$2:$B$116,$A93)</f>
        <v>5090463265</v>
      </c>
      <c r="BA93" s="15">
        <f>SUMIFS('BS-KH26-DTR'!N$2:N$116,'BS-KH26-DTR'!$B$2:$B$116,$A93)</f>
        <v>5090463265</v>
      </c>
      <c r="BB93" s="15">
        <f>SUMIFS('BS-KH26-DTR'!O$2:O$116,'BS-KH26-DTR'!$B$2:$B$116,$A93)</f>
        <v>5090463265</v>
      </c>
      <c r="BD93" s="15">
        <f>SUMIFS('BS-KH26-DongLam'!M$2:M$51,'BS-KH26-DongLam'!$A$2:$A$51,'Consol BS-DTRG'!$A93)</f>
        <v>0</v>
      </c>
      <c r="BE93" s="15">
        <f>SUMIFS('BS-KH26-DongLam'!N$2:N$51,'BS-KH26-DongLam'!$A$2:$A$51,'Consol BS-DTRG'!$A93)</f>
        <v>0</v>
      </c>
      <c r="BF93" s="15">
        <f>SUMIFS('BS-KH26-DongLam'!O$2:O$51,'BS-KH26-DongLam'!$A$2:$A$51,'Consol BS-DTRG'!$A93)</f>
        <v>0</v>
      </c>
      <c r="BG93" s="15">
        <f>SUMIFS('BS-KH26-DongLam'!P$2:P$51,'BS-KH26-DongLam'!$A$2:$A$51,'Consol BS-DTRG'!$A93)</f>
        <v>0</v>
      </c>
      <c r="BH93" s="15">
        <f>SUMIFS('BS-KH26-DongLam'!Q$2:Q$51,'BS-KH26-DongLam'!$A$2:$A$51,'Consol BS-DTRG'!$A93)</f>
        <v>0</v>
      </c>
      <c r="BI93" s="15">
        <f>SUMIFS('BS-KH26-DongLam'!R$2:R$51,'BS-KH26-DongLam'!$A$2:$A$51,'Consol BS-DTRG'!$A93)</f>
        <v>0</v>
      </c>
      <c r="BJ93" s="15">
        <f>SUMIFS('BS-KH26-DongLam'!S$2:S$51,'BS-KH26-DongLam'!$A$2:$A$51,'Consol BS-DTRG'!$A93)</f>
        <v>0</v>
      </c>
      <c r="BK93" s="15">
        <f>SUMIFS('BS-KH26-DongLam'!T$2:T$51,'BS-KH26-DongLam'!$A$2:$A$51,'Consol BS-DTRG'!$A93)</f>
        <v>0</v>
      </c>
      <c r="BL93" s="15">
        <f>SUMIFS('BS-KH26-DongLam'!U$2:U$51,'BS-KH26-DongLam'!$A$2:$A$51,'Consol BS-DTRG'!$A93)</f>
        <v>0</v>
      </c>
      <c r="BM93" s="15">
        <f>SUMIFS('BS-KH26-DongLam'!V$2:V$51,'BS-KH26-DongLam'!$A$2:$A$51,'Consol BS-DTRG'!$A93)</f>
        <v>0</v>
      </c>
      <c r="BN93" s="15">
        <f>SUMIFS('BS-KH26-DongLam'!W$2:W$51,'BS-KH26-DongLam'!$A$2:$A$51,'Consol BS-DTRG'!$A93)</f>
        <v>0</v>
      </c>
      <c r="BO93" s="15">
        <f>SUMIFS('BS-KH26-DongLam'!X$2:X$51,'BS-KH26-DongLam'!$A$2:$A$51,'Consol BS-DTRG'!$A93)</f>
        <v>0</v>
      </c>
      <c r="BQ93" s="15">
        <f>SUMIFS('BS-KH26-KhanhNga'!M$2:M$51,'BS-KH26-KhanhNga'!$A$2:$A$51,'Consol BS-DTRG'!$A93)</f>
        <v>8486593745.5756989</v>
      </c>
      <c r="BR93" s="15">
        <f>SUMIFS('BS-KH26-KhanhNga'!N$2:N$51,'BS-KH26-KhanhNga'!$A$2:$A$51,'Consol BS-DTRG'!$A93)</f>
        <v>8486593745.5757027</v>
      </c>
      <c r="BS93" s="15">
        <f>SUMIFS('BS-KH26-KhanhNga'!O$2:O$51,'BS-KH26-KhanhNga'!$A$2:$A$51,'Consol BS-DTRG'!$A93)</f>
        <v>8486593745.5757065</v>
      </c>
      <c r="BT93" s="15">
        <f>SUMIFS('BS-KH26-KhanhNga'!P$2:P$51,'BS-KH26-KhanhNga'!$A$2:$A$51,'Consol BS-DTRG'!$A93)</f>
        <v>8486593745.5757027</v>
      </c>
      <c r="BU93" s="15">
        <f>SUMIFS('BS-KH26-KhanhNga'!Q$2:Q$51,'BS-KH26-KhanhNga'!$A$2:$A$51,'Consol BS-DTRG'!$A93)</f>
        <v>8486593745.5757065</v>
      </c>
      <c r="BV93" s="15">
        <f>SUMIFS('BS-KH26-KhanhNga'!R$2:R$51,'BS-KH26-KhanhNga'!$A$2:$A$51,'Consol BS-DTRG'!$A93)</f>
        <v>8486593745.5757027</v>
      </c>
      <c r="BW93" s="15">
        <f>SUMIFS('BS-KH26-KhanhNga'!S$2:S$51,'BS-KH26-KhanhNga'!$A$2:$A$51,'Consol BS-DTRG'!$A93)</f>
        <v>8486593745.5756989</v>
      </c>
      <c r="BX93" s="15">
        <f>SUMIFS('BS-KH26-KhanhNga'!T$2:T$51,'BS-KH26-KhanhNga'!$A$2:$A$51,'Consol BS-DTRG'!$A93)</f>
        <v>8486593745.5757065</v>
      </c>
      <c r="BY93" s="15">
        <f>SUMIFS('BS-KH26-KhanhNga'!U$2:U$51,'BS-KH26-KhanhNga'!$A$2:$A$51,'Consol BS-DTRG'!$A93)</f>
        <v>8486593745.5757027</v>
      </c>
      <c r="BZ93" s="15">
        <f>SUMIFS('BS-KH26-KhanhNga'!V$2:V$51,'BS-KH26-KhanhNga'!$A$2:$A$51,'Consol BS-DTRG'!$A93)</f>
        <v>8486593745.5756989</v>
      </c>
      <c r="CA93" s="15">
        <f>SUMIFS('BS-KH26-KhanhNga'!W$2:W$51,'BS-KH26-KhanhNga'!$A$2:$A$51,'Consol BS-DTRG'!$A93)</f>
        <v>8486593745.5757027</v>
      </c>
      <c r="CB93" s="15">
        <f>SUMIFS('BS-KH26-KhanhNga'!X$2:X$51,'BS-KH26-KhanhNga'!$A$2:$A$51,'Consol BS-DTRG'!$A93)</f>
        <v>8486593745.575695</v>
      </c>
      <c r="CD93" s="15">
        <f>SUMIFS('BS-KH26-DaiLoc'!M$2:M$51,'BS-KH26-DaiLoc'!$A$2:$A$51,'Consol BS-DTRG'!$A93)</f>
        <v>15261420588</v>
      </c>
      <c r="CE93" s="15">
        <f>SUMIFS('BS-KH26-DaiLoc'!N$2:N$51,'BS-KH26-DaiLoc'!$A$2:$A$51,'Consol BS-DTRG'!$A93)</f>
        <v>15261420588</v>
      </c>
      <c r="CF93" s="15">
        <f>SUMIFS('BS-KH26-DaiLoc'!O$2:O$51,'BS-KH26-DaiLoc'!$A$2:$A$51,'Consol BS-DTRG'!$A93)</f>
        <v>15261420588</v>
      </c>
      <c r="CG93" s="15">
        <f>SUMIFS('BS-KH26-DaiLoc'!P$2:P$51,'BS-KH26-DaiLoc'!$A$2:$A$51,'Consol BS-DTRG'!$A93)</f>
        <v>15261420588</v>
      </c>
      <c r="CH93" s="15">
        <f>SUMIFS('BS-KH26-DaiLoc'!Q$2:Q$51,'BS-KH26-DaiLoc'!$A$2:$A$51,'Consol BS-DTRG'!$A93)</f>
        <v>15261420588</v>
      </c>
      <c r="CI93" s="15">
        <f>SUMIFS('BS-KH26-DaiLoc'!R$2:R$51,'BS-KH26-DaiLoc'!$A$2:$A$51,'Consol BS-DTRG'!$A93)</f>
        <v>15261420588</v>
      </c>
      <c r="CJ93" s="15">
        <f>SUMIFS('BS-KH26-DaiLoc'!S$2:S$51,'BS-KH26-DaiLoc'!$A$2:$A$51,'Consol BS-DTRG'!$A93)</f>
        <v>15261420588</v>
      </c>
      <c r="CK93" s="15">
        <f>SUMIFS('BS-KH26-DaiLoc'!T$2:T$51,'BS-KH26-DaiLoc'!$A$2:$A$51,'Consol BS-DTRG'!$A93)</f>
        <v>15261420588</v>
      </c>
      <c r="CL93" s="15">
        <f>SUMIFS('BS-KH26-DaiLoc'!U$2:U$51,'BS-KH26-DaiLoc'!$A$2:$A$51,'Consol BS-DTRG'!$A93)</f>
        <v>15261420588</v>
      </c>
      <c r="CM93" s="15">
        <f>SUMIFS('BS-KH26-DaiLoc'!V$2:V$51,'BS-KH26-DaiLoc'!$A$2:$A$51,'Consol BS-DTRG'!$A93)</f>
        <v>15261420588</v>
      </c>
      <c r="CN93" s="15">
        <f>SUMIFS('BS-KH26-DaiLoc'!W$2:W$51,'BS-KH26-DaiLoc'!$A$2:$A$51,'Consol BS-DTRG'!$A93)</f>
        <v>15261420588</v>
      </c>
      <c r="CO93" s="15">
        <f>SUMIFS('BS-KH26-DaiLoc'!X$2:X$51,'BS-KH26-DaiLoc'!$A$2:$A$51,'Consol BS-DTRG'!$A93)</f>
        <v>15261420588</v>
      </c>
      <c r="CQ93" s="15">
        <v>1000000000</v>
      </c>
      <c r="CR93" s="15">
        <f t="shared" si="669"/>
        <v>1000000000</v>
      </c>
      <c r="CS93" s="15">
        <f t="shared" si="669"/>
        <v>1000000000</v>
      </c>
      <c r="CT93" s="15">
        <f t="shared" si="669"/>
        <v>1000000000</v>
      </c>
      <c r="CU93" s="15">
        <f t="shared" si="669"/>
        <v>1000000000</v>
      </c>
      <c r="CV93" s="15">
        <f t="shared" si="669"/>
        <v>1000000000</v>
      </c>
      <c r="CW93" s="15">
        <f t="shared" si="669"/>
        <v>1000000000</v>
      </c>
      <c r="CX93" s="15">
        <f t="shared" si="669"/>
        <v>1000000000</v>
      </c>
      <c r="CY93" s="15">
        <f t="shared" si="669"/>
        <v>1000000000</v>
      </c>
      <c r="CZ93" s="15">
        <f t="shared" si="669"/>
        <v>1000000000</v>
      </c>
      <c r="DA93" s="15">
        <f t="shared" si="669"/>
        <v>1000000000</v>
      </c>
      <c r="DB93" s="15">
        <f t="shared" si="669"/>
        <v>1000000000</v>
      </c>
    </row>
    <row r="94" spans="1:106" hidden="1" outlineLevel="1">
      <c r="A94" s="633">
        <v>91</v>
      </c>
      <c r="B94" s="625" t="s">
        <v>343</v>
      </c>
      <c r="C94" t="s">
        <v>518</v>
      </c>
      <c r="D94" s="15">
        <f t="shared" si="645"/>
        <v>294078721445</v>
      </c>
      <c r="E94" s="15">
        <f t="shared" si="646"/>
        <v>331627178376</v>
      </c>
      <c r="F94" s="15">
        <f t="shared" si="647"/>
        <v>392636530267</v>
      </c>
      <c r="G94" s="15">
        <f t="shared" si="648"/>
        <v>386819772291</v>
      </c>
      <c r="H94" s="15">
        <f t="shared" si="649"/>
        <v>386642514778</v>
      </c>
      <c r="I94" s="15">
        <f t="shared" si="650"/>
        <v>430042514778</v>
      </c>
      <c r="J94" s="15">
        <f t="shared" si="651"/>
        <v>408942514778</v>
      </c>
      <c r="K94" s="15">
        <f t="shared" si="652"/>
        <v>405942514778</v>
      </c>
      <c r="L94" s="15">
        <f t="shared" si="653"/>
        <v>415942514778</v>
      </c>
      <c r="M94" s="15">
        <f t="shared" si="654"/>
        <v>415942514778</v>
      </c>
      <c r="N94" s="15">
        <f t="shared" si="655"/>
        <v>395942514778</v>
      </c>
      <c r="O94" s="15">
        <f t="shared" si="656"/>
        <v>452925070388.46808</v>
      </c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D94" s="646">
        <f t="shared" si="657"/>
        <v>294078721445</v>
      </c>
      <c r="AE94" s="15">
        <f t="shared" si="658"/>
        <v>331627178376</v>
      </c>
      <c r="AF94" s="15">
        <f t="shared" si="659"/>
        <v>392636530267</v>
      </c>
      <c r="AG94" s="15">
        <f t="shared" si="660"/>
        <v>386819772291</v>
      </c>
      <c r="AH94" s="15">
        <f t="shared" si="661"/>
        <v>386642514778</v>
      </c>
      <c r="AI94" s="15">
        <f t="shared" si="662"/>
        <v>430042514778</v>
      </c>
      <c r="AJ94" s="15">
        <f t="shared" si="663"/>
        <v>408942514778</v>
      </c>
      <c r="AK94" s="15">
        <f t="shared" si="664"/>
        <v>405942514778</v>
      </c>
      <c r="AL94" s="15">
        <f t="shared" si="665"/>
        <v>415942514778</v>
      </c>
      <c r="AM94" s="15">
        <f t="shared" si="666"/>
        <v>415942514778</v>
      </c>
      <c r="AN94" s="15">
        <f t="shared" si="667"/>
        <v>395942514778</v>
      </c>
      <c r="AO94" s="647">
        <f t="shared" si="668"/>
        <v>452925070388.46808</v>
      </c>
      <c r="AQ94" s="15">
        <f>SUMIFS('BS-KH26-DTR'!D$2:D$116,'BS-KH26-DTR'!$B$2:$B$116,$A94)</f>
        <v>294078721445</v>
      </c>
      <c r="AR94" s="15">
        <f>SUMIFS('BS-KH26-DTR'!E$2:E$116,'BS-KH26-DTR'!$B$2:$B$116,$A94)</f>
        <v>331627178376</v>
      </c>
      <c r="AS94" s="15">
        <f>SUMIFS('BS-KH26-DTR'!F$2:F$116,'BS-KH26-DTR'!$B$2:$B$116,$A94)</f>
        <v>392636530267</v>
      </c>
      <c r="AT94" s="15">
        <f>SUMIFS('BS-KH26-DTR'!G$2:G$116,'BS-KH26-DTR'!$B$2:$B$116,$A94)</f>
        <v>386819772291</v>
      </c>
      <c r="AU94" s="15">
        <f>SUMIFS('BS-KH26-DTR'!H$2:H$116,'BS-KH26-DTR'!$B$2:$B$116,$A94)</f>
        <v>386642514778</v>
      </c>
      <c r="AV94" s="15">
        <f>SUMIFS('BS-KH26-DTR'!I$2:I$116,'BS-KH26-DTR'!$B$2:$B$116,$A94)</f>
        <v>430042514778</v>
      </c>
      <c r="AW94" s="15">
        <f>SUMIFS('BS-KH26-DTR'!J$2:J$116,'BS-KH26-DTR'!$B$2:$B$116,$A94)</f>
        <v>408942514778</v>
      </c>
      <c r="AX94" s="15">
        <f>SUMIFS('BS-KH26-DTR'!K$2:K$116,'BS-KH26-DTR'!$B$2:$B$116,$A94)</f>
        <v>405942514778</v>
      </c>
      <c r="AY94" s="15">
        <f>SUMIFS('BS-KH26-DTR'!L$2:L$116,'BS-KH26-DTR'!$B$2:$B$116,$A94)</f>
        <v>415942514778</v>
      </c>
      <c r="AZ94" s="15">
        <f>SUMIFS('BS-KH26-DTR'!M$2:M$116,'BS-KH26-DTR'!$B$2:$B$116,$A94)</f>
        <v>415942514778</v>
      </c>
      <c r="BA94" s="15">
        <f>SUMIFS('BS-KH26-DTR'!N$2:N$116,'BS-KH26-DTR'!$B$2:$B$116,$A94)</f>
        <v>395942514778</v>
      </c>
      <c r="BB94" s="15">
        <f>SUMIFS('BS-KH26-DTR'!O$2:O$116,'BS-KH26-DTR'!$B$2:$B$116,$A94)</f>
        <v>452925070388.46808</v>
      </c>
      <c r="BD94" s="15">
        <f>SUMIFS('BS-KH26-DongLam'!M$2:M$51,'BS-KH26-DongLam'!$A$2:$A$51,'Consol BS-DTRG'!$A94)</f>
        <v>0</v>
      </c>
      <c r="BE94" s="15">
        <f>SUMIFS('BS-KH26-DongLam'!N$2:N$51,'BS-KH26-DongLam'!$A$2:$A$51,'Consol BS-DTRG'!$A94)</f>
        <v>0</v>
      </c>
      <c r="BF94" s="15">
        <f>SUMIFS('BS-KH26-DongLam'!O$2:O$51,'BS-KH26-DongLam'!$A$2:$A$51,'Consol BS-DTRG'!$A94)</f>
        <v>0</v>
      </c>
      <c r="BG94" s="15">
        <f>SUMIFS('BS-KH26-DongLam'!P$2:P$51,'BS-KH26-DongLam'!$A$2:$A$51,'Consol BS-DTRG'!$A94)</f>
        <v>0</v>
      </c>
      <c r="BH94" s="15">
        <f>SUMIFS('BS-KH26-DongLam'!Q$2:Q$51,'BS-KH26-DongLam'!$A$2:$A$51,'Consol BS-DTRG'!$A94)</f>
        <v>0</v>
      </c>
      <c r="BI94" s="15">
        <f>SUMIFS('BS-KH26-DongLam'!R$2:R$51,'BS-KH26-DongLam'!$A$2:$A$51,'Consol BS-DTRG'!$A94)</f>
        <v>0</v>
      </c>
      <c r="BJ94" s="15">
        <f>SUMIFS('BS-KH26-DongLam'!S$2:S$51,'BS-KH26-DongLam'!$A$2:$A$51,'Consol BS-DTRG'!$A94)</f>
        <v>0</v>
      </c>
      <c r="BK94" s="15">
        <f>SUMIFS('BS-KH26-DongLam'!T$2:T$51,'BS-KH26-DongLam'!$A$2:$A$51,'Consol BS-DTRG'!$A94)</f>
        <v>0</v>
      </c>
      <c r="BL94" s="15">
        <f>SUMIFS('BS-KH26-DongLam'!U$2:U$51,'BS-KH26-DongLam'!$A$2:$A$51,'Consol BS-DTRG'!$A94)</f>
        <v>0</v>
      </c>
      <c r="BM94" s="15">
        <f>SUMIFS('BS-KH26-DongLam'!V$2:V$51,'BS-KH26-DongLam'!$A$2:$A$51,'Consol BS-DTRG'!$A94)</f>
        <v>0</v>
      </c>
      <c r="BN94" s="15">
        <f>SUMIFS('BS-KH26-DongLam'!W$2:W$51,'BS-KH26-DongLam'!$A$2:$A$51,'Consol BS-DTRG'!$A94)</f>
        <v>0</v>
      </c>
      <c r="BO94" s="15">
        <f>SUMIFS('BS-KH26-DongLam'!X$2:X$51,'BS-KH26-DongLam'!$A$2:$A$51,'Consol BS-DTRG'!$A94)</f>
        <v>0</v>
      </c>
      <c r="BQ94" s="15">
        <f>SUMIFS('BS-KH26-KhanhNga'!M$2:M$51,'BS-KH26-KhanhNga'!$A$2:$A$51,'Consol BS-DTRG'!$A94)</f>
        <v>0</v>
      </c>
      <c r="BR94" s="15">
        <f>SUMIFS('BS-KH26-KhanhNga'!N$2:N$51,'BS-KH26-KhanhNga'!$A$2:$A$51,'Consol BS-DTRG'!$A94)</f>
        <v>0</v>
      </c>
      <c r="BS94" s="15">
        <f>SUMIFS('BS-KH26-KhanhNga'!O$2:O$51,'BS-KH26-KhanhNga'!$A$2:$A$51,'Consol BS-DTRG'!$A94)</f>
        <v>0</v>
      </c>
      <c r="BT94" s="15">
        <f>SUMIFS('BS-KH26-KhanhNga'!P$2:P$51,'BS-KH26-KhanhNga'!$A$2:$A$51,'Consol BS-DTRG'!$A94)</f>
        <v>0</v>
      </c>
      <c r="BU94" s="15">
        <f>SUMIFS('BS-KH26-KhanhNga'!Q$2:Q$51,'BS-KH26-KhanhNga'!$A$2:$A$51,'Consol BS-DTRG'!$A94)</f>
        <v>0</v>
      </c>
      <c r="BV94" s="15">
        <f>SUMIFS('BS-KH26-KhanhNga'!R$2:R$51,'BS-KH26-KhanhNga'!$A$2:$A$51,'Consol BS-DTRG'!$A94)</f>
        <v>0</v>
      </c>
      <c r="BW94" s="15">
        <f>SUMIFS('BS-KH26-KhanhNga'!S$2:S$51,'BS-KH26-KhanhNga'!$A$2:$A$51,'Consol BS-DTRG'!$A94)</f>
        <v>0</v>
      </c>
      <c r="BX94" s="15">
        <f>SUMIFS('BS-KH26-KhanhNga'!T$2:T$51,'BS-KH26-KhanhNga'!$A$2:$A$51,'Consol BS-DTRG'!$A94)</f>
        <v>0</v>
      </c>
      <c r="BY94" s="15">
        <f>SUMIFS('BS-KH26-KhanhNga'!U$2:U$51,'BS-KH26-KhanhNga'!$A$2:$A$51,'Consol BS-DTRG'!$A94)</f>
        <v>0</v>
      </c>
      <c r="BZ94" s="15">
        <f>SUMIFS('BS-KH26-KhanhNga'!V$2:V$51,'BS-KH26-KhanhNga'!$A$2:$A$51,'Consol BS-DTRG'!$A94)</f>
        <v>0</v>
      </c>
      <c r="CA94" s="15">
        <f>SUMIFS('BS-KH26-KhanhNga'!W$2:W$51,'BS-KH26-KhanhNga'!$A$2:$A$51,'Consol BS-DTRG'!$A94)</f>
        <v>0</v>
      </c>
      <c r="CB94" s="15">
        <f>SUMIFS('BS-KH26-KhanhNga'!X$2:X$51,'BS-KH26-KhanhNga'!$A$2:$A$51,'Consol BS-DTRG'!$A94)</f>
        <v>0</v>
      </c>
      <c r="CD94" s="15">
        <f>SUMIFS('BS-KH26-DaiLoc'!M$2:M$51,'BS-KH26-DaiLoc'!$A$2:$A$51,'Consol BS-DTRG'!$A94)</f>
        <v>0</v>
      </c>
      <c r="CE94" s="15">
        <f>SUMIFS('BS-KH26-DaiLoc'!N$2:N$51,'BS-KH26-DaiLoc'!$A$2:$A$51,'Consol BS-DTRG'!$A94)</f>
        <v>0</v>
      </c>
      <c r="CF94" s="15">
        <f>SUMIFS('BS-KH26-DaiLoc'!O$2:O$51,'BS-KH26-DaiLoc'!$A$2:$A$51,'Consol BS-DTRG'!$A94)</f>
        <v>0</v>
      </c>
      <c r="CG94" s="15">
        <f>SUMIFS('BS-KH26-DaiLoc'!P$2:P$51,'BS-KH26-DaiLoc'!$A$2:$A$51,'Consol BS-DTRG'!$A94)</f>
        <v>0</v>
      </c>
      <c r="CH94" s="15">
        <f>SUMIFS('BS-KH26-DaiLoc'!Q$2:Q$51,'BS-KH26-DaiLoc'!$A$2:$A$51,'Consol BS-DTRG'!$A94)</f>
        <v>0</v>
      </c>
      <c r="CI94" s="15">
        <f>SUMIFS('BS-KH26-DaiLoc'!R$2:R$51,'BS-KH26-DaiLoc'!$A$2:$A$51,'Consol BS-DTRG'!$A94)</f>
        <v>0</v>
      </c>
      <c r="CJ94" s="15">
        <f>SUMIFS('BS-KH26-DaiLoc'!S$2:S$51,'BS-KH26-DaiLoc'!$A$2:$A$51,'Consol BS-DTRG'!$A94)</f>
        <v>0</v>
      </c>
      <c r="CK94" s="15">
        <f>SUMIFS('BS-KH26-DaiLoc'!T$2:T$51,'BS-KH26-DaiLoc'!$A$2:$A$51,'Consol BS-DTRG'!$A94)</f>
        <v>0</v>
      </c>
      <c r="CL94" s="15">
        <f>SUMIFS('BS-KH26-DaiLoc'!U$2:U$51,'BS-KH26-DaiLoc'!$A$2:$A$51,'Consol BS-DTRG'!$A94)</f>
        <v>0</v>
      </c>
      <c r="CM94" s="15">
        <f>SUMIFS('BS-KH26-DaiLoc'!V$2:V$51,'BS-KH26-DaiLoc'!$A$2:$A$51,'Consol BS-DTRG'!$A94)</f>
        <v>0</v>
      </c>
      <c r="CN94" s="15">
        <f>SUMIFS('BS-KH26-DaiLoc'!W$2:W$51,'BS-KH26-DaiLoc'!$A$2:$A$51,'Consol BS-DTRG'!$A94)</f>
        <v>0</v>
      </c>
      <c r="CO94" s="15">
        <f>SUMIFS('BS-KH26-DaiLoc'!X$2:X$51,'BS-KH26-DaiLoc'!$A$2:$A$51,'Consol BS-DTRG'!$A94)</f>
        <v>0</v>
      </c>
      <c r="CQ94" s="15">
        <v>0</v>
      </c>
      <c r="CR94" s="15">
        <f t="shared" si="669"/>
        <v>0</v>
      </c>
      <c r="CS94" s="15">
        <f t="shared" si="669"/>
        <v>0</v>
      </c>
      <c r="CT94" s="15">
        <f t="shared" si="669"/>
        <v>0</v>
      </c>
      <c r="CU94" s="15">
        <f t="shared" si="669"/>
        <v>0</v>
      </c>
      <c r="CV94" s="15">
        <f t="shared" si="669"/>
        <v>0</v>
      </c>
      <c r="CW94" s="15">
        <f t="shared" si="669"/>
        <v>0</v>
      </c>
      <c r="CX94" s="15">
        <f t="shared" si="669"/>
        <v>0</v>
      </c>
      <c r="CY94" s="15">
        <f t="shared" si="669"/>
        <v>0</v>
      </c>
      <c r="CZ94" s="15">
        <f t="shared" si="669"/>
        <v>0</v>
      </c>
      <c r="DA94" s="15">
        <f t="shared" si="669"/>
        <v>0</v>
      </c>
      <c r="DB94" s="15">
        <f t="shared" si="669"/>
        <v>0</v>
      </c>
    </row>
    <row r="95" spans="1:106" hidden="1" outlineLevel="1">
      <c r="A95" s="633">
        <v>92</v>
      </c>
      <c r="B95" s="625" t="s">
        <v>344</v>
      </c>
      <c r="C95" t="s">
        <v>518</v>
      </c>
      <c r="D95" s="15">
        <f t="shared" si="645"/>
        <v>0</v>
      </c>
      <c r="E95" s="15">
        <f t="shared" si="646"/>
        <v>0</v>
      </c>
      <c r="F95" s="15">
        <f t="shared" si="647"/>
        <v>0</v>
      </c>
      <c r="G95" s="15">
        <f t="shared" si="648"/>
        <v>0</v>
      </c>
      <c r="H95" s="15">
        <f t="shared" si="649"/>
        <v>0</v>
      </c>
      <c r="I95" s="15">
        <f t="shared" si="650"/>
        <v>0</v>
      </c>
      <c r="J95" s="15">
        <f t="shared" si="651"/>
        <v>0</v>
      </c>
      <c r="K95" s="15">
        <f t="shared" si="652"/>
        <v>0</v>
      </c>
      <c r="L95" s="15">
        <f t="shared" si="653"/>
        <v>0</v>
      </c>
      <c r="M95" s="15">
        <f t="shared" si="654"/>
        <v>0</v>
      </c>
      <c r="N95" s="15">
        <f t="shared" si="655"/>
        <v>0</v>
      </c>
      <c r="O95" s="15">
        <f t="shared" si="656"/>
        <v>0</v>
      </c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D95" s="646">
        <f t="shared" si="657"/>
        <v>0</v>
      </c>
      <c r="AE95" s="15">
        <f t="shared" si="658"/>
        <v>0</v>
      </c>
      <c r="AF95" s="15">
        <f t="shared" si="659"/>
        <v>0</v>
      </c>
      <c r="AG95" s="15">
        <f t="shared" si="660"/>
        <v>0</v>
      </c>
      <c r="AH95" s="15">
        <f t="shared" si="661"/>
        <v>0</v>
      </c>
      <c r="AI95" s="15">
        <f t="shared" si="662"/>
        <v>0</v>
      </c>
      <c r="AJ95" s="15">
        <f t="shared" si="663"/>
        <v>0</v>
      </c>
      <c r="AK95" s="15">
        <f t="shared" si="664"/>
        <v>0</v>
      </c>
      <c r="AL95" s="15">
        <f t="shared" si="665"/>
        <v>0</v>
      </c>
      <c r="AM95" s="15">
        <f t="shared" si="666"/>
        <v>0</v>
      </c>
      <c r="AN95" s="15">
        <f t="shared" si="667"/>
        <v>0</v>
      </c>
      <c r="AO95" s="647">
        <f t="shared" si="668"/>
        <v>0</v>
      </c>
      <c r="AQ95" s="15">
        <f>SUMIFS('BS-KH26-DTR'!D$2:D$116,'BS-KH26-DTR'!$B$2:$B$116,$A95)</f>
        <v>0</v>
      </c>
      <c r="AR95" s="15">
        <f>SUMIFS('BS-KH26-DTR'!E$2:E$116,'BS-KH26-DTR'!$B$2:$B$116,$A95)</f>
        <v>0</v>
      </c>
      <c r="AS95" s="15">
        <f>SUMIFS('BS-KH26-DTR'!F$2:F$116,'BS-KH26-DTR'!$B$2:$B$116,$A95)</f>
        <v>0</v>
      </c>
      <c r="AT95" s="15">
        <f>SUMIFS('BS-KH26-DTR'!G$2:G$116,'BS-KH26-DTR'!$B$2:$B$116,$A95)</f>
        <v>0</v>
      </c>
      <c r="AU95" s="15">
        <f>SUMIFS('BS-KH26-DTR'!H$2:H$116,'BS-KH26-DTR'!$B$2:$B$116,$A95)</f>
        <v>0</v>
      </c>
      <c r="AV95" s="15">
        <f>SUMIFS('BS-KH26-DTR'!I$2:I$116,'BS-KH26-DTR'!$B$2:$B$116,$A95)</f>
        <v>0</v>
      </c>
      <c r="AW95" s="15">
        <f>SUMIFS('BS-KH26-DTR'!J$2:J$116,'BS-KH26-DTR'!$B$2:$B$116,$A95)</f>
        <v>0</v>
      </c>
      <c r="AX95" s="15">
        <f>SUMIFS('BS-KH26-DTR'!K$2:K$116,'BS-KH26-DTR'!$B$2:$B$116,$A95)</f>
        <v>0</v>
      </c>
      <c r="AY95" s="15">
        <f>SUMIFS('BS-KH26-DTR'!L$2:L$116,'BS-KH26-DTR'!$B$2:$B$116,$A95)</f>
        <v>0</v>
      </c>
      <c r="AZ95" s="15">
        <f>SUMIFS('BS-KH26-DTR'!M$2:M$116,'BS-KH26-DTR'!$B$2:$B$116,$A95)</f>
        <v>0</v>
      </c>
      <c r="BA95" s="15">
        <f>SUMIFS('BS-KH26-DTR'!N$2:N$116,'BS-KH26-DTR'!$B$2:$B$116,$A95)</f>
        <v>0</v>
      </c>
      <c r="BB95" s="15">
        <f>SUMIFS('BS-KH26-DTR'!O$2:O$116,'BS-KH26-DTR'!$B$2:$B$116,$A95)</f>
        <v>0</v>
      </c>
      <c r="BD95" s="15">
        <f>SUMIFS('BS-KH26-DongLam'!M$2:M$51,'BS-KH26-DongLam'!$A$2:$A$51,'Consol BS-DTRG'!$A95)</f>
        <v>0</v>
      </c>
      <c r="BE95" s="15">
        <f>SUMIFS('BS-KH26-DongLam'!N$2:N$51,'BS-KH26-DongLam'!$A$2:$A$51,'Consol BS-DTRG'!$A95)</f>
        <v>0</v>
      </c>
      <c r="BF95" s="15">
        <f>SUMIFS('BS-KH26-DongLam'!O$2:O$51,'BS-KH26-DongLam'!$A$2:$A$51,'Consol BS-DTRG'!$A95)</f>
        <v>0</v>
      </c>
      <c r="BG95" s="15">
        <f>SUMIFS('BS-KH26-DongLam'!P$2:P$51,'BS-KH26-DongLam'!$A$2:$A$51,'Consol BS-DTRG'!$A95)</f>
        <v>0</v>
      </c>
      <c r="BH95" s="15">
        <f>SUMIFS('BS-KH26-DongLam'!Q$2:Q$51,'BS-KH26-DongLam'!$A$2:$A$51,'Consol BS-DTRG'!$A95)</f>
        <v>0</v>
      </c>
      <c r="BI95" s="15">
        <f>SUMIFS('BS-KH26-DongLam'!R$2:R$51,'BS-KH26-DongLam'!$A$2:$A$51,'Consol BS-DTRG'!$A95)</f>
        <v>0</v>
      </c>
      <c r="BJ95" s="15">
        <f>SUMIFS('BS-KH26-DongLam'!S$2:S$51,'BS-KH26-DongLam'!$A$2:$A$51,'Consol BS-DTRG'!$A95)</f>
        <v>0</v>
      </c>
      <c r="BK95" s="15">
        <f>SUMIFS('BS-KH26-DongLam'!T$2:T$51,'BS-KH26-DongLam'!$A$2:$A$51,'Consol BS-DTRG'!$A95)</f>
        <v>0</v>
      </c>
      <c r="BL95" s="15">
        <f>SUMIFS('BS-KH26-DongLam'!U$2:U$51,'BS-KH26-DongLam'!$A$2:$A$51,'Consol BS-DTRG'!$A95)</f>
        <v>0</v>
      </c>
      <c r="BM95" s="15">
        <f>SUMIFS('BS-KH26-DongLam'!V$2:V$51,'BS-KH26-DongLam'!$A$2:$A$51,'Consol BS-DTRG'!$A95)</f>
        <v>0</v>
      </c>
      <c r="BN95" s="15">
        <f>SUMIFS('BS-KH26-DongLam'!W$2:W$51,'BS-KH26-DongLam'!$A$2:$A$51,'Consol BS-DTRG'!$A95)</f>
        <v>0</v>
      </c>
      <c r="BO95" s="15">
        <f>SUMIFS('BS-KH26-DongLam'!X$2:X$51,'BS-KH26-DongLam'!$A$2:$A$51,'Consol BS-DTRG'!$A95)</f>
        <v>0</v>
      </c>
      <c r="BQ95" s="15">
        <f>SUMIFS('BS-KH26-KhanhNga'!M$2:M$51,'BS-KH26-KhanhNga'!$A$2:$A$51,'Consol BS-DTRG'!$A95)</f>
        <v>0</v>
      </c>
      <c r="BR95" s="15">
        <f>SUMIFS('BS-KH26-KhanhNga'!N$2:N$51,'BS-KH26-KhanhNga'!$A$2:$A$51,'Consol BS-DTRG'!$A95)</f>
        <v>0</v>
      </c>
      <c r="BS95" s="15">
        <f>SUMIFS('BS-KH26-KhanhNga'!O$2:O$51,'BS-KH26-KhanhNga'!$A$2:$A$51,'Consol BS-DTRG'!$A95)</f>
        <v>0</v>
      </c>
      <c r="BT95" s="15">
        <f>SUMIFS('BS-KH26-KhanhNga'!P$2:P$51,'BS-KH26-KhanhNga'!$A$2:$A$51,'Consol BS-DTRG'!$A95)</f>
        <v>0</v>
      </c>
      <c r="BU95" s="15">
        <f>SUMIFS('BS-KH26-KhanhNga'!Q$2:Q$51,'BS-KH26-KhanhNga'!$A$2:$A$51,'Consol BS-DTRG'!$A95)</f>
        <v>0</v>
      </c>
      <c r="BV95" s="15">
        <f>SUMIFS('BS-KH26-KhanhNga'!R$2:R$51,'BS-KH26-KhanhNga'!$A$2:$A$51,'Consol BS-DTRG'!$A95)</f>
        <v>0</v>
      </c>
      <c r="BW95" s="15">
        <f>SUMIFS('BS-KH26-KhanhNga'!S$2:S$51,'BS-KH26-KhanhNga'!$A$2:$A$51,'Consol BS-DTRG'!$A95)</f>
        <v>0</v>
      </c>
      <c r="BX95" s="15">
        <f>SUMIFS('BS-KH26-KhanhNga'!T$2:T$51,'BS-KH26-KhanhNga'!$A$2:$A$51,'Consol BS-DTRG'!$A95)</f>
        <v>0</v>
      </c>
      <c r="BY95" s="15">
        <f>SUMIFS('BS-KH26-KhanhNga'!U$2:U$51,'BS-KH26-KhanhNga'!$A$2:$A$51,'Consol BS-DTRG'!$A95)</f>
        <v>0</v>
      </c>
      <c r="BZ95" s="15">
        <f>SUMIFS('BS-KH26-KhanhNga'!V$2:V$51,'BS-KH26-KhanhNga'!$A$2:$A$51,'Consol BS-DTRG'!$A95)</f>
        <v>0</v>
      </c>
      <c r="CA95" s="15">
        <f>SUMIFS('BS-KH26-KhanhNga'!W$2:W$51,'BS-KH26-KhanhNga'!$A$2:$A$51,'Consol BS-DTRG'!$A95)</f>
        <v>0</v>
      </c>
      <c r="CB95" s="15">
        <f>SUMIFS('BS-KH26-KhanhNga'!X$2:X$51,'BS-KH26-KhanhNga'!$A$2:$A$51,'Consol BS-DTRG'!$A95)</f>
        <v>0</v>
      </c>
      <c r="CD95" s="15">
        <f>SUMIFS('BS-KH26-DaiLoc'!M$2:M$51,'BS-KH26-DaiLoc'!$A$2:$A$51,'Consol BS-DTRG'!$A95)</f>
        <v>0</v>
      </c>
      <c r="CE95" s="15">
        <f>SUMIFS('BS-KH26-DaiLoc'!N$2:N$51,'BS-KH26-DaiLoc'!$A$2:$A$51,'Consol BS-DTRG'!$A95)</f>
        <v>0</v>
      </c>
      <c r="CF95" s="15">
        <f>SUMIFS('BS-KH26-DaiLoc'!O$2:O$51,'BS-KH26-DaiLoc'!$A$2:$A$51,'Consol BS-DTRG'!$A95)</f>
        <v>0</v>
      </c>
      <c r="CG95" s="15">
        <f>SUMIFS('BS-KH26-DaiLoc'!P$2:P$51,'BS-KH26-DaiLoc'!$A$2:$A$51,'Consol BS-DTRG'!$A95)</f>
        <v>0</v>
      </c>
      <c r="CH95" s="15">
        <f>SUMIFS('BS-KH26-DaiLoc'!Q$2:Q$51,'BS-KH26-DaiLoc'!$A$2:$A$51,'Consol BS-DTRG'!$A95)</f>
        <v>0</v>
      </c>
      <c r="CI95" s="15">
        <f>SUMIFS('BS-KH26-DaiLoc'!R$2:R$51,'BS-KH26-DaiLoc'!$A$2:$A$51,'Consol BS-DTRG'!$A95)</f>
        <v>0</v>
      </c>
      <c r="CJ95" s="15">
        <f>SUMIFS('BS-KH26-DaiLoc'!S$2:S$51,'BS-KH26-DaiLoc'!$A$2:$A$51,'Consol BS-DTRG'!$A95)</f>
        <v>0</v>
      </c>
      <c r="CK95" s="15">
        <f>SUMIFS('BS-KH26-DaiLoc'!T$2:T$51,'BS-KH26-DaiLoc'!$A$2:$A$51,'Consol BS-DTRG'!$A95)</f>
        <v>0</v>
      </c>
      <c r="CL95" s="15">
        <f>SUMIFS('BS-KH26-DaiLoc'!U$2:U$51,'BS-KH26-DaiLoc'!$A$2:$A$51,'Consol BS-DTRG'!$A95)</f>
        <v>0</v>
      </c>
      <c r="CM95" s="15">
        <f>SUMIFS('BS-KH26-DaiLoc'!V$2:V$51,'BS-KH26-DaiLoc'!$A$2:$A$51,'Consol BS-DTRG'!$A95)</f>
        <v>0</v>
      </c>
      <c r="CN95" s="15">
        <f>SUMIFS('BS-KH26-DaiLoc'!W$2:W$51,'BS-KH26-DaiLoc'!$A$2:$A$51,'Consol BS-DTRG'!$A95)</f>
        <v>0</v>
      </c>
      <c r="CO95" s="15">
        <f>SUMIFS('BS-KH26-DaiLoc'!X$2:X$51,'BS-KH26-DaiLoc'!$A$2:$A$51,'Consol BS-DTRG'!$A95)</f>
        <v>0</v>
      </c>
      <c r="CQ95" s="15">
        <v>0</v>
      </c>
      <c r="CR95" s="15">
        <f t="shared" si="669"/>
        <v>0</v>
      </c>
      <c r="CS95" s="15">
        <f t="shared" si="669"/>
        <v>0</v>
      </c>
      <c r="CT95" s="15">
        <f t="shared" si="669"/>
        <v>0</v>
      </c>
      <c r="CU95" s="15">
        <f t="shared" si="669"/>
        <v>0</v>
      </c>
      <c r="CV95" s="15">
        <f t="shared" si="669"/>
        <v>0</v>
      </c>
      <c r="CW95" s="15">
        <f t="shared" si="669"/>
        <v>0</v>
      </c>
      <c r="CX95" s="15">
        <f t="shared" si="669"/>
        <v>0</v>
      </c>
      <c r="CY95" s="15">
        <f t="shared" si="669"/>
        <v>0</v>
      </c>
      <c r="CZ95" s="15">
        <f t="shared" si="669"/>
        <v>0</v>
      </c>
      <c r="DA95" s="15">
        <f t="shared" si="669"/>
        <v>0</v>
      </c>
      <c r="DB95" s="15">
        <f t="shared" si="669"/>
        <v>0</v>
      </c>
    </row>
    <row r="96" spans="1:106" hidden="1" outlineLevel="1">
      <c r="A96" s="633">
        <v>93</v>
      </c>
      <c r="B96" s="625" t="s">
        <v>345</v>
      </c>
      <c r="C96" t="s">
        <v>518</v>
      </c>
      <c r="D96" s="15">
        <f t="shared" si="645"/>
        <v>1436632466</v>
      </c>
      <c r="E96" s="15">
        <f t="shared" si="646"/>
        <v>1436632466</v>
      </c>
      <c r="F96" s="15">
        <f t="shared" si="647"/>
        <v>1436632466</v>
      </c>
      <c r="G96" s="15">
        <f t="shared" si="648"/>
        <v>1436632466</v>
      </c>
      <c r="H96" s="15">
        <f t="shared" si="649"/>
        <v>1436632466</v>
      </c>
      <c r="I96" s="15">
        <f t="shared" si="650"/>
        <v>1436632466</v>
      </c>
      <c r="J96" s="15">
        <f t="shared" si="651"/>
        <v>1436632466</v>
      </c>
      <c r="K96" s="15">
        <f t="shared" si="652"/>
        <v>1436632466</v>
      </c>
      <c r="L96" s="15">
        <f t="shared" si="653"/>
        <v>1436632466</v>
      </c>
      <c r="M96" s="15">
        <f t="shared" si="654"/>
        <v>1436632466</v>
      </c>
      <c r="N96" s="15">
        <f t="shared" si="655"/>
        <v>1436632466</v>
      </c>
      <c r="O96" s="15">
        <f t="shared" si="656"/>
        <v>1436632466</v>
      </c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D96" s="646">
        <f t="shared" si="657"/>
        <v>1436632466</v>
      </c>
      <c r="AE96" s="15">
        <f t="shared" si="658"/>
        <v>1436632466</v>
      </c>
      <c r="AF96" s="15">
        <f t="shared" si="659"/>
        <v>1436632466</v>
      </c>
      <c r="AG96" s="15">
        <f t="shared" si="660"/>
        <v>1436632466</v>
      </c>
      <c r="AH96" s="15">
        <f t="shared" si="661"/>
        <v>1436632466</v>
      </c>
      <c r="AI96" s="15">
        <f t="shared" si="662"/>
        <v>1436632466</v>
      </c>
      <c r="AJ96" s="15">
        <f t="shared" si="663"/>
        <v>1436632466</v>
      </c>
      <c r="AK96" s="15">
        <f t="shared" si="664"/>
        <v>1436632466</v>
      </c>
      <c r="AL96" s="15">
        <f t="shared" si="665"/>
        <v>1436632466</v>
      </c>
      <c r="AM96" s="15">
        <f t="shared" si="666"/>
        <v>1436632466</v>
      </c>
      <c r="AN96" s="15">
        <f t="shared" si="667"/>
        <v>1436632466</v>
      </c>
      <c r="AO96" s="647">
        <f t="shared" si="668"/>
        <v>1436632466</v>
      </c>
      <c r="AQ96" s="15">
        <f>SUMIFS('BS-KH26-DTR'!D$2:D$116,'BS-KH26-DTR'!$B$2:$B$116,$A96)</f>
        <v>1436632466</v>
      </c>
      <c r="AR96" s="15">
        <f>SUMIFS('BS-KH26-DTR'!E$2:E$116,'BS-KH26-DTR'!$B$2:$B$116,$A96)</f>
        <v>1436632466</v>
      </c>
      <c r="AS96" s="15">
        <f>SUMIFS('BS-KH26-DTR'!F$2:F$116,'BS-KH26-DTR'!$B$2:$B$116,$A96)</f>
        <v>1436632466</v>
      </c>
      <c r="AT96" s="15">
        <f>SUMIFS('BS-KH26-DTR'!G$2:G$116,'BS-KH26-DTR'!$B$2:$B$116,$A96)</f>
        <v>1436632466</v>
      </c>
      <c r="AU96" s="15">
        <f>SUMIFS('BS-KH26-DTR'!H$2:H$116,'BS-KH26-DTR'!$B$2:$B$116,$A96)</f>
        <v>1436632466</v>
      </c>
      <c r="AV96" s="15">
        <f>SUMIFS('BS-KH26-DTR'!I$2:I$116,'BS-KH26-DTR'!$B$2:$B$116,$A96)</f>
        <v>1436632466</v>
      </c>
      <c r="AW96" s="15">
        <f>SUMIFS('BS-KH26-DTR'!J$2:J$116,'BS-KH26-DTR'!$B$2:$B$116,$A96)</f>
        <v>1436632466</v>
      </c>
      <c r="AX96" s="15">
        <f>SUMIFS('BS-KH26-DTR'!K$2:K$116,'BS-KH26-DTR'!$B$2:$B$116,$A96)</f>
        <v>1436632466</v>
      </c>
      <c r="AY96" s="15">
        <f>SUMIFS('BS-KH26-DTR'!L$2:L$116,'BS-KH26-DTR'!$B$2:$B$116,$A96)</f>
        <v>1436632466</v>
      </c>
      <c r="AZ96" s="15">
        <f>SUMIFS('BS-KH26-DTR'!M$2:M$116,'BS-KH26-DTR'!$B$2:$B$116,$A96)</f>
        <v>1436632466</v>
      </c>
      <c r="BA96" s="15">
        <f>SUMIFS('BS-KH26-DTR'!N$2:N$116,'BS-KH26-DTR'!$B$2:$B$116,$A96)</f>
        <v>1436632466</v>
      </c>
      <c r="BB96" s="15">
        <f>SUMIFS('BS-KH26-DTR'!O$2:O$116,'BS-KH26-DTR'!$B$2:$B$116,$A96)</f>
        <v>1436632466</v>
      </c>
      <c r="BD96" s="15">
        <f>SUMIFS('BS-KH26-DongLam'!M$2:M$51,'BS-KH26-DongLam'!$A$2:$A$51,'Consol BS-DTRG'!$A96)</f>
        <v>0</v>
      </c>
      <c r="BE96" s="15">
        <f>SUMIFS('BS-KH26-DongLam'!N$2:N$51,'BS-KH26-DongLam'!$A$2:$A$51,'Consol BS-DTRG'!$A96)</f>
        <v>0</v>
      </c>
      <c r="BF96" s="15">
        <f>SUMIFS('BS-KH26-DongLam'!O$2:O$51,'BS-KH26-DongLam'!$A$2:$A$51,'Consol BS-DTRG'!$A96)</f>
        <v>0</v>
      </c>
      <c r="BG96" s="15">
        <f>SUMIFS('BS-KH26-DongLam'!P$2:P$51,'BS-KH26-DongLam'!$A$2:$A$51,'Consol BS-DTRG'!$A96)</f>
        <v>0</v>
      </c>
      <c r="BH96" s="15">
        <f>SUMIFS('BS-KH26-DongLam'!Q$2:Q$51,'BS-KH26-DongLam'!$A$2:$A$51,'Consol BS-DTRG'!$A96)</f>
        <v>0</v>
      </c>
      <c r="BI96" s="15">
        <f>SUMIFS('BS-KH26-DongLam'!R$2:R$51,'BS-KH26-DongLam'!$A$2:$A$51,'Consol BS-DTRG'!$A96)</f>
        <v>0</v>
      </c>
      <c r="BJ96" s="15">
        <f>SUMIFS('BS-KH26-DongLam'!S$2:S$51,'BS-KH26-DongLam'!$A$2:$A$51,'Consol BS-DTRG'!$A96)</f>
        <v>0</v>
      </c>
      <c r="BK96" s="15">
        <f>SUMIFS('BS-KH26-DongLam'!T$2:T$51,'BS-KH26-DongLam'!$A$2:$A$51,'Consol BS-DTRG'!$A96)</f>
        <v>0</v>
      </c>
      <c r="BL96" s="15">
        <f>SUMIFS('BS-KH26-DongLam'!U$2:U$51,'BS-KH26-DongLam'!$A$2:$A$51,'Consol BS-DTRG'!$A96)</f>
        <v>0</v>
      </c>
      <c r="BM96" s="15">
        <f>SUMIFS('BS-KH26-DongLam'!V$2:V$51,'BS-KH26-DongLam'!$A$2:$A$51,'Consol BS-DTRG'!$A96)</f>
        <v>0</v>
      </c>
      <c r="BN96" s="15">
        <f>SUMIFS('BS-KH26-DongLam'!W$2:W$51,'BS-KH26-DongLam'!$A$2:$A$51,'Consol BS-DTRG'!$A96)</f>
        <v>0</v>
      </c>
      <c r="BO96" s="15">
        <f>SUMIFS('BS-KH26-DongLam'!X$2:X$51,'BS-KH26-DongLam'!$A$2:$A$51,'Consol BS-DTRG'!$A96)</f>
        <v>0</v>
      </c>
      <c r="BQ96" s="15">
        <f>SUMIFS('BS-KH26-KhanhNga'!M$2:M$51,'BS-KH26-KhanhNga'!$A$2:$A$51,'Consol BS-DTRG'!$A96)</f>
        <v>0</v>
      </c>
      <c r="BR96" s="15">
        <f>SUMIFS('BS-KH26-KhanhNga'!N$2:N$51,'BS-KH26-KhanhNga'!$A$2:$A$51,'Consol BS-DTRG'!$A96)</f>
        <v>0</v>
      </c>
      <c r="BS96" s="15">
        <f>SUMIFS('BS-KH26-KhanhNga'!O$2:O$51,'BS-KH26-KhanhNga'!$A$2:$A$51,'Consol BS-DTRG'!$A96)</f>
        <v>0</v>
      </c>
      <c r="BT96" s="15">
        <f>SUMIFS('BS-KH26-KhanhNga'!P$2:P$51,'BS-KH26-KhanhNga'!$A$2:$A$51,'Consol BS-DTRG'!$A96)</f>
        <v>0</v>
      </c>
      <c r="BU96" s="15">
        <f>SUMIFS('BS-KH26-KhanhNga'!Q$2:Q$51,'BS-KH26-KhanhNga'!$A$2:$A$51,'Consol BS-DTRG'!$A96)</f>
        <v>0</v>
      </c>
      <c r="BV96" s="15">
        <f>SUMIFS('BS-KH26-KhanhNga'!R$2:R$51,'BS-KH26-KhanhNga'!$A$2:$A$51,'Consol BS-DTRG'!$A96)</f>
        <v>0</v>
      </c>
      <c r="BW96" s="15">
        <f>SUMIFS('BS-KH26-KhanhNga'!S$2:S$51,'BS-KH26-KhanhNga'!$A$2:$A$51,'Consol BS-DTRG'!$A96)</f>
        <v>0</v>
      </c>
      <c r="BX96" s="15">
        <f>SUMIFS('BS-KH26-KhanhNga'!T$2:T$51,'BS-KH26-KhanhNga'!$A$2:$A$51,'Consol BS-DTRG'!$A96)</f>
        <v>0</v>
      </c>
      <c r="BY96" s="15">
        <f>SUMIFS('BS-KH26-KhanhNga'!U$2:U$51,'BS-KH26-KhanhNga'!$A$2:$A$51,'Consol BS-DTRG'!$A96)</f>
        <v>0</v>
      </c>
      <c r="BZ96" s="15">
        <f>SUMIFS('BS-KH26-KhanhNga'!V$2:V$51,'BS-KH26-KhanhNga'!$A$2:$A$51,'Consol BS-DTRG'!$A96)</f>
        <v>0</v>
      </c>
      <c r="CA96" s="15">
        <f>SUMIFS('BS-KH26-KhanhNga'!W$2:W$51,'BS-KH26-KhanhNga'!$A$2:$A$51,'Consol BS-DTRG'!$A96)</f>
        <v>0</v>
      </c>
      <c r="CB96" s="15">
        <f>SUMIFS('BS-KH26-KhanhNga'!X$2:X$51,'BS-KH26-KhanhNga'!$A$2:$A$51,'Consol BS-DTRG'!$A96)</f>
        <v>0</v>
      </c>
      <c r="CD96" s="15">
        <f>SUMIFS('BS-KH26-DaiLoc'!M$2:M$51,'BS-KH26-DaiLoc'!$A$2:$A$51,'Consol BS-DTRG'!$A96)</f>
        <v>0</v>
      </c>
      <c r="CE96" s="15">
        <f>SUMIFS('BS-KH26-DaiLoc'!N$2:N$51,'BS-KH26-DaiLoc'!$A$2:$A$51,'Consol BS-DTRG'!$A96)</f>
        <v>0</v>
      </c>
      <c r="CF96" s="15">
        <f>SUMIFS('BS-KH26-DaiLoc'!O$2:O$51,'BS-KH26-DaiLoc'!$A$2:$A$51,'Consol BS-DTRG'!$A96)</f>
        <v>0</v>
      </c>
      <c r="CG96" s="15">
        <f>SUMIFS('BS-KH26-DaiLoc'!P$2:P$51,'BS-KH26-DaiLoc'!$A$2:$A$51,'Consol BS-DTRG'!$A96)</f>
        <v>0</v>
      </c>
      <c r="CH96" s="15">
        <f>SUMIFS('BS-KH26-DaiLoc'!Q$2:Q$51,'BS-KH26-DaiLoc'!$A$2:$A$51,'Consol BS-DTRG'!$A96)</f>
        <v>0</v>
      </c>
      <c r="CI96" s="15">
        <f>SUMIFS('BS-KH26-DaiLoc'!R$2:R$51,'BS-KH26-DaiLoc'!$A$2:$A$51,'Consol BS-DTRG'!$A96)</f>
        <v>0</v>
      </c>
      <c r="CJ96" s="15">
        <f>SUMIFS('BS-KH26-DaiLoc'!S$2:S$51,'BS-KH26-DaiLoc'!$A$2:$A$51,'Consol BS-DTRG'!$A96)</f>
        <v>0</v>
      </c>
      <c r="CK96" s="15">
        <f>SUMIFS('BS-KH26-DaiLoc'!T$2:T$51,'BS-KH26-DaiLoc'!$A$2:$A$51,'Consol BS-DTRG'!$A96)</f>
        <v>0</v>
      </c>
      <c r="CL96" s="15">
        <f>SUMIFS('BS-KH26-DaiLoc'!U$2:U$51,'BS-KH26-DaiLoc'!$A$2:$A$51,'Consol BS-DTRG'!$A96)</f>
        <v>0</v>
      </c>
      <c r="CM96" s="15">
        <f>SUMIFS('BS-KH26-DaiLoc'!V$2:V$51,'BS-KH26-DaiLoc'!$A$2:$A$51,'Consol BS-DTRG'!$A96)</f>
        <v>0</v>
      </c>
      <c r="CN96" s="15">
        <f>SUMIFS('BS-KH26-DaiLoc'!W$2:W$51,'BS-KH26-DaiLoc'!$A$2:$A$51,'Consol BS-DTRG'!$A96)</f>
        <v>0</v>
      </c>
      <c r="CO96" s="15">
        <f>SUMIFS('BS-KH26-DaiLoc'!X$2:X$51,'BS-KH26-DaiLoc'!$A$2:$A$51,'Consol BS-DTRG'!$A96)</f>
        <v>0</v>
      </c>
      <c r="CQ96" s="15">
        <v>0</v>
      </c>
      <c r="CR96" s="15">
        <f t="shared" si="669"/>
        <v>0</v>
      </c>
      <c r="CS96" s="15">
        <f t="shared" si="669"/>
        <v>0</v>
      </c>
      <c r="CT96" s="15">
        <f t="shared" si="669"/>
        <v>0</v>
      </c>
      <c r="CU96" s="15">
        <f t="shared" si="669"/>
        <v>0</v>
      </c>
      <c r="CV96" s="15">
        <f t="shared" si="669"/>
        <v>0</v>
      </c>
      <c r="CW96" s="15">
        <f t="shared" si="669"/>
        <v>0</v>
      </c>
      <c r="CX96" s="15">
        <f t="shared" si="669"/>
        <v>0</v>
      </c>
      <c r="CY96" s="15">
        <f t="shared" si="669"/>
        <v>0</v>
      </c>
      <c r="CZ96" s="15">
        <f t="shared" si="669"/>
        <v>0</v>
      </c>
      <c r="DA96" s="15">
        <f t="shared" si="669"/>
        <v>0</v>
      </c>
      <c r="DB96" s="15">
        <f t="shared" si="669"/>
        <v>0</v>
      </c>
    </row>
    <row r="97" spans="1:106" hidden="1" outlineLevel="1">
      <c r="A97" s="633">
        <v>94</v>
      </c>
      <c r="B97" s="626" t="s">
        <v>346</v>
      </c>
      <c r="C97" t="s">
        <v>518</v>
      </c>
      <c r="D97" s="15">
        <f t="shared" si="645"/>
        <v>0</v>
      </c>
      <c r="E97" s="15">
        <f t="shared" si="646"/>
        <v>0</v>
      </c>
      <c r="F97" s="15">
        <f t="shared" si="647"/>
        <v>0</v>
      </c>
      <c r="G97" s="15">
        <f t="shared" si="648"/>
        <v>0</v>
      </c>
      <c r="H97" s="15">
        <f t="shared" si="649"/>
        <v>0</v>
      </c>
      <c r="I97" s="15">
        <f t="shared" si="650"/>
        <v>0</v>
      </c>
      <c r="J97" s="15">
        <f t="shared" si="651"/>
        <v>0</v>
      </c>
      <c r="K97" s="15">
        <f t="shared" si="652"/>
        <v>0</v>
      </c>
      <c r="L97" s="15">
        <f t="shared" si="653"/>
        <v>0</v>
      </c>
      <c r="M97" s="15">
        <f t="shared" si="654"/>
        <v>0</v>
      </c>
      <c r="N97" s="15">
        <f t="shared" si="655"/>
        <v>0</v>
      </c>
      <c r="O97" s="15">
        <f t="shared" si="656"/>
        <v>0</v>
      </c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D97" s="646">
        <f t="shared" si="657"/>
        <v>0</v>
      </c>
      <c r="AE97" s="15">
        <f t="shared" si="658"/>
        <v>0</v>
      </c>
      <c r="AF97" s="15">
        <f t="shared" si="659"/>
        <v>0</v>
      </c>
      <c r="AG97" s="15">
        <f t="shared" si="660"/>
        <v>0</v>
      </c>
      <c r="AH97" s="15">
        <f t="shared" si="661"/>
        <v>0</v>
      </c>
      <c r="AI97" s="15">
        <f t="shared" si="662"/>
        <v>0</v>
      </c>
      <c r="AJ97" s="15">
        <f t="shared" si="663"/>
        <v>0</v>
      </c>
      <c r="AK97" s="15">
        <f t="shared" si="664"/>
        <v>0</v>
      </c>
      <c r="AL97" s="15">
        <f t="shared" si="665"/>
        <v>0</v>
      </c>
      <c r="AM97" s="15">
        <f t="shared" si="666"/>
        <v>0</v>
      </c>
      <c r="AN97" s="15">
        <f t="shared" si="667"/>
        <v>0</v>
      </c>
      <c r="AO97" s="647">
        <f t="shared" si="668"/>
        <v>0</v>
      </c>
      <c r="AQ97" s="15">
        <f>SUMIFS('BS-KH26-DTR'!D$2:D$116,'BS-KH26-DTR'!$B$2:$B$116,$A97)</f>
        <v>0</v>
      </c>
      <c r="AR97" s="15">
        <f>SUMIFS('BS-KH26-DTR'!E$2:E$116,'BS-KH26-DTR'!$B$2:$B$116,$A97)</f>
        <v>0</v>
      </c>
      <c r="AS97" s="15">
        <f>SUMIFS('BS-KH26-DTR'!F$2:F$116,'BS-KH26-DTR'!$B$2:$B$116,$A97)</f>
        <v>0</v>
      </c>
      <c r="AT97" s="15">
        <f>SUMIFS('BS-KH26-DTR'!G$2:G$116,'BS-KH26-DTR'!$B$2:$B$116,$A97)</f>
        <v>0</v>
      </c>
      <c r="AU97" s="15">
        <f>SUMIFS('BS-KH26-DTR'!H$2:H$116,'BS-KH26-DTR'!$B$2:$B$116,$A97)</f>
        <v>0</v>
      </c>
      <c r="AV97" s="15">
        <f>SUMIFS('BS-KH26-DTR'!I$2:I$116,'BS-KH26-DTR'!$B$2:$B$116,$A97)</f>
        <v>0</v>
      </c>
      <c r="AW97" s="15">
        <f>SUMIFS('BS-KH26-DTR'!J$2:J$116,'BS-KH26-DTR'!$B$2:$B$116,$A97)</f>
        <v>0</v>
      </c>
      <c r="AX97" s="15">
        <f>SUMIFS('BS-KH26-DTR'!K$2:K$116,'BS-KH26-DTR'!$B$2:$B$116,$A97)</f>
        <v>0</v>
      </c>
      <c r="AY97" s="15">
        <f>SUMIFS('BS-KH26-DTR'!L$2:L$116,'BS-KH26-DTR'!$B$2:$B$116,$A97)</f>
        <v>0</v>
      </c>
      <c r="AZ97" s="15">
        <f>SUMIFS('BS-KH26-DTR'!M$2:M$116,'BS-KH26-DTR'!$B$2:$B$116,$A97)</f>
        <v>0</v>
      </c>
      <c r="BA97" s="15">
        <f>SUMIFS('BS-KH26-DTR'!N$2:N$116,'BS-KH26-DTR'!$B$2:$B$116,$A97)</f>
        <v>0</v>
      </c>
      <c r="BB97" s="15">
        <f>SUMIFS('BS-KH26-DTR'!O$2:O$116,'BS-KH26-DTR'!$B$2:$B$116,$A97)</f>
        <v>0</v>
      </c>
      <c r="BD97" s="15">
        <f>SUMIFS('BS-KH26-DongLam'!M$2:M$51,'BS-KH26-DongLam'!$A$2:$A$51,'Consol BS-DTRG'!$A97)</f>
        <v>0</v>
      </c>
      <c r="BE97" s="15">
        <f>SUMIFS('BS-KH26-DongLam'!N$2:N$51,'BS-KH26-DongLam'!$A$2:$A$51,'Consol BS-DTRG'!$A97)</f>
        <v>0</v>
      </c>
      <c r="BF97" s="15">
        <f>SUMIFS('BS-KH26-DongLam'!O$2:O$51,'BS-KH26-DongLam'!$A$2:$A$51,'Consol BS-DTRG'!$A97)</f>
        <v>0</v>
      </c>
      <c r="BG97" s="15">
        <f>SUMIFS('BS-KH26-DongLam'!P$2:P$51,'BS-KH26-DongLam'!$A$2:$A$51,'Consol BS-DTRG'!$A97)</f>
        <v>0</v>
      </c>
      <c r="BH97" s="15">
        <f>SUMIFS('BS-KH26-DongLam'!Q$2:Q$51,'BS-KH26-DongLam'!$A$2:$A$51,'Consol BS-DTRG'!$A97)</f>
        <v>0</v>
      </c>
      <c r="BI97" s="15">
        <f>SUMIFS('BS-KH26-DongLam'!R$2:R$51,'BS-KH26-DongLam'!$A$2:$A$51,'Consol BS-DTRG'!$A97)</f>
        <v>0</v>
      </c>
      <c r="BJ97" s="15">
        <f>SUMIFS('BS-KH26-DongLam'!S$2:S$51,'BS-KH26-DongLam'!$A$2:$A$51,'Consol BS-DTRG'!$A97)</f>
        <v>0</v>
      </c>
      <c r="BK97" s="15">
        <f>SUMIFS('BS-KH26-DongLam'!T$2:T$51,'BS-KH26-DongLam'!$A$2:$A$51,'Consol BS-DTRG'!$A97)</f>
        <v>0</v>
      </c>
      <c r="BL97" s="15">
        <f>SUMIFS('BS-KH26-DongLam'!U$2:U$51,'BS-KH26-DongLam'!$A$2:$A$51,'Consol BS-DTRG'!$A97)</f>
        <v>0</v>
      </c>
      <c r="BM97" s="15">
        <f>SUMIFS('BS-KH26-DongLam'!V$2:V$51,'BS-KH26-DongLam'!$A$2:$A$51,'Consol BS-DTRG'!$A97)</f>
        <v>0</v>
      </c>
      <c r="BN97" s="15">
        <f>SUMIFS('BS-KH26-DongLam'!W$2:W$51,'BS-KH26-DongLam'!$A$2:$A$51,'Consol BS-DTRG'!$A97)</f>
        <v>0</v>
      </c>
      <c r="BO97" s="15">
        <f>SUMIFS('BS-KH26-DongLam'!X$2:X$51,'BS-KH26-DongLam'!$A$2:$A$51,'Consol BS-DTRG'!$A97)</f>
        <v>0</v>
      </c>
      <c r="BQ97" s="15">
        <f>SUMIFS('BS-KH26-KhanhNga'!M$2:M$51,'BS-KH26-KhanhNga'!$A$2:$A$51,'Consol BS-DTRG'!$A97)</f>
        <v>0</v>
      </c>
      <c r="BR97" s="15">
        <f>SUMIFS('BS-KH26-KhanhNga'!N$2:N$51,'BS-KH26-KhanhNga'!$A$2:$A$51,'Consol BS-DTRG'!$A97)</f>
        <v>0</v>
      </c>
      <c r="BS97" s="15">
        <f>SUMIFS('BS-KH26-KhanhNga'!O$2:O$51,'BS-KH26-KhanhNga'!$A$2:$A$51,'Consol BS-DTRG'!$A97)</f>
        <v>0</v>
      </c>
      <c r="BT97" s="15">
        <f>SUMIFS('BS-KH26-KhanhNga'!P$2:P$51,'BS-KH26-KhanhNga'!$A$2:$A$51,'Consol BS-DTRG'!$A97)</f>
        <v>0</v>
      </c>
      <c r="BU97" s="15">
        <f>SUMIFS('BS-KH26-KhanhNga'!Q$2:Q$51,'BS-KH26-KhanhNga'!$A$2:$A$51,'Consol BS-DTRG'!$A97)</f>
        <v>0</v>
      </c>
      <c r="BV97" s="15">
        <f>SUMIFS('BS-KH26-KhanhNga'!R$2:R$51,'BS-KH26-KhanhNga'!$A$2:$A$51,'Consol BS-DTRG'!$A97)</f>
        <v>0</v>
      </c>
      <c r="BW97" s="15">
        <f>SUMIFS('BS-KH26-KhanhNga'!S$2:S$51,'BS-KH26-KhanhNga'!$A$2:$A$51,'Consol BS-DTRG'!$A97)</f>
        <v>0</v>
      </c>
      <c r="BX97" s="15">
        <f>SUMIFS('BS-KH26-KhanhNga'!T$2:T$51,'BS-KH26-KhanhNga'!$A$2:$A$51,'Consol BS-DTRG'!$A97)</f>
        <v>0</v>
      </c>
      <c r="BY97" s="15">
        <f>SUMIFS('BS-KH26-KhanhNga'!U$2:U$51,'BS-KH26-KhanhNga'!$A$2:$A$51,'Consol BS-DTRG'!$A97)</f>
        <v>0</v>
      </c>
      <c r="BZ97" s="15">
        <f>SUMIFS('BS-KH26-KhanhNga'!V$2:V$51,'BS-KH26-KhanhNga'!$A$2:$A$51,'Consol BS-DTRG'!$A97)</f>
        <v>0</v>
      </c>
      <c r="CA97" s="15">
        <f>SUMIFS('BS-KH26-KhanhNga'!W$2:W$51,'BS-KH26-KhanhNga'!$A$2:$A$51,'Consol BS-DTRG'!$A97)</f>
        <v>0</v>
      </c>
      <c r="CB97" s="15">
        <f>SUMIFS('BS-KH26-KhanhNga'!X$2:X$51,'BS-KH26-KhanhNga'!$A$2:$A$51,'Consol BS-DTRG'!$A97)</f>
        <v>0</v>
      </c>
      <c r="CD97" s="15">
        <f>SUMIFS('BS-KH26-DaiLoc'!M$2:M$51,'BS-KH26-DaiLoc'!$A$2:$A$51,'Consol BS-DTRG'!$A97)</f>
        <v>0</v>
      </c>
      <c r="CE97" s="15">
        <f>SUMIFS('BS-KH26-DaiLoc'!N$2:N$51,'BS-KH26-DaiLoc'!$A$2:$A$51,'Consol BS-DTRG'!$A97)</f>
        <v>0</v>
      </c>
      <c r="CF97" s="15">
        <f>SUMIFS('BS-KH26-DaiLoc'!O$2:O$51,'BS-KH26-DaiLoc'!$A$2:$A$51,'Consol BS-DTRG'!$A97)</f>
        <v>0</v>
      </c>
      <c r="CG97" s="15">
        <f>SUMIFS('BS-KH26-DaiLoc'!P$2:P$51,'BS-KH26-DaiLoc'!$A$2:$A$51,'Consol BS-DTRG'!$A97)</f>
        <v>0</v>
      </c>
      <c r="CH97" s="15">
        <f>SUMIFS('BS-KH26-DaiLoc'!Q$2:Q$51,'BS-KH26-DaiLoc'!$A$2:$A$51,'Consol BS-DTRG'!$A97)</f>
        <v>0</v>
      </c>
      <c r="CI97" s="15">
        <f>SUMIFS('BS-KH26-DaiLoc'!R$2:R$51,'BS-KH26-DaiLoc'!$A$2:$A$51,'Consol BS-DTRG'!$A97)</f>
        <v>0</v>
      </c>
      <c r="CJ97" s="15">
        <f>SUMIFS('BS-KH26-DaiLoc'!S$2:S$51,'BS-KH26-DaiLoc'!$A$2:$A$51,'Consol BS-DTRG'!$A97)</f>
        <v>0</v>
      </c>
      <c r="CK97" s="15">
        <f>SUMIFS('BS-KH26-DaiLoc'!T$2:T$51,'BS-KH26-DaiLoc'!$A$2:$A$51,'Consol BS-DTRG'!$A97)</f>
        <v>0</v>
      </c>
      <c r="CL97" s="15">
        <f>SUMIFS('BS-KH26-DaiLoc'!U$2:U$51,'BS-KH26-DaiLoc'!$A$2:$A$51,'Consol BS-DTRG'!$A97)</f>
        <v>0</v>
      </c>
      <c r="CM97" s="15">
        <f>SUMIFS('BS-KH26-DaiLoc'!V$2:V$51,'BS-KH26-DaiLoc'!$A$2:$A$51,'Consol BS-DTRG'!$A97)</f>
        <v>0</v>
      </c>
      <c r="CN97" s="15">
        <f>SUMIFS('BS-KH26-DaiLoc'!W$2:W$51,'BS-KH26-DaiLoc'!$A$2:$A$51,'Consol BS-DTRG'!$A97)</f>
        <v>0</v>
      </c>
      <c r="CO97" s="15">
        <f>SUMIFS('BS-KH26-DaiLoc'!X$2:X$51,'BS-KH26-DaiLoc'!$A$2:$A$51,'Consol BS-DTRG'!$A97)</f>
        <v>0</v>
      </c>
      <c r="CQ97" s="15">
        <v>0</v>
      </c>
      <c r="CR97" s="15">
        <f t="shared" si="669"/>
        <v>0</v>
      </c>
      <c r="CS97" s="15">
        <f t="shared" si="669"/>
        <v>0</v>
      </c>
      <c r="CT97" s="15">
        <f t="shared" si="669"/>
        <v>0</v>
      </c>
      <c r="CU97" s="15">
        <f t="shared" si="669"/>
        <v>0</v>
      </c>
      <c r="CV97" s="15">
        <f t="shared" si="669"/>
        <v>0</v>
      </c>
      <c r="CW97" s="15">
        <f t="shared" si="669"/>
        <v>0</v>
      </c>
      <c r="CX97" s="15">
        <f t="shared" si="669"/>
        <v>0</v>
      </c>
      <c r="CY97" s="15">
        <f t="shared" si="669"/>
        <v>0</v>
      </c>
      <c r="CZ97" s="15">
        <f t="shared" si="669"/>
        <v>0</v>
      </c>
      <c r="DA97" s="15">
        <f t="shared" si="669"/>
        <v>0</v>
      </c>
      <c r="DB97" s="15">
        <f t="shared" si="669"/>
        <v>0</v>
      </c>
    </row>
    <row r="98" spans="1:106" hidden="1" outlineLevel="1">
      <c r="A98" s="633">
        <v>95</v>
      </c>
      <c r="B98" s="626" t="s">
        <v>347</v>
      </c>
      <c r="C98" t="s">
        <v>518</v>
      </c>
      <c r="D98" s="15">
        <f t="shared" si="645"/>
        <v>0</v>
      </c>
      <c r="E98" s="15">
        <f t="shared" si="646"/>
        <v>0</v>
      </c>
      <c r="F98" s="15">
        <f t="shared" si="647"/>
        <v>0</v>
      </c>
      <c r="G98" s="15">
        <f t="shared" si="648"/>
        <v>0</v>
      </c>
      <c r="H98" s="15">
        <f t="shared" si="649"/>
        <v>0</v>
      </c>
      <c r="I98" s="15">
        <f t="shared" si="650"/>
        <v>0</v>
      </c>
      <c r="J98" s="15">
        <f t="shared" si="651"/>
        <v>0</v>
      </c>
      <c r="K98" s="15">
        <f t="shared" si="652"/>
        <v>0</v>
      </c>
      <c r="L98" s="15">
        <f t="shared" si="653"/>
        <v>0</v>
      </c>
      <c r="M98" s="15">
        <f t="shared" si="654"/>
        <v>0</v>
      </c>
      <c r="N98" s="15">
        <f t="shared" si="655"/>
        <v>0</v>
      </c>
      <c r="O98" s="15">
        <f t="shared" si="656"/>
        <v>0</v>
      </c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D98" s="646">
        <f t="shared" si="657"/>
        <v>0</v>
      </c>
      <c r="AE98" s="15">
        <f t="shared" si="658"/>
        <v>0</v>
      </c>
      <c r="AF98" s="15">
        <f t="shared" si="659"/>
        <v>0</v>
      </c>
      <c r="AG98" s="15">
        <f t="shared" si="660"/>
        <v>0</v>
      </c>
      <c r="AH98" s="15">
        <f t="shared" si="661"/>
        <v>0</v>
      </c>
      <c r="AI98" s="15">
        <f t="shared" si="662"/>
        <v>0</v>
      </c>
      <c r="AJ98" s="15">
        <f t="shared" si="663"/>
        <v>0</v>
      </c>
      <c r="AK98" s="15">
        <f t="shared" si="664"/>
        <v>0</v>
      </c>
      <c r="AL98" s="15">
        <f t="shared" si="665"/>
        <v>0</v>
      </c>
      <c r="AM98" s="15">
        <f t="shared" si="666"/>
        <v>0</v>
      </c>
      <c r="AN98" s="15">
        <f t="shared" si="667"/>
        <v>0</v>
      </c>
      <c r="AO98" s="647">
        <f t="shared" si="668"/>
        <v>0</v>
      </c>
      <c r="AQ98" s="15">
        <f>SUMIFS('BS-KH26-DTR'!D$2:D$116,'BS-KH26-DTR'!$B$2:$B$116,$A98)</f>
        <v>0</v>
      </c>
      <c r="AR98" s="15">
        <f>SUMIFS('BS-KH26-DTR'!E$2:E$116,'BS-KH26-DTR'!$B$2:$B$116,$A98)</f>
        <v>0</v>
      </c>
      <c r="AS98" s="15">
        <f>SUMIFS('BS-KH26-DTR'!F$2:F$116,'BS-KH26-DTR'!$B$2:$B$116,$A98)</f>
        <v>0</v>
      </c>
      <c r="AT98" s="15">
        <f>SUMIFS('BS-KH26-DTR'!G$2:G$116,'BS-KH26-DTR'!$B$2:$B$116,$A98)</f>
        <v>0</v>
      </c>
      <c r="AU98" s="15">
        <f>SUMIFS('BS-KH26-DTR'!H$2:H$116,'BS-KH26-DTR'!$B$2:$B$116,$A98)</f>
        <v>0</v>
      </c>
      <c r="AV98" s="15">
        <f>SUMIFS('BS-KH26-DTR'!I$2:I$116,'BS-KH26-DTR'!$B$2:$B$116,$A98)</f>
        <v>0</v>
      </c>
      <c r="AW98" s="15">
        <f>SUMIFS('BS-KH26-DTR'!J$2:J$116,'BS-KH26-DTR'!$B$2:$B$116,$A98)</f>
        <v>0</v>
      </c>
      <c r="AX98" s="15">
        <f>SUMIFS('BS-KH26-DTR'!K$2:K$116,'BS-KH26-DTR'!$B$2:$B$116,$A98)</f>
        <v>0</v>
      </c>
      <c r="AY98" s="15">
        <f>SUMIFS('BS-KH26-DTR'!L$2:L$116,'BS-KH26-DTR'!$B$2:$B$116,$A98)</f>
        <v>0</v>
      </c>
      <c r="AZ98" s="15">
        <f>SUMIFS('BS-KH26-DTR'!M$2:M$116,'BS-KH26-DTR'!$B$2:$B$116,$A98)</f>
        <v>0</v>
      </c>
      <c r="BA98" s="15">
        <f>SUMIFS('BS-KH26-DTR'!N$2:N$116,'BS-KH26-DTR'!$B$2:$B$116,$A98)</f>
        <v>0</v>
      </c>
      <c r="BB98" s="15">
        <f>SUMIFS('BS-KH26-DTR'!O$2:O$116,'BS-KH26-DTR'!$B$2:$B$116,$A98)</f>
        <v>0</v>
      </c>
      <c r="BD98" s="15">
        <f>SUMIFS('BS-KH26-DongLam'!M$2:M$51,'BS-KH26-DongLam'!$A$2:$A$51,'Consol BS-DTRG'!$A98)</f>
        <v>0</v>
      </c>
      <c r="BE98" s="15">
        <f>SUMIFS('BS-KH26-DongLam'!N$2:N$51,'BS-KH26-DongLam'!$A$2:$A$51,'Consol BS-DTRG'!$A98)</f>
        <v>0</v>
      </c>
      <c r="BF98" s="15">
        <f>SUMIFS('BS-KH26-DongLam'!O$2:O$51,'BS-KH26-DongLam'!$A$2:$A$51,'Consol BS-DTRG'!$A98)</f>
        <v>0</v>
      </c>
      <c r="BG98" s="15">
        <f>SUMIFS('BS-KH26-DongLam'!P$2:P$51,'BS-KH26-DongLam'!$A$2:$A$51,'Consol BS-DTRG'!$A98)</f>
        <v>0</v>
      </c>
      <c r="BH98" s="15">
        <f>SUMIFS('BS-KH26-DongLam'!Q$2:Q$51,'BS-KH26-DongLam'!$A$2:$A$51,'Consol BS-DTRG'!$A98)</f>
        <v>0</v>
      </c>
      <c r="BI98" s="15">
        <f>SUMIFS('BS-KH26-DongLam'!R$2:R$51,'BS-KH26-DongLam'!$A$2:$A$51,'Consol BS-DTRG'!$A98)</f>
        <v>0</v>
      </c>
      <c r="BJ98" s="15">
        <f>SUMIFS('BS-KH26-DongLam'!S$2:S$51,'BS-KH26-DongLam'!$A$2:$A$51,'Consol BS-DTRG'!$A98)</f>
        <v>0</v>
      </c>
      <c r="BK98" s="15">
        <f>SUMIFS('BS-KH26-DongLam'!T$2:T$51,'BS-KH26-DongLam'!$A$2:$A$51,'Consol BS-DTRG'!$A98)</f>
        <v>0</v>
      </c>
      <c r="BL98" s="15">
        <f>SUMIFS('BS-KH26-DongLam'!U$2:U$51,'BS-KH26-DongLam'!$A$2:$A$51,'Consol BS-DTRG'!$A98)</f>
        <v>0</v>
      </c>
      <c r="BM98" s="15">
        <f>SUMIFS('BS-KH26-DongLam'!V$2:V$51,'BS-KH26-DongLam'!$A$2:$A$51,'Consol BS-DTRG'!$A98)</f>
        <v>0</v>
      </c>
      <c r="BN98" s="15">
        <f>SUMIFS('BS-KH26-DongLam'!W$2:W$51,'BS-KH26-DongLam'!$A$2:$A$51,'Consol BS-DTRG'!$A98)</f>
        <v>0</v>
      </c>
      <c r="BO98" s="15">
        <f>SUMIFS('BS-KH26-DongLam'!X$2:X$51,'BS-KH26-DongLam'!$A$2:$A$51,'Consol BS-DTRG'!$A98)</f>
        <v>0</v>
      </c>
      <c r="BQ98" s="15">
        <f>SUMIFS('BS-KH26-KhanhNga'!M$2:M$51,'BS-KH26-KhanhNga'!$A$2:$A$51,'Consol BS-DTRG'!$A98)</f>
        <v>0</v>
      </c>
      <c r="BR98" s="15">
        <f>SUMIFS('BS-KH26-KhanhNga'!N$2:N$51,'BS-KH26-KhanhNga'!$A$2:$A$51,'Consol BS-DTRG'!$A98)</f>
        <v>0</v>
      </c>
      <c r="BS98" s="15">
        <f>SUMIFS('BS-KH26-KhanhNga'!O$2:O$51,'BS-KH26-KhanhNga'!$A$2:$A$51,'Consol BS-DTRG'!$A98)</f>
        <v>0</v>
      </c>
      <c r="BT98" s="15">
        <f>SUMIFS('BS-KH26-KhanhNga'!P$2:P$51,'BS-KH26-KhanhNga'!$A$2:$A$51,'Consol BS-DTRG'!$A98)</f>
        <v>0</v>
      </c>
      <c r="BU98" s="15">
        <f>SUMIFS('BS-KH26-KhanhNga'!Q$2:Q$51,'BS-KH26-KhanhNga'!$A$2:$A$51,'Consol BS-DTRG'!$A98)</f>
        <v>0</v>
      </c>
      <c r="BV98" s="15">
        <f>SUMIFS('BS-KH26-KhanhNga'!R$2:R$51,'BS-KH26-KhanhNga'!$A$2:$A$51,'Consol BS-DTRG'!$A98)</f>
        <v>0</v>
      </c>
      <c r="BW98" s="15">
        <f>SUMIFS('BS-KH26-KhanhNga'!S$2:S$51,'BS-KH26-KhanhNga'!$A$2:$A$51,'Consol BS-DTRG'!$A98)</f>
        <v>0</v>
      </c>
      <c r="BX98" s="15">
        <f>SUMIFS('BS-KH26-KhanhNga'!T$2:T$51,'BS-KH26-KhanhNga'!$A$2:$A$51,'Consol BS-DTRG'!$A98)</f>
        <v>0</v>
      </c>
      <c r="BY98" s="15">
        <f>SUMIFS('BS-KH26-KhanhNga'!U$2:U$51,'BS-KH26-KhanhNga'!$A$2:$A$51,'Consol BS-DTRG'!$A98)</f>
        <v>0</v>
      </c>
      <c r="BZ98" s="15">
        <f>SUMIFS('BS-KH26-KhanhNga'!V$2:V$51,'BS-KH26-KhanhNga'!$A$2:$A$51,'Consol BS-DTRG'!$A98)</f>
        <v>0</v>
      </c>
      <c r="CA98" s="15">
        <f>SUMIFS('BS-KH26-KhanhNga'!W$2:W$51,'BS-KH26-KhanhNga'!$A$2:$A$51,'Consol BS-DTRG'!$A98)</f>
        <v>0</v>
      </c>
      <c r="CB98" s="15">
        <f>SUMIFS('BS-KH26-KhanhNga'!X$2:X$51,'BS-KH26-KhanhNga'!$A$2:$A$51,'Consol BS-DTRG'!$A98)</f>
        <v>0</v>
      </c>
      <c r="CD98" s="15">
        <f>SUMIFS('BS-KH26-DaiLoc'!M$2:M$51,'BS-KH26-DaiLoc'!$A$2:$A$51,'Consol BS-DTRG'!$A98)</f>
        <v>0</v>
      </c>
      <c r="CE98" s="15">
        <f>SUMIFS('BS-KH26-DaiLoc'!N$2:N$51,'BS-KH26-DaiLoc'!$A$2:$A$51,'Consol BS-DTRG'!$A98)</f>
        <v>0</v>
      </c>
      <c r="CF98" s="15">
        <f>SUMIFS('BS-KH26-DaiLoc'!O$2:O$51,'BS-KH26-DaiLoc'!$A$2:$A$51,'Consol BS-DTRG'!$A98)</f>
        <v>0</v>
      </c>
      <c r="CG98" s="15">
        <f>SUMIFS('BS-KH26-DaiLoc'!P$2:P$51,'BS-KH26-DaiLoc'!$A$2:$A$51,'Consol BS-DTRG'!$A98)</f>
        <v>0</v>
      </c>
      <c r="CH98" s="15">
        <f>SUMIFS('BS-KH26-DaiLoc'!Q$2:Q$51,'BS-KH26-DaiLoc'!$A$2:$A$51,'Consol BS-DTRG'!$A98)</f>
        <v>0</v>
      </c>
      <c r="CI98" s="15">
        <f>SUMIFS('BS-KH26-DaiLoc'!R$2:R$51,'BS-KH26-DaiLoc'!$A$2:$A$51,'Consol BS-DTRG'!$A98)</f>
        <v>0</v>
      </c>
      <c r="CJ98" s="15">
        <f>SUMIFS('BS-KH26-DaiLoc'!S$2:S$51,'BS-KH26-DaiLoc'!$A$2:$A$51,'Consol BS-DTRG'!$A98)</f>
        <v>0</v>
      </c>
      <c r="CK98" s="15">
        <f>SUMIFS('BS-KH26-DaiLoc'!T$2:T$51,'BS-KH26-DaiLoc'!$A$2:$A$51,'Consol BS-DTRG'!$A98)</f>
        <v>0</v>
      </c>
      <c r="CL98" s="15">
        <f>SUMIFS('BS-KH26-DaiLoc'!U$2:U$51,'BS-KH26-DaiLoc'!$A$2:$A$51,'Consol BS-DTRG'!$A98)</f>
        <v>0</v>
      </c>
      <c r="CM98" s="15">
        <f>SUMIFS('BS-KH26-DaiLoc'!V$2:V$51,'BS-KH26-DaiLoc'!$A$2:$A$51,'Consol BS-DTRG'!$A98)</f>
        <v>0</v>
      </c>
      <c r="CN98" s="15">
        <f>SUMIFS('BS-KH26-DaiLoc'!W$2:W$51,'BS-KH26-DaiLoc'!$A$2:$A$51,'Consol BS-DTRG'!$A98)</f>
        <v>0</v>
      </c>
      <c r="CO98" s="15">
        <f>SUMIFS('BS-KH26-DaiLoc'!X$2:X$51,'BS-KH26-DaiLoc'!$A$2:$A$51,'Consol BS-DTRG'!$A98)</f>
        <v>0</v>
      </c>
      <c r="CQ98" s="15">
        <v>0</v>
      </c>
      <c r="CR98" s="15">
        <f t="shared" si="669"/>
        <v>0</v>
      </c>
      <c r="CS98" s="15">
        <f t="shared" si="669"/>
        <v>0</v>
      </c>
      <c r="CT98" s="15">
        <f t="shared" si="669"/>
        <v>0</v>
      </c>
      <c r="CU98" s="15">
        <f t="shared" si="669"/>
        <v>0</v>
      </c>
      <c r="CV98" s="15">
        <f t="shared" si="669"/>
        <v>0</v>
      </c>
      <c r="CW98" s="15">
        <f t="shared" si="669"/>
        <v>0</v>
      </c>
      <c r="CX98" s="15">
        <f t="shared" si="669"/>
        <v>0</v>
      </c>
      <c r="CY98" s="15">
        <f t="shared" si="669"/>
        <v>0</v>
      </c>
      <c r="CZ98" s="15">
        <f t="shared" si="669"/>
        <v>0</v>
      </c>
      <c r="DA98" s="15">
        <f t="shared" si="669"/>
        <v>0</v>
      </c>
      <c r="DB98" s="15">
        <f t="shared" si="669"/>
        <v>0</v>
      </c>
    </row>
    <row r="99" spans="1:106" collapsed="1">
      <c r="A99" s="1">
        <v>96</v>
      </c>
      <c r="B99" s="617" t="s">
        <v>348</v>
      </c>
      <c r="D99" s="14">
        <f t="shared" ref="D99:O99" si="670">SUM(D100:D113)</f>
        <v>480799882786.70361</v>
      </c>
      <c r="E99" s="14">
        <f t="shared" si="670"/>
        <v>477211406105.70361</v>
      </c>
      <c r="F99" s="14">
        <f t="shared" si="670"/>
        <v>456229223424.70361</v>
      </c>
      <c r="G99" s="14">
        <f t="shared" si="670"/>
        <v>522769625351.70361</v>
      </c>
      <c r="H99" s="14">
        <f t="shared" si="670"/>
        <v>519181148670.70361</v>
      </c>
      <c r="I99" s="14">
        <f t="shared" si="670"/>
        <v>498198965989.70367</v>
      </c>
      <c r="J99" s="14">
        <f t="shared" si="670"/>
        <v>496681367916.70367</v>
      </c>
      <c r="K99" s="14">
        <f t="shared" si="670"/>
        <v>493092891235.70374</v>
      </c>
      <c r="L99" s="14">
        <f t="shared" si="670"/>
        <v>472110708554.70374</v>
      </c>
      <c r="M99" s="14">
        <f t="shared" si="670"/>
        <v>470593110481.7038</v>
      </c>
      <c r="N99" s="14">
        <f t="shared" si="670"/>
        <v>467004633800.7038</v>
      </c>
      <c r="O99" s="14">
        <f t="shared" si="670"/>
        <v>446022451119.7038</v>
      </c>
      <c r="Q99" s="14">
        <f t="shared" ref="Q99:AB99" si="671">SUM(Q100:Q113)</f>
        <v>0</v>
      </c>
      <c r="R99" s="14">
        <f t="shared" si="671"/>
        <v>0</v>
      </c>
      <c r="S99" s="14">
        <f t="shared" si="671"/>
        <v>0</v>
      </c>
      <c r="T99" s="14">
        <f t="shared" si="671"/>
        <v>0</v>
      </c>
      <c r="U99" s="14">
        <f t="shared" si="671"/>
        <v>0</v>
      </c>
      <c r="V99" s="14">
        <f t="shared" si="671"/>
        <v>0</v>
      </c>
      <c r="W99" s="14">
        <f t="shared" si="671"/>
        <v>0</v>
      </c>
      <c r="X99" s="14">
        <f t="shared" si="671"/>
        <v>0</v>
      </c>
      <c r="Y99" s="14">
        <f t="shared" si="671"/>
        <v>0</v>
      </c>
      <c r="Z99" s="14">
        <f t="shared" si="671"/>
        <v>0</v>
      </c>
      <c r="AA99" s="14">
        <f t="shared" si="671"/>
        <v>0</v>
      </c>
      <c r="AB99" s="14">
        <f t="shared" si="671"/>
        <v>0</v>
      </c>
      <c r="AD99" s="644">
        <f t="shared" ref="AD99" si="672">SUM(AD100:AD113)</f>
        <v>480799882786.70361</v>
      </c>
      <c r="AE99" s="14">
        <f t="shared" ref="AE99:AO99" si="673">SUM(AE100:AE113)</f>
        <v>477211406105.70361</v>
      </c>
      <c r="AF99" s="14">
        <f t="shared" si="673"/>
        <v>456229223424.70361</v>
      </c>
      <c r="AG99" s="14">
        <f t="shared" si="673"/>
        <v>522769625351.70361</v>
      </c>
      <c r="AH99" s="14">
        <f t="shared" si="673"/>
        <v>519181148670.70361</v>
      </c>
      <c r="AI99" s="14">
        <f t="shared" si="673"/>
        <v>498198965989.70367</v>
      </c>
      <c r="AJ99" s="14">
        <f t="shared" si="673"/>
        <v>496681367916.70367</v>
      </c>
      <c r="AK99" s="14">
        <f t="shared" si="673"/>
        <v>493092891235.70374</v>
      </c>
      <c r="AL99" s="14">
        <f t="shared" si="673"/>
        <v>472110708554.70374</v>
      </c>
      <c r="AM99" s="14">
        <f t="shared" si="673"/>
        <v>470593110481.7038</v>
      </c>
      <c r="AN99" s="14">
        <f t="shared" si="673"/>
        <v>467004633800.7038</v>
      </c>
      <c r="AO99" s="645">
        <f t="shared" si="673"/>
        <v>446022451119.7038</v>
      </c>
      <c r="AQ99" s="14">
        <f t="shared" ref="AQ99:BB99" si="674">SUM(AQ100:AQ113)</f>
        <v>448029882786.70361</v>
      </c>
      <c r="AR99" s="14">
        <f t="shared" si="674"/>
        <v>444441406105.70361</v>
      </c>
      <c r="AS99" s="14">
        <f t="shared" si="674"/>
        <v>423459223424.70361</v>
      </c>
      <c r="AT99" s="14">
        <f t="shared" si="674"/>
        <v>489999625351.70361</v>
      </c>
      <c r="AU99" s="14">
        <f t="shared" si="674"/>
        <v>486411148670.70361</v>
      </c>
      <c r="AV99" s="14">
        <f t="shared" si="674"/>
        <v>465428965989.70367</v>
      </c>
      <c r="AW99" s="14">
        <f t="shared" si="674"/>
        <v>463911367916.70367</v>
      </c>
      <c r="AX99" s="14">
        <f t="shared" si="674"/>
        <v>460322891235.70374</v>
      </c>
      <c r="AY99" s="14">
        <f t="shared" si="674"/>
        <v>439340708554.70374</v>
      </c>
      <c r="AZ99" s="14">
        <f t="shared" si="674"/>
        <v>437823110481.7038</v>
      </c>
      <c r="BA99" s="14">
        <f t="shared" si="674"/>
        <v>434234633800.7038</v>
      </c>
      <c r="BB99" s="14">
        <f t="shared" si="674"/>
        <v>413252451119.7038</v>
      </c>
      <c r="BD99" s="14">
        <f t="shared" ref="BD99:BO99" si="675">SUM(BD100:BD113)</f>
        <v>0</v>
      </c>
      <c r="BE99" s="14">
        <f t="shared" si="675"/>
        <v>0</v>
      </c>
      <c r="BF99" s="14">
        <f t="shared" si="675"/>
        <v>0</v>
      </c>
      <c r="BG99" s="14">
        <f t="shared" si="675"/>
        <v>0</v>
      </c>
      <c r="BH99" s="14">
        <f t="shared" si="675"/>
        <v>0</v>
      </c>
      <c r="BI99" s="14">
        <f t="shared" si="675"/>
        <v>0</v>
      </c>
      <c r="BJ99" s="14">
        <f t="shared" si="675"/>
        <v>0</v>
      </c>
      <c r="BK99" s="14">
        <f t="shared" si="675"/>
        <v>0</v>
      </c>
      <c r="BL99" s="14">
        <f t="shared" si="675"/>
        <v>0</v>
      </c>
      <c r="BM99" s="14">
        <f t="shared" si="675"/>
        <v>0</v>
      </c>
      <c r="BN99" s="14">
        <f t="shared" si="675"/>
        <v>0</v>
      </c>
      <c r="BO99" s="14">
        <f t="shared" si="675"/>
        <v>0</v>
      </c>
      <c r="BQ99" s="14">
        <f t="shared" ref="BQ99:CB99" si="676">SUM(BQ100:BQ113)</f>
        <v>0</v>
      </c>
      <c r="BR99" s="14">
        <f t="shared" si="676"/>
        <v>0</v>
      </c>
      <c r="BS99" s="14">
        <f t="shared" si="676"/>
        <v>0</v>
      </c>
      <c r="BT99" s="14">
        <f t="shared" si="676"/>
        <v>0</v>
      </c>
      <c r="BU99" s="14">
        <f t="shared" si="676"/>
        <v>0</v>
      </c>
      <c r="BV99" s="14">
        <f t="shared" si="676"/>
        <v>0</v>
      </c>
      <c r="BW99" s="14">
        <f t="shared" si="676"/>
        <v>0</v>
      </c>
      <c r="BX99" s="14">
        <f t="shared" si="676"/>
        <v>0</v>
      </c>
      <c r="BY99" s="14">
        <f t="shared" si="676"/>
        <v>0</v>
      </c>
      <c r="BZ99" s="14">
        <f t="shared" si="676"/>
        <v>0</v>
      </c>
      <c r="CA99" s="14">
        <f t="shared" si="676"/>
        <v>0</v>
      </c>
      <c r="CB99" s="14">
        <f t="shared" si="676"/>
        <v>0</v>
      </c>
      <c r="CD99" s="14">
        <f t="shared" ref="CD99:CO99" si="677">SUM(CD100:CD113)</f>
        <v>32770000000</v>
      </c>
      <c r="CE99" s="14">
        <f t="shared" si="677"/>
        <v>32770000000</v>
      </c>
      <c r="CF99" s="14">
        <f t="shared" si="677"/>
        <v>32770000000</v>
      </c>
      <c r="CG99" s="14">
        <f t="shared" si="677"/>
        <v>32770000000</v>
      </c>
      <c r="CH99" s="14">
        <f t="shared" si="677"/>
        <v>32770000000</v>
      </c>
      <c r="CI99" s="14">
        <f t="shared" si="677"/>
        <v>32770000000</v>
      </c>
      <c r="CJ99" s="14">
        <f t="shared" si="677"/>
        <v>32770000000</v>
      </c>
      <c r="CK99" s="14">
        <f t="shared" si="677"/>
        <v>32770000000</v>
      </c>
      <c r="CL99" s="14">
        <f t="shared" si="677"/>
        <v>32770000000</v>
      </c>
      <c r="CM99" s="14">
        <f t="shared" si="677"/>
        <v>32770000000</v>
      </c>
      <c r="CN99" s="14">
        <f t="shared" si="677"/>
        <v>32770000000</v>
      </c>
      <c r="CO99" s="14">
        <f t="shared" si="677"/>
        <v>32770000000</v>
      </c>
      <c r="CQ99" s="14">
        <f t="shared" ref="CQ99:DB99" si="678">SUM(CQ100:CQ113)</f>
        <v>0</v>
      </c>
      <c r="CR99" s="14">
        <f t="shared" si="678"/>
        <v>0</v>
      </c>
      <c r="CS99" s="14">
        <f t="shared" si="678"/>
        <v>0</v>
      </c>
      <c r="CT99" s="14">
        <f t="shared" si="678"/>
        <v>0</v>
      </c>
      <c r="CU99" s="14">
        <f t="shared" si="678"/>
        <v>0</v>
      </c>
      <c r="CV99" s="14">
        <f t="shared" si="678"/>
        <v>0</v>
      </c>
      <c r="CW99" s="14">
        <f t="shared" si="678"/>
        <v>0</v>
      </c>
      <c r="CX99" s="14">
        <f t="shared" si="678"/>
        <v>0</v>
      </c>
      <c r="CY99" s="14">
        <f t="shared" si="678"/>
        <v>0</v>
      </c>
      <c r="CZ99" s="14">
        <f t="shared" si="678"/>
        <v>0</v>
      </c>
      <c r="DA99" s="14">
        <f t="shared" si="678"/>
        <v>0</v>
      </c>
      <c r="DB99" s="14">
        <f t="shared" si="678"/>
        <v>0</v>
      </c>
    </row>
    <row r="100" spans="1:106" hidden="1" outlineLevel="1">
      <c r="A100" s="633">
        <v>97</v>
      </c>
      <c r="B100" s="625" t="s">
        <v>349</v>
      </c>
      <c r="C100" t="s">
        <v>518</v>
      </c>
      <c r="D100" s="15">
        <f t="shared" ref="D100:D113" si="679">AD100+Q100</f>
        <v>0</v>
      </c>
      <c r="E100" s="15">
        <f t="shared" ref="E100:E113" si="680">AE100+R100</f>
        <v>0</v>
      </c>
      <c r="F100" s="15">
        <f t="shared" ref="F100:F113" si="681">AF100+S100</f>
        <v>0</v>
      </c>
      <c r="G100" s="15">
        <f t="shared" ref="G100:G113" si="682">AG100+T100</f>
        <v>0</v>
      </c>
      <c r="H100" s="15">
        <f t="shared" ref="H100:H113" si="683">AH100+U100</f>
        <v>0</v>
      </c>
      <c r="I100" s="15">
        <f t="shared" ref="I100:I113" si="684">AI100+V100</f>
        <v>0</v>
      </c>
      <c r="J100" s="15">
        <f t="shared" ref="J100:J113" si="685">AJ100+W100</f>
        <v>0</v>
      </c>
      <c r="K100" s="15">
        <f t="shared" ref="K100:K113" si="686">AK100+X100</f>
        <v>0</v>
      </c>
      <c r="L100" s="15">
        <f t="shared" ref="L100:L113" si="687">AL100+Y100</f>
        <v>0</v>
      </c>
      <c r="M100" s="15">
        <f t="shared" ref="M100:M113" si="688">AM100+Z100</f>
        <v>0</v>
      </c>
      <c r="N100" s="15">
        <f t="shared" ref="N100:N113" si="689">AN100+AA100</f>
        <v>0</v>
      </c>
      <c r="O100" s="15">
        <f t="shared" ref="O100:O113" si="690">AO100+AB100</f>
        <v>0</v>
      </c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D100" s="646">
        <f t="shared" ref="AD100:AD113" si="691">AQ100+BD100+BQ100+CD100+CQ100</f>
        <v>0</v>
      </c>
      <c r="AE100" s="15">
        <f t="shared" ref="AE100:AE113" si="692">AR100+BE100+BR100+CE100+CR100</f>
        <v>0</v>
      </c>
      <c r="AF100" s="15">
        <f t="shared" ref="AF100:AF113" si="693">AS100+BF100+BS100+CF100+CS100</f>
        <v>0</v>
      </c>
      <c r="AG100" s="15">
        <f t="shared" ref="AG100:AG113" si="694">AT100+BG100+BT100+CG100+CT100</f>
        <v>0</v>
      </c>
      <c r="AH100" s="15">
        <f t="shared" ref="AH100:AH113" si="695">AU100+BH100+BU100+CH100+CU100</f>
        <v>0</v>
      </c>
      <c r="AI100" s="15">
        <f t="shared" ref="AI100:AI113" si="696">AV100+BI100+BV100+CI100+CV100</f>
        <v>0</v>
      </c>
      <c r="AJ100" s="15">
        <f t="shared" ref="AJ100:AJ113" si="697">AW100+BJ100+BW100+CJ100+CW100</f>
        <v>0</v>
      </c>
      <c r="AK100" s="15">
        <f t="shared" ref="AK100:AK113" si="698">AX100+BK100+BX100+CK100+CX100</f>
        <v>0</v>
      </c>
      <c r="AL100" s="15">
        <f t="shared" ref="AL100:AL113" si="699">AY100+BL100+BY100+CL100+CY100</f>
        <v>0</v>
      </c>
      <c r="AM100" s="15">
        <f t="shared" ref="AM100:AM113" si="700">AZ100+BM100+BZ100+CM100+CZ100</f>
        <v>0</v>
      </c>
      <c r="AN100" s="15">
        <f t="shared" ref="AN100:AN113" si="701">BA100+BN100+CA100+CN100+DA100</f>
        <v>0</v>
      </c>
      <c r="AO100" s="647">
        <f t="shared" ref="AO100:AO113" si="702">BB100+BO100+CB100+CO100+DB100</f>
        <v>0</v>
      </c>
      <c r="AQ100" s="15">
        <f>SUMIFS('BS-KH26-DTR'!D$2:D$116,'BS-KH26-DTR'!$B$2:$B$116,$A100)</f>
        <v>0</v>
      </c>
      <c r="AR100" s="15">
        <f>SUMIFS('BS-KH26-DTR'!E$2:E$116,'BS-KH26-DTR'!$B$2:$B$116,$A100)</f>
        <v>0</v>
      </c>
      <c r="AS100" s="15">
        <f>SUMIFS('BS-KH26-DTR'!F$2:F$116,'BS-KH26-DTR'!$B$2:$B$116,$A100)</f>
        <v>0</v>
      </c>
      <c r="AT100" s="15">
        <f>SUMIFS('BS-KH26-DTR'!G$2:G$116,'BS-KH26-DTR'!$B$2:$B$116,$A100)</f>
        <v>0</v>
      </c>
      <c r="AU100" s="15">
        <f>SUMIFS('BS-KH26-DTR'!H$2:H$116,'BS-KH26-DTR'!$B$2:$B$116,$A100)</f>
        <v>0</v>
      </c>
      <c r="AV100" s="15">
        <f>SUMIFS('BS-KH26-DTR'!I$2:I$116,'BS-KH26-DTR'!$B$2:$B$116,$A100)</f>
        <v>0</v>
      </c>
      <c r="AW100" s="15">
        <f>SUMIFS('BS-KH26-DTR'!J$2:J$116,'BS-KH26-DTR'!$B$2:$B$116,$A100)</f>
        <v>0</v>
      </c>
      <c r="AX100" s="15">
        <f>SUMIFS('BS-KH26-DTR'!K$2:K$116,'BS-KH26-DTR'!$B$2:$B$116,$A100)</f>
        <v>0</v>
      </c>
      <c r="AY100" s="15">
        <f>SUMIFS('BS-KH26-DTR'!L$2:L$116,'BS-KH26-DTR'!$B$2:$B$116,$A100)</f>
        <v>0</v>
      </c>
      <c r="AZ100" s="15">
        <f>SUMIFS('BS-KH26-DTR'!M$2:M$116,'BS-KH26-DTR'!$B$2:$B$116,$A100)</f>
        <v>0</v>
      </c>
      <c r="BA100" s="15">
        <f>SUMIFS('BS-KH26-DTR'!N$2:N$116,'BS-KH26-DTR'!$B$2:$B$116,$A100)</f>
        <v>0</v>
      </c>
      <c r="BB100" s="15">
        <f>SUMIFS('BS-KH26-DTR'!O$2:O$116,'BS-KH26-DTR'!$B$2:$B$116,$A100)</f>
        <v>0</v>
      </c>
      <c r="BD100" s="15">
        <f>SUMIFS('BS-KH26-DongLam'!M$2:M$51,'BS-KH26-DongLam'!$A$2:$A$51,'Consol BS-DTRG'!$A100)</f>
        <v>0</v>
      </c>
      <c r="BE100" s="15">
        <f>SUMIFS('BS-KH26-DongLam'!N$2:N$51,'BS-KH26-DongLam'!$A$2:$A$51,'Consol BS-DTRG'!$A100)</f>
        <v>0</v>
      </c>
      <c r="BF100" s="15">
        <f>SUMIFS('BS-KH26-DongLam'!O$2:O$51,'BS-KH26-DongLam'!$A$2:$A$51,'Consol BS-DTRG'!$A100)</f>
        <v>0</v>
      </c>
      <c r="BG100" s="15">
        <f>SUMIFS('BS-KH26-DongLam'!P$2:P$51,'BS-KH26-DongLam'!$A$2:$A$51,'Consol BS-DTRG'!$A100)</f>
        <v>0</v>
      </c>
      <c r="BH100" s="15">
        <f>SUMIFS('BS-KH26-DongLam'!Q$2:Q$51,'BS-KH26-DongLam'!$A$2:$A$51,'Consol BS-DTRG'!$A100)</f>
        <v>0</v>
      </c>
      <c r="BI100" s="15">
        <f>SUMIFS('BS-KH26-DongLam'!R$2:R$51,'BS-KH26-DongLam'!$A$2:$A$51,'Consol BS-DTRG'!$A100)</f>
        <v>0</v>
      </c>
      <c r="BJ100" s="15">
        <f>SUMIFS('BS-KH26-DongLam'!S$2:S$51,'BS-KH26-DongLam'!$A$2:$A$51,'Consol BS-DTRG'!$A100)</f>
        <v>0</v>
      </c>
      <c r="BK100" s="15">
        <f>SUMIFS('BS-KH26-DongLam'!T$2:T$51,'BS-KH26-DongLam'!$A$2:$A$51,'Consol BS-DTRG'!$A100)</f>
        <v>0</v>
      </c>
      <c r="BL100" s="15">
        <f>SUMIFS('BS-KH26-DongLam'!U$2:U$51,'BS-KH26-DongLam'!$A$2:$A$51,'Consol BS-DTRG'!$A100)</f>
        <v>0</v>
      </c>
      <c r="BM100" s="15">
        <f>SUMIFS('BS-KH26-DongLam'!V$2:V$51,'BS-KH26-DongLam'!$A$2:$A$51,'Consol BS-DTRG'!$A100)</f>
        <v>0</v>
      </c>
      <c r="BN100" s="15">
        <f>SUMIFS('BS-KH26-DongLam'!W$2:W$51,'BS-KH26-DongLam'!$A$2:$A$51,'Consol BS-DTRG'!$A100)</f>
        <v>0</v>
      </c>
      <c r="BO100" s="15">
        <f>SUMIFS('BS-KH26-DongLam'!X$2:X$51,'BS-KH26-DongLam'!$A$2:$A$51,'Consol BS-DTRG'!$A100)</f>
        <v>0</v>
      </c>
      <c r="BQ100" s="15">
        <f>SUMIFS('BS-KH26-KhanhNga'!M$2:M$51,'BS-KH26-KhanhNga'!$A$2:$A$51,'Consol BS-DTRG'!$A100)</f>
        <v>0</v>
      </c>
      <c r="BR100" s="15">
        <f>SUMIFS('BS-KH26-KhanhNga'!N$2:N$51,'BS-KH26-KhanhNga'!$A$2:$A$51,'Consol BS-DTRG'!$A100)</f>
        <v>0</v>
      </c>
      <c r="BS100" s="15">
        <f>SUMIFS('BS-KH26-KhanhNga'!O$2:O$51,'BS-KH26-KhanhNga'!$A$2:$A$51,'Consol BS-DTRG'!$A100)</f>
        <v>0</v>
      </c>
      <c r="BT100" s="15">
        <f>SUMIFS('BS-KH26-KhanhNga'!P$2:P$51,'BS-KH26-KhanhNga'!$A$2:$A$51,'Consol BS-DTRG'!$A100)</f>
        <v>0</v>
      </c>
      <c r="BU100" s="15">
        <f>SUMIFS('BS-KH26-KhanhNga'!Q$2:Q$51,'BS-KH26-KhanhNga'!$A$2:$A$51,'Consol BS-DTRG'!$A100)</f>
        <v>0</v>
      </c>
      <c r="BV100" s="15">
        <f>SUMIFS('BS-KH26-KhanhNga'!R$2:R$51,'BS-KH26-KhanhNga'!$A$2:$A$51,'Consol BS-DTRG'!$A100)</f>
        <v>0</v>
      </c>
      <c r="BW100" s="15">
        <f>SUMIFS('BS-KH26-KhanhNga'!S$2:S$51,'BS-KH26-KhanhNga'!$A$2:$A$51,'Consol BS-DTRG'!$A100)</f>
        <v>0</v>
      </c>
      <c r="BX100" s="15">
        <f>SUMIFS('BS-KH26-KhanhNga'!T$2:T$51,'BS-KH26-KhanhNga'!$A$2:$A$51,'Consol BS-DTRG'!$A100)</f>
        <v>0</v>
      </c>
      <c r="BY100" s="15">
        <f>SUMIFS('BS-KH26-KhanhNga'!U$2:U$51,'BS-KH26-KhanhNga'!$A$2:$A$51,'Consol BS-DTRG'!$A100)</f>
        <v>0</v>
      </c>
      <c r="BZ100" s="15">
        <f>SUMIFS('BS-KH26-KhanhNga'!V$2:V$51,'BS-KH26-KhanhNga'!$A$2:$A$51,'Consol BS-DTRG'!$A100)</f>
        <v>0</v>
      </c>
      <c r="CA100" s="15">
        <f>SUMIFS('BS-KH26-KhanhNga'!W$2:W$51,'BS-KH26-KhanhNga'!$A$2:$A$51,'Consol BS-DTRG'!$A100)</f>
        <v>0</v>
      </c>
      <c r="CB100" s="15">
        <f>SUMIFS('BS-KH26-KhanhNga'!X$2:X$51,'BS-KH26-KhanhNga'!$A$2:$A$51,'Consol BS-DTRG'!$A100)</f>
        <v>0</v>
      </c>
      <c r="CD100" s="15">
        <f>SUMIFS('BS-KH26-DaiLoc'!M$2:M$51,'BS-KH26-DaiLoc'!$A$2:$A$51,'Consol BS-DTRG'!$A100)</f>
        <v>0</v>
      </c>
      <c r="CE100" s="15">
        <f>SUMIFS('BS-KH26-DaiLoc'!N$2:N$51,'BS-KH26-DaiLoc'!$A$2:$A$51,'Consol BS-DTRG'!$A100)</f>
        <v>0</v>
      </c>
      <c r="CF100" s="15">
        <f>SUMIFS('BS-KH26-DaiLoc'!O$2:O$51,'BS-KH26-DaiLoc'!$A$2:$A$51,'Consol BS-DTRG'!$A100)</f>
        <v>0</v>
      </c>
      <c r="CG100" s="15">
        <f>SUMIFS('BS-KH26-DaiLoc'!P$2:P$51,'BS-KH26-DaiLoc'!$A$2:$A$51,'Consol BS-DTRG'!$A100)</f>
        <v>0</v>
      </c>
      <c r="CH100" s="15">
        <f>SUMIFS('BS-KH26-DaiLoc'!Q$2:Q$51,'BS-KH26-DaiLoc'!$A$2:$A$51,'Consol BS-DTRG'!$A100)</f>
        <v>0</v>
      </c>
      <c r="CI100" s="15">
        <f>SUMIFS('BS-KH26-DaiLoc'!R$2:R$51,'BS-KH26-DaiLoc'!$A$2:$A$51,'Consol BS-DTRG'!$A100)</f>
        <v>0</v>
      </c>
      <c r="CJ100" s="15">
        <f>SUMIFS('BS-KH26-DaiLoc'!S$2:S$51,'BS-KH26-DaiLoc'!$A$2:$A$51,'Consol BS-DTRG'!$A100)</f>
        <v>0</v>
      </c>
      <c r="CK100" s="15">
        <f>SUMIFS('BS-KH26-DaiLoc'!T$2:T$51,'BS-KH26-DaiLoc'!$A$2:$A$51,'Consol BS-DTRG'!$A100)</f>
        <v>0</v>
      </c>
      <c r="CL100" s="15">
        <f>SUMIFS('BS-KH26-DaiLoc'!U$2:U$51,'BS-KH26-DaiLoc'!$A$2:$A$51,'Consol BS-DTRG'!$A100)</f>
        <v>0</v>
      </c>
      <c r="CM100" s="15">
        <f>SUMIFS('BS-KH26-DaiLoc'!V$2:V$51,'BS-KH26-DaiLoc'!$A$2:$A$51,'Consol BS-DTRG'!$A100)</f>
        <v>0</v>
      </c>
      <c r="CN100" s="15">
        <f>SUMIFS('BS-KH26-DaiLoc'!W$2:W$51,'BS-KH26-DaiLoc'!$A$2:$A$51,'Consol BS-DTRG'!$A100)</f>
        <v>0</v>
      </c>
      <c r="CO100" s="15">
        <f>SUMIFS('BS-KH26-DaiLoc'!X$2:X$51,'BS-KH26-DaiLoc'!$A$2:$A$51,'Consol BS-DTRG'!$A100)</f>
        <v>0</v>
      </c>
      <c r="CQ100" s="15">
        <v>0</v>
      </c>
      <c r="CR100" s="15">
        <f t="shared" ref="CR100:DB113" si="703">CQ100</f>
        <v>0</v>
      </c>
      <c r="CS100" s="15">
        <f t="shared" si="703"/>
        <v>0</v>
      </c>
      <c r="CT100" s="15">
        <f t="shared" si="703"/>
        <v>0</v>
      </c>
      <c r="CU100" s="15">
        <f t="shared" si="703"/>
        <v>0</v>
      </c>
      <c r="CV100" s="15">
        <f t="shared" si="703"/>
        <v>0</v>
      </c>
      <c r="CW100" s="15">
        <f t="shared" si="703"/>
        <v>0</v>
      </c>
      <c r="CX100" s="15">
        <f t="shared" si="703"/>
        <v>0</v>
      </c>
      <c r="CY100" s="15">
        <f t="shared" si="703"/>
        <v>0</v>
      </c>
      <c r="CZ100" s="15">
        <f t="shared" si="703"/>
        <v>0</v>
      </c>
      <c r="DA100" s="15">
        <f t="shared" si="703"/>
        <v>0</v>
      </c>
      <c r="DB100" s="15">
        <f t="shared" si="703"/>
        <v>0</v>
      </c>
    </row>
    <row r="101" spans="1:106" hidden="1" outlineLevel="1">
      <c r="A101" s="633">
        <v>98</v>
      </c>
      <c r="B101" s="625" t="s">
        <v>350</v>
      </c>
      <c r="C101" t="s">
        <v>518</v>
      </c>
      <c r="D101" s="15">
        <f t="shared" si="679"/>
        <v>0</v>
      </c>
      <c r="E101" s="15">
        <f t="shared" si="680"/>
        <v>0</v>
      </c>
      <c r="F101" s="15">
        <f t="shared" si="681"/>
        <v>0</v>
      </c>
      <c r="G101" s="15">
        <f t="shared" si="682"/>
        <v>0</v>
      </c>
      <c r="H101" s="15">
        <f t="shared" si="683"/>
        <v>0</v>
      </c>
      <c r="I101" s="15">
        <f t="shared" si="684"/>
        <v>0</v>
      </c>
      <c r="J101" s="15">
        <f t="shared" si="685"/>
        <v>0</v>
      </c>
      <c r="K101" s="15">
        <f t="shared" si="686"/>
        <v>0</v>
      </c>
      <c r="L101" s="15">
        <f t="shared" si="687"/>
        <v>0</v>
      </c>
      <c r="M101" s="15">
        <f t="shared" si="688"/>
        <v>0</v>
      </c>
      <c r="N101" s="15">
        <f t="shared" si="689"/>
        <v>0</v>
      </c>
      <c r="O101" s="15">
        <f t="shared" si="690"/>
        <v>0</v>
      </c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D101" s="646">
        <f t="shared" si="691"/>
        <v>0</v>
      </c>
      <c r="AE101" s="15">
        <f t="shared" si="692"/>
        <v>0</v>
      </c>
      <c r="AF101" s="15">
        <f t="shared" si="693"/>
        <v>0</v>
      </c>
      <c r="AG101" s="15">
        <f t="shared" si="694"/>
        <v>0</v>
      </c>
      <c r="AH101" s="15">
        <f t="shared" si="695"/>
        <v>0</v>
      </c>
      <c r="AI101" s="15">
        <f t="shared" si="696"/>
        <v>0</v>
      </c>
      <c r="AJ101" s="15">
        <f t="shared" si="697"/>
        <v>0</v>
      </c>
      <c r="AK101" s="15">
        <f t="shared" si="698"/>
        <v>0</v>
      </c>
      <c r="AL101" s="15">
        <f t="shared" si="699"/>
        <v>0</v>
      </c>
      <c r="AM101" s="15">
        <f t="shared" si="700"/>
        <v>0</v>
      </c>
      <c r="AN101" s="15">
        <f t="shared" si="701"/>
        <v>0</v>
      </c>
      <c r="AO101" s="647">
        <f t="shared" si="702"/>
        <v>0</v>
      </c>
      <c r="AQ101" s="15">
        <f>SUMIFS('BS-KH26-DTR'!D$2:D$116,'BS-KH26-DTR'!$B$2:$B$116,$A101)</f>
        <v>0</v>
      </c>
      <c r="AR101" s="15">
        <f>SUMIFS('BS-KH26-DTR'!E$2:E$116,'BS-KH26-DTR'!$B$2:$B$116,$A101)</f>
        <v>0</v>
      </c>
      <c r="AS101" s="15">
        <f>SUMIFS('BS-KH26-DTR'!F$2:F$116,'BS-KH26-DTR'!$B$2:$B$116,$A101)</f>
        <v>0</v>
      </c>
      <c r="AT101" s="15">
        <f>SUMIFS('BS-KH26-DTR'!G$2:G$116,'BS-KH26-DTR'!$B$2:$B$116,$A101)</f>
        <v>0</v>
      </c>
      <c r="AU101" s="15">
        <f>SUMIFS('BS-KH26-DTR'!H$2:H$116,'BS-KH26-DTR'!$B$2:$B$116,$A101)</f>
        <v>0</v>
      </c>
      <c r="AV101" s="15">
        <f>SUMIFS('BS-KH26-DTR'!I$2:I$116,'BS-KH26-DTR'!$B$2:$B$116,$A101)</f>
        <v>0</v>
      </c>
      <c r="AW101" s="15">
        <f>SUMIFS('BS-KH26-DTR'!J$2:J$116,'BS-KH26-DTR'!$B$2:$B$116,$A101)</f>
        <v>0</v>
      </c>
      <c r="AX101" s="15">
        <f>SUMIFS('BS-KH26-DTR'!K$2:K$116,'BS-KH26-DTR'!$B$2:$B$116,$A101)</f>
        <v>0</v>
      </c>
      <c r="AY101" s="15">
        <f>SUMIFS('BS-KH26-DTR'!L$2:L$116,'BS-KH26-DTR'!$B$2:$B$116,$A101)</f>
        <v>0</v>
      </c>
      <c r="AZ101" s="15">
        <f>SUMIFS('BS-KH26-DTR'!M$2:M$116,'BS-KH26-DTR'!$B$2:$B$116,$A101)</f>
        <v>0</v>
      </c>
      <c r="BA101" s="15">
        <f>SUMIFS('BS-KH26-DTR'!N$2:N$116,'BS-KH26-DTR'!$B$2:$B$116,$A101)</f>
        <v>0</v>
      </c>
      <c r="BB101" s="15">
        <f>SUMIFS('BS-KH26-DTR'!O$2:O$116,'BS-KH26-DTR'!$B$2:$B$116,$A101)</f>
        <v>0</v>
      </c>
      <c r="BD101" s="15">
        <f>SUMIFS('BS-KH26-DongLam'!M$2:M$51,'BS-KH26-DongLam'!$A$2:$A$51,'Consol BS-DTRG'!$A101)</f>
        <v>0</v>
      </c>
      <c r="BE101" s="15">
        <f>SUMIFS('BS-KH26-DongLam'!N$2:N$51,'BS-KH26-DongLam'!$A$2:$A$51,'Consol BS-DTRG'!$A101)</f>
        <v>0</v>
      </c>
      <c r="BF101" s="15">
        <f>SUMIFS('BS-KH26-DongLam'!O$2:O$51,'BS-KH26-DongLam'!$A$2:$A$51,'Consol BS-DTRG'!$A101)</f>
        <v>0</v>
      </c>
      <c r="BG101" s="15">
        <f>SUMIFS('BS-KH26-DongLam'!P$2:P$51,'BS-KH26-DongLam'!$A$2:$A$51,'Consol BS-DTRG'!$A101)</f>
        <v>0</v>
      </c>
      <c r="BH101" s="15">
        <f>SUMIFS('BS-KH26-DongLam'!Q$2:Q$51,'BS-KH26-DongLam'!$A$2:$A$51,'Consol BS-DTRG'!$A101)</f>
        <v>0</v>
      </c>
      <c r="BI101" s="15">
        <f>SUMIFS('BS-KH26-DongLam'!R$2:R$51,'BS-KH26-DongLam'!$A$2:$A$51,'Consol BS-DTRG'!$A101)</f>
        <v>0</v>
      </c>
      <c r="BJ101" s="15">
        <f>SUMIFS('BS-KH26-DongLam'!S$2:S$51,'BS-KH26-DongLam'!$A$2:$A$51,'Consol BS-DTRG'!$A101)</f>
        <v>0</v>
      </c>
      <c r="BK101" s="15">
        <f>SUMIFS('BS-KH26-DongLam'!T$2:T$51,'BS-KH26-DongLam'!$A$2:$A$51,'Consol BS-DTRG'!$A101)</f>
        <v>0</v>
      </c>
      <c r="BL101" s="15">
        <f>SUMIFS('BS-KH26-DongLam'!U$2:U$51,'BS-KH26-DongLam'!$A$2:$A$51,'Consol BS-DTRG'!$A101)</f>
        <v>0</v>
      </c>
      <c r="BM101" s="15">
        <f>SUMIFS('BS-KH26-DongLam'!V$2:V$51,'BS-KH26-DongLam'!$A$2:$A$51,'Consol BS-DTRG'!$A101)</f>
        <v>0</v>
      </c>
      <c r="BN101" s="15">
        <f>SUMIFS('BS-KH26-DongLam'!W$2:W$51,'BS-KH26-DongLam'!$A$2:$A$51,'Consol BS-DTRG'!$A101)</f>
        <v>0</v>
      </c>
      <c r="BO101" s="15">
        <f>SUMIFS('BS-KH26-DongLam'!X$2:X$51,'BS-KH26-DongLam'!$A$2:$A$51,'Consol BS-DTRG'!$A101)</f>
        <v>0</v>
      </c>
      <c r="BQ101" s="15">
        <f>SUMIFS('BS-KH26-KhanhNga'!M$2:M$51,'BS-KH26-KhanhNga'!$A$2:$A$51,'Consol BS-DTRG'!$A101)</f>
        <v>0</v>
      </c>
      <c r="BR101" s="15">
        <f>SUMIFS('BS-KH26-KhanhNga'!N$2:N$51,'BS-KH26-KhanhNga'!$A$2:$A$51,'Consol BS-DTRG'!$A101)</f>
        <v>0</v>
      </c>
      <c r="BS101" s="15">
        <f>SUMIFS('BS-KH26-KhanhNga'!O$2:O$51,'BS-KH26-KhanhNga'!$A$2:$A$51,'Consol BS-DTRG'!$A101)</f>
        <v>0</v>
      </c>
      <c r="BT101" s="15">
        <f>SUMIFS('BS-KH26-KhanhNga'!P$2:P$51,'BS-KH26-KhanhNga'!$A$2:$A$51,'Consol BS-DTRG'!$A101)</f>
        <v>0</v>
      </c>
      <c r="BU101" s="15">
        <f>SUMIFS('BS-KH26-KhanhNga'!Q$2:Q$51,'BS-KH26-KhanhNga'!$A$2:$A$51,'Consol BS-DTRG'!$A101)</f>
        <v>0</v>
      </c>
      <c r="BV101" s="15">
        <f>SUMIFS('BS-KH26-KhanhNga'!R$2:R$51,'BS-KH26-KhanhNga'!$A$2:$A$51,'Consol BS-DTRG'!$A101)</f>
        <v>0</v>
      </c>
      <c r="BW101" s="15">
        <f>SUMIFS('BS-KH26-KhanhNga'!S$2:S$51,'BS-KH26-KhanhNga'!$A$2:$A$51,'Consol BS-DTRG'!$A101)</f>
        <v>0</v>
      </c>
      <c r="BX101" s="15">
        <f>SUMIFS('BS-KH26-KhanhNga'!T$2:T$51,'BS-KH26-KhanhNga'!$A$2:$A$51,'Consol BS-DTRG'!$A101)</f>
        <v>0</v>
      </c>
      <c r="BY101" s="15">
        <f>SUMIFS('BS-KH26-KhanhNga'!U$2:U$51,'BS-KH26-KhanhNga'!$A$2:$A$51,'Consol BS-DTRG'!$A101)</f>
        <v>0</v>
      </c>
      <c r="BZ101" s="15">
        <f>SUMIFS('BS-KH26-KhanhNga'!V$2:V$51,'BS-KH26-KhanhNga'!$A$2:$A$51,'Consol BS-DTRG'!$A101)</f>
        <v>0</v>
      </c>
      <c r="CA101" s="15">
        <f>SUMIFS('BS-KH26-KhanhNga'!W$2:W$51,'BS-KH26-KhanhNga'!$A$2:$A$51,'Consol BS-DTRG'!$A101)</f>
        <v>0</v>
      </c>
      <c r="CB101" s="15">
        <f>SUMIFS('BS-KH26-KhanhNga'!X$2:X$51,'BS-KH26-KhanhNga'!$A$2:$A$51,'Consol BS-DTRG'!$A101)</f>
        <v>0</v>
      </c>
      <c r="CD101" s="15">
        <f>SUMIFS('BS-KH26-DaiLoc'!M$2:M$51,'BS-KH26-DaiLoc'!$A$2:$A$51,'Consol BS-DTRG'!$A101)</f>
        <v>0</v>
      </c>
      <c r="CE101" s="15">
        <f>SUMIFS('BS-KH26-DaiLoc'!N$2:N$51,'BS-KH26-DaiLoc'!$A$2:$A$51,'Consol BS-DTRG'!$A101)</f>
        <v>0</v>
      </c>
      <c r="CF101" s="15">
        <f>SUMIFS('BS-KH26-DaiLoc'!O$2:O$51,'BS-KH26-DaiLoc'!$A$2:$A$51,'Consol BS-DTRG'!$A101)</f>
        <v>0</v>
      </c>
      <c r="CG101" s="15">
        <f>SUMIFS('BS-KH26-DaiLoc'!P$2:P$51,'BS-KH26-DaiLoc'!$A$2:$A$51,'Consol BS-DTRG'!$A101)</f>
        <v>0</v>
      </c>
      <c r="CH101" s="15">
        <f>SUMIFS('BS-KH26-DaiLoc'!Q$2:Q$51,'BS-KH26-DaiLoc'!$A$2:$A$51,'Consol BS-DTRG'!$A101)</f>
        <v>0</v>
      </c>
      <c r="CI101" s="15">
        <f>SUMIFS('BS-KH26-DaiLoc'!R$2:R$51,'BS-KH26-DaiLoc'!$A$2:$A$51,'Consol BS-DTRG'!$A101)</f>
        <v>0</v>
      </c>
      <c r="CJ101" s="15">
        <f>SUMIFS('BS-KH26-DaiLoc'!S$2:S$51,'BS-KH26-DaiLoc'!$A$2:$A$51,'Consol BS-DTRG'!$A101)</f>
        <v>0</v>
      </c>
      <c r="CK101" s="15">
        <f>SUMIFS('BS-KH26-DaiLoc'!T$2:T$51,'BS-KH26-DaiLoc'!$A$2:$A$51,'Consol BS-DTRG'!$A101)</f>
        <v>0</v>
      </c>
      <c r="CL101" s="15">
        <f>SUMIFS('BS-KH26-DaiLoc'!U$2:U$51,'BS-KH26-DaiLoc'!$A$2:$A$51,'Consol BS-DTRG'!$A101)</f>
        <v>0</v>
      </c>
      <c r="CM101" s="15">
        <f>SUMIFS('BS-KH26-DaiLoc'!V$2:V$51,'BS-KH26-DaiLoc'!$A$2:$A$51,'Consol BS-DTRG'!$A101)</f>
        <v>0</v>
      </c>
      <c r="CN101" s="15">
        <f>SUMIFS('BS-KH26-DaiLoc'!W$2:W$51,'BS-KH26-DaiLoc'!$A$2:$A$51,'Consol BS-DTRG'!$A101)</f>
        <v>0</v>
      </c>
      <c r="CO101" s="15">
        <f>SUMIFS('BS-KH26-DaiLoc'!X$2:X$51,'BS-KH26-DaiLoc'!$A$2:$A$51,'Consol BS-DTRG'!$A101)</f>
        <v>0</v>
      </c>
      <c r="CQ101" s="15">
        <v>0</v>
      </c>
      <c r="CR101" s="15">
        <f t="shared" si="703"/>
        <v>0</v>
      </c>
      <c r="CS101" s="15">
        <f t="shared" si="703"/>
        <v>0</v>
      </c>
      <c r="CT101" s="15">
        <f t="shared" si="703"/>
        <v>0</v>
      </c>
      <c r="CU101" s="15">
        <f t="shared" si="703"/>
        <v>0</v>
      </c>
      <c r="CV101" s="15">
        <f t="shared" si="703"/>
        <v>0</v>
      </c>
      <c r="CW101" s="15">
        <f t="shared" si="703"/>
        <v>0</v>
      </c>
      <c r="CX101" s="15">
        <f t="shared" si="703"/>
        <v>0</v>
      </c>
      <c r="CY101" s="15">
        <f t="shared" si="703"/>
        <v>0</v>
      </c>
      <c r="CZ101" s="15">
        <f t="shared" si="703"/>
        <v>0</v>
      </c>
      <c r="DA101" s="15">
        <f t="shared" si="703"/>
        <v>0</v>
      </c>
      <c r="DB101" s="15">
        <f t="shared" si="703"/>
        <v>0</v>
      </c>
    </row>
    <row r="102" spans="1:106" hidden="1" outlineLevel="1">
      <c r="A102" s="633">
        <v>99</v>
      </c>
      <c r="B102" s="625" t="s">
        <v>351</v>
      </c>
      <c r="C102" t="s">
        <v>518</v>
      </c>
      <c r="D102" s="15">
        <f t="shared" si="679"/>
        <v>0</v>
      </c>
      <c r="E102" s="15">
        <f t="shared" si="680"/>
        <v>0</v>
      </c>
      <c r="F102" s="15">
        <f t="shared" si="681"/>
        <v>0</v>
      </c>
      <c r="G102" s="15">
        <f t="shared" si="682"/>
        <v>0</v>
      </c>
      <c r="H102" s="15">
        <f t="shared" si="683"/>
        <v>0</v>
      </c>
      <c r="I102" s="15">
        <f t="shared" si="684"/>
        <v>0</v>
      </c>
      <c r="J102" s="15">
        <f t="shared" si="685"/>
        <v>0</v>
      </c>
      <c r="K102" s="15">
        <f t="shared" si="686"/>
        <v>0</v>
      </c>
      <c r="L102" s="15">
        <f t="shared" si="687"/>
        <v>0</v>
      </c>
      <c r="M102" s="15">
        <f t="shared" si="688"/>
        <v>0</v>
      </c>
      <c r="N102" s="15">
        <f t="shared" si="689"/>
        <v>0</v>
      </c>
      <c r="O102" s="15">
        <f t="shared" si="690"/>
        <v>0</v>
      </c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D102" s="646">
        <f t="shared" si="691"/>
        <v>0</v>
      </c>
      <c r="AE102" s="15">
        <f t="shared" si="692"/>
        <v>0</v>
      </c>
      <c r="AF102" s="15">
        <f t="shared" si="693"/>
        <v>0</v>
      </c>
      <c r="AG102" s="15">
        <f t="shared" si="694"/>
        <v>0</v>
      </c>
      <c r="AH102" s="15">
        <f t="shared" si="695"/>
        <v>0</v>
      </c>
      <c r="AI102" s="15">
        <f t="shared" si="696"/>
        <v>0</v>
      </c>
      <c r="AJ102" s="15">
        <f t="shared" si="697"/>
        <v>0</v>
      </c>
      <c r="AK102" s="15">
        <f t="shared" si="698"/>
        <v>0</v>
      </c>
      <c r="AL102" s="15">
        <f t="shared" si="699"/>
        <v>0</v>
      </c>
      <c r="AM102" s="15">
        <f t="shared" si="700"/>
        <v>0</v>
      </c>
      <c r="AN102" s="15">
        <f t="shared" si="701"/>
        <v>0</v>
      </c>
      <c r="AO102" s="647">
        <f t="shared" si="702"/>
        <v>0</v>
      </c>
      <c r="AQ102" s="15">
        <f>SUMIFS('BS-KH26-DTR'!D$2:D$116,'BS-KH26-DTR'!$B$2:$B$116,$A102)</f>
        <v>0</v>
      </c>
      <c r="AR102" s="15">
        <f>SUMIFS('BS-KH26-DTR'!E$2:E$116,'BS-KH26-DTR'!$B$2:$B$116,$A102)</f>
        <v>0</v>
      </c>
      <c r="AS102" s="15">
        <f>SUMIFS('BS-KH26-DTR'!F$2:F$116,'BS-KH26-DTR'!$B$2:$B$116,$A102)</f>
        <v>0</v>
      </c>
      <c r="AT102" s="15">
        <f>SUMIFS('BS-KH26-DTR'!G$2:G$116,'BS-KH26-DTR'!$B$2:$B$116,$A102)</f>
        <v>0</v>
      </c>
      <c r="AU102" s="15">
        <f>SUMIFS('BS-KH26-DTR'!H$2:H$116,'BS-KH26-DTR'!$B$2:$B$116,$A102)</f>
        <v>0</v>
      </c>
      <c r="AV102" s="15">
        <f>SUMIFS('BS-KH26-DTR'!I$2:I$116,'BS-KH26-DTR'!$B$2:$B$116,$A102)</f>
        <v>0</v>
      </c>
      <c r="AW102" s="15">
        <f>SUMIFS('BS-KH26-DTR'!J$2:J$116,'BS-KH26-DTR'!$B$2:$B$116,$A102)</f>
        <v>0</v>
      </c>
      <c r="AX102" s="15">
        <f>SUMIFS('BS-KH26-DTR'!K$2:K$116,'BS-KH26-DTR'!$B$2:$B$116,$A102)</f>
        <v>0</v>
      </c>
      <c r="AY102" s="15">
        <f>SUMIFS('BS-KH26-DTR'!L$2:L$116,'BS-KH26-DTR'!$B$2:$B$116,$A102)</f>
        <v>0</v>
      </c>
      <c r="AZ102" s="15">
        <f>SUMIFS('BS-KH26-DTR'!M$2:M$116,'BS-KH26-DTR'!$B$2:$B$116,$A102)</f>
        <v>0</v>
      </c>
      <c r="BA102" s="15">
        <f>SUMIFS('BS-KH26-DTR'!N$2:N$116,'BS-KH26-DTR'!$B$2:$B$116,$A102)</f>
        <v>0</v>
      </c>
      <c r="BB102" s="15">
        <f>SUMIFS('BS-KH26-DTR'!O$2:O$116,'BS-KH26-DTR'!$B$2:$B$116,$A102)</f>
        <v>0</v>
      </c>
      <c r="BD102" s="15">
        <f>SUMIFS('BS-KH26-DongLam'!M$2:M$51,'BS-KH26-DongLam'!$A$2:$A$51,'Consol BS-DTRG'!$A102)</f>
        <v>0</v>
      </c>
      <c r="BE102" s="15">
        <f>SUMIFS('BS-KH26-DongLam'!N$2:N$51,'BS-KH26-DongLam'!$A$2:$A$51,'Consol BS-DTRG'!$A102)</f>
        <v>0</v>
      </c>
      <c r="BF102" s="15">
        <f>SUMIFS('BS-KH26-DongLam'!O$2:O$51,'BS-KH26-DongLam'!$A$2:$A$51,'Consol BS-DTRG'!$A102)</f>
        <v>0</v>
      </c>
      <c r="BG102" s="15">
        <f>SUMIFS('BS-KH26-DongLam'!P$2:P$51,'BS-KH26-DongLam'!$A$2:$A$51,'Consol BS-DTRG'!$A102)</f>
        <v>0</v>
      </c>
      <c r="BH102" s="15">
        <f>SUMIFS('BS-KH26-DongLam'!Q$2:Q$51,'BS-KH26-DongLam'!$A$2:$A$51,'Consol BS-DTRG'!$A102)</f>
        <v>0</v>
      </c>
      <c r="BI102" s="15">
        <f>SUMIFS('BS-KH26-DongLam'!R$2:R$51,'BS-KH26-DongLam'!$A$2:$A$51,'Consol BS-DTRG'!$A102)</f>
        <v>0</v>
      </c>
      <c r="BJ102" s="15">
        <f>SUMIFS('BS-KH26-DongLam'!S$2:S$51,'BS-KH26-DongLam'!$A$2:$A$51,'Consol BS-DTRG'!$A102)</f>
        <v>0</v>
      </c>
      <c r="BK102" s="15">
        <f>SUMIFS('BS-KH26-DongLam'!T$2:T$51,'BS-KH26-DongLam'!$A$2:$A$51,'Consol BS-DTRG'!$A102)</f>
        <v>0</v>
      </c>
      <c r="BL102" s="15">
        <f>SUMIFS('BS-KH26-DongLam'!U$2:U$51,'BS-KH26-DongLam'!$A$2:$A$51,'Consol BS-DTRG'!$A102)</f>
        <v>0</v>
      </c>
      <c r="BM102" s="15">
        <f>SUMIFS('BS-KH26-DongLam'!V$2:V$51,'BS-KH26-DongLam'!$A$2:$A$51,'Consol BS-DTRG'!$A102)</f>
        <v>0</v>
      </c>
      <c r="BN102" s="15">
        <f>SUMIFS('BS-KH26-DongLam'!W$2:W$51,'BS-KH26-DongLam'!$A$2:$A$51,'Consol BS-DTRG'!$A102)</f>
        <v>0</v>
      </c>
      <c r="BO102" s="15">
        <f>SUMIFS('BS-KH26-DongLam'!X$2:X$51,'BS-KH26-DongLam'!$A$2:$A$51,'Consol BS-DTRG'!$A102)</f>
        <v>0</v>
      </c>
      <c r="BQ102" s="15">
        <f>SUMIFS('BS-KH26-KhanhNga'!M$2:M$51,'BS-KH26-KhanhNga'!$A$2:$A$51,'Consol BS-DTRG'!$A102)</f>
        <v>0</v>
      </c>
      <c r="BR102" s="15">
        <f>SUMIFS('BS-KH26-KhanhNga'!N$2:N$51,'BS-KH26-KhanhNga'!$A$2:$A$51,'Consol BS-DTRG'!$A102)</f>
        <v>0</v>
      </c>
      <c r="BS102" s="15">
        <f>SUMIFS('BS-KH26-KhanhNga'!O$2:O$51,'BS-KH26-KhanhNga'!$A$2:$A$51,'Consol BS-DTRG'!$A102)</f>
        <v>0</v>
      </c>
      <c r="BT102" s="15">
        <f>SUMIFS('BS-KH26-KhanhNga'!P$2:P$51,'BS-KH26-KhanhNga'!$A$2:$A$51,'Consol BS-DTRG'!$A102)</f>
        <v>0</v>
      </c>
      <c r="BU102" s="15">
        <f>SUMIFS('BS-KH26-KhanhNga'!Q$2:Q$51,'BS-KH26-KhanhNga'!$A$2:$A$51,'Consol BS-DTRG'!$A102)</f>
        <v>0</v>
      </c>
      <c r="BV102" s="15">
        <f>SUMIFS('BS-KH26-KhanhNga'!R$2:R$51,'BS-KH26-KhanhNga'!$A$2:$A$51,'Consol BS-DTRG'!$A102)</f>
        <v>0</v>
      </c>
      <c r="BW102" s="15">
        <f>SUMIFS('BS-KH26-KhanhNga'!S$2:S$51,'BS-KH26-KhanhNga'!$A$2:$A$51,'Consol BS-DTRG'!$A102)</f>
        <v>0</v>
      </c>
      <c r="BX102" s="15">
        <f>SUMIFS('BS-KH26-KhanhNga'!T$2:T$51,'BS-KH26-KhanhNga'!$A$2:$A$51,'Consol BS-DTRG'!$A102)</f>
        <v>0</v>
      </c>
      <c r="BY102" s="15">
        <f>SUMIFS('BS-KH26-KhanhNga'!U$2:U$51,'BS-KH26-KhanhNga'!$A$2:$A$51,'Consol BS-DTRG'!$A102)</f>
        <v>0</v>
      </c>
      <c r="BZ102" s="15">
        <f>SUMIFS('BS-KH26-KhanhNga'!V$2:V$51,'BS-KH26-KhanhNga'!$A$2:$A$51,'Consol BS-DTRG'!$A102)</f>
        <v>0</v>
      </c>
      <c r="CA102" s="15">
        <f>SUMIFS('BS-KH26-KhanhNga'!W$2:W$51,'BS-KH26-KhanhNga'!$A$2:$A$51,'Consol BS-DTRG'!$A102)</f>
        <v>0</v>
      </c>
      <c r="CB102" s="15">
        <f>SUMIFS('BS-KH26-KhanhNga'!X$2:X$51,'BS-KH26-KhanhNga'!$A$2:$A$51,'Consol BS-DTRG'!$A102)</f>
        <v>0</v>
      </c>
      <c r="CD102" s="15">
        <f>SUMIFS('BS-KH26-DaiLoc'!M$2:M$51,'BS-KH26-DaiLoc'!$A$2:$A$51,'Consol BS-DTRG'!$A102)</f>
        <v>0</v>
      </c>
      <c r="CE102" s="15">
        <f>SUMIFS('BS-KH26-DaiLoc'!N$2:N$51,'BS-KH26-DaiLoc'!$A$2:$A$51,'Consol BS-DTRG'!$A102)</f>
        <v>0</v>
      </c>
      <c r="CF102" s="15">
        <f>SUMIFS('BS-KH26-DaiLoc'!O$2:O$51,'BS-KH26-DaiLoc'!$A$2:$A$51,'Consol BS-DTRG'!$A102)</f>
        <v>0</v>
      </c>
      <c r="CG102" s="15">
        <f>SUMIFS('BS-KH26-DaiLoc'!P$2:P$51,'BS-KH26-DaiLoc'!$A$2:$A$51,'Consol BS-DTRG'!$A102)</f>
        <v>0</v>
      </c>
      <c r="CH102" s="15">
        <f>SUMIFS('BS-KH26-DaiLoc'!Q$2:Q$51,'BS-KH26-DaiLoc'!$A$2:$A$51,'Consol BS-DTRG'!$A102)</f>
        <v>0</v>
      </c>
      <c r="CI102" s="15">
        <f>SUMIFS('BS-KH26-DaiLoc'!R$2:R$51,'BS-KH26-DaiLoc'!$A$2:$A$51,'Consol BS-DTRG'!$A102)</f>
        <v>0</v>
      </c>
      <c r="CJ102" s="15">
        <f>SUMIFS('BS-KH26-DaiLoc'!S$2:S$51,'BS-KH26-DaiLoc'!$A$2:$A$51,'Consol BS-DTRG'!$A102)</f>
        <v>0</v>
      </c>
      <c r="CK102" s="15">
        <f>SUMIFS('BS-KH26-DaiLoc'!T$2:T$51,'BS-KH26-DaiLoc'!$A$2:$A$51,'Consol BS-DTRG'!$A102)</f>
        <v>0</v>
      </c>
      <c r="CL102" s="15">
        <f>SUMIFS('BS-KH26-DaiLoc'!U$2:U$51,'BS-KH26-DaiLoc'!$A$2:$A$51,'Consol BS-DTRG'!$A102)</f>
        <v>0</v>
      </c>
      <c r="CM102" s="15">
        <f>SUMIFS('BS-KH26-DaiLoc'!V$2:V$51,'BS-KH26-DaiLoc'!$A$2:$A$51,'Consol BS-DTRG'!$A102)</f>
        <v>0</v>
      </c>
      <c r="CN102" s="15">
        <f>SUMIFS('BS-KH26-DaiLoc'!W$2:W$51,'BS-KH26-DaiLoc'!$A$2:$A$51,'Consol BS-DTRG'!$A102)</f>
        <v>0</v>
      </c>
      <c r="CO102" s="15">
        <f>SUMIFS('BS-KH26-DaiLoc'!X$2:X$51,'BS-KH26-DaiLoc'!$A$2:$A$51,'Consol BS-DTRG'!$A102)</f>
        <v>0</v>
      </c>
      <c r="CQ102" s="15">
        <v>0</v>
      </c>
      <c r="CR102" s="15">
        <f t="shared" si="703"/>
        <v>0</v>
      </c>
      <c r="CS102" s="15">
        <f t="shared" si="703"/>
        <v>0</v>
      </c>
      <c r="CT102" s="15">
        <f t="shared" si="703"/>
        <v>0</v>
      </c>
      <c r="CU102" s="15">
        <f t="shared" si="703"/>
        <v>0</v>
      </c>
      <c r="CV102" s="15">
        <f t="shared" si="703"/>
        <v>0</v>
      </c>
      <c r="CW102" s="15">
        <f t="shared" si="703"/>
        <v>0</v>
      </c>
      <c r="CX102" s="15">
        <f t="shared" si="703"/>
        <v>0</v>
      </c>
      <c r="CY102" s="15">
        <f t="shared" si="703"/>
        <v>0</v>
      </c>
      <c r="CZ102" s="15">
        <f t="shared" si="703"/>
        <v>0</v>
      </c>
      <c r="DA102" s="15">
        <f t="shared" si="703"/>
        <v>0</v>
      </c>
      <c r="DB102" s="15">
        <f t="shared" si="703"/>
        <v>0</v>
      </c>
    </row>
    <row r="103" spans="1:106" hidden="1" outlineLevel="1">
      <c r="A103" s="633">
        <v>100</v>
      </c>
      <c r="B103" s="625" t="s">
        <v>352</v>
      </c>
      <c r="C103" t="s">
        <v>518</v>
      </c>
      <c r="D103" s="15">
        <f t="shared" si="679"/>
        <v>0</v>
      </c>
      <c r="E103" s="15">
        <f t="shared" si="680"/>
        <v>0</v>
      </c>
      <c r="F103" s="15">
        <f t="shared" si="681"/>
        <v>0</v>
      </c>
      <c r="G103" s="15">
        <f t="shared" si="682"/>
        <v>0</v>
      </c>
      <c r="H103" s="15">
        <f t="shared" si="683"/>
        <v>0</v>
      </c>
      <c r="I103" s="15">
        <f t="shared" si="684"/>
        <v>0</v>
      </c>
      <c r="J103" s="15">
        <f t="shared" si="685"/>
        <v>0</v>
      </c>
      <c r="K103" s="15">
        <f t="shared" si="686"/>
        <v>0</v>
      </c>
      <c r="L103" s="15">
        <f t="shared" si="687"/>
        <v>0</v>
      </c>
      <c r="M103" s="15">
        <f t="shared" si="688"/>
        <v>0</v>
      </c>
      <c r="N103" s="15">
        <f t="shared" si="689"/>
        <v>0</v>
      </c>
      <c r="O103" s="15">
        <f t="shared" si="690"/>
        <v>0</v>
      </c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D103" s="646">
        <f t="shared" si="691"/>
        <v>0</v>
      </c>
      <c r="AE103" s="15">
        <f t="shared" si="692"/>
        <v>0</v>
      </c>
      <c r="AF103" s="15">
        <f t="shared" si="693"/>
        <v>0</v>
      </c>
      <c r="AG103" s="15">
        <f t="shared" si="694"/>
        <v>0</v>
      </c>
      <c r="AH103" s="15">
        <f t="shared" si="695"/>
        <v>0</v>
      </c>
      <c r="AI103" s="15">
        <f t="shared" si="696"/>
        <v>0</v>
      </c>
      <c r="AJ103" s="15">
        <f t="shared" si="697"/>
        <v>0</v>
      </c>
      <c r="AK103" s="15">
        <f t="shared" si="698"/>
        <v>0</v>
      </c>
      <c r="AL103" s="15">
        <f t="shared" si="699"/>
        <v>0</v>
      </c>
      <c r="AM103" s="15">
        <f t="shared" si="700"/>
        <v>0</v>
      </c>
      <c r="AN103" s="15">
        <f t="shared" si="701"/>
        <v>0</v>
      </c>
      <c r="AO103" s="647">
        <f t="shared" si="702"/>
        <v>0</v>
      </c>
      <c r="AQ103" s="15">
        <f>SUMIFS('BS-KH26-DTR'!D$2:D$116,'BS-KH26-DTR'!$B$2:$B$116,$A103)</f>
        <v>0</v>
      </c>
      <c r="AR103" s="15">
        <f>SUMIFS('BS-KH26-DTR'!E$2:E$116,'BS-KH26-DTR'!$B$2:$B$116,$A103)</f>
        <v>0</v>
      </c>
      <c r="AS103" s="15">
        <f>SUMIFS('BS-KH26-DTR'!F$2:F$116,'BS-KH26-DTR'!$B$2:$B$116,$A103)</f>
        <v>0</v>
      </c>
      <c r="AT103" s="15">
        <f>SUMIFS('BS-KH26-DTR'!G$2:G$116,'BS-KH26-DTR'!$B$2:$B$116,$A103)</f>
        <v>0</v>
      </c>
      <c r="AU103" s="15">
        <f>SUMIFS('BS-KH26-DTR'!H$2:H$116,'BS-KH26-DTR'!$B$2:$B$116,$A103)</f>
        <v>0</v>
      </c>
      <c r="AV103" s="15">
        <f>SUMIFS('BS-KH26-DTR'!I$2:I$116,'BS-KH26-DTR'!$B$2:$B$116,$A103)</f>
        <v>0</v>
      </c>
      <c r="AW103" s="15">
        <f>SUMIFS('BS-KH26-DTR'!J$2:J$116,'BS-KH26-DTR'!$B$2:$B$116,$A103)</f>
        <v>0</v>
      </c>
      <c r="AX103" s="15">
        <f>SUMIFS('BS-KH26-DTR'!K$2:K$116,'BS-KH26-DTR'!$B$2:$B$116,$A103)</f>
        <v>0</v>
      </c>
      <c r="AY103" s="15">
        <f>SUMIFS('BS-KH26-DTR'!L$2:L$116,'BS-KH26-DTR'!$B$2:$B$116,$A103)</f>
        <v>0</v>
      </c>
      <c r="AZ103" s="15">
        <f>SUMIFS('BS-KH26-DTR'!M$2:M$116,'BS-KH26-DTR'!$B$2:$B$116,$A103)</f>
        <v>0</v>
      </c>
      <c r="BA103" s="15">
        <f>SUMIFS('BS-KH26-DTR'!N$2:N$116,'BS-KH26-DTR'!$B$2:$B$116,$A103)</f>
        <v>0</v>
      </c>
      <c r="BB103" s="15">
        <f>SUMIFS('BS-KH26-DTR'!O$2:O$116,'BS-KH26-DTR'!$B$2:$B$116,$A103)</f>
        <v>0</v>
      </c>
      <c r="BD103" s="15">
        <f>SUMIFS('BS-KH26-DongLam'!M$2:M$51,'BS-KH26-DongLam'!$A$2:$A$51,'Consol BS-DTRG'!$A103)</f>
        <v>0</v>
      </c>
      <c r="BE103" s="15">
        <f>SUMIFS('BS-KH26-DongLam'!N$2:N$51,'BS-KH26-DongLam'!$A$2:$A$51,'Consol BS-DTRG'!$A103)</f>
        <v>0</v>
      </c>
      <c r="BF103" s="15">
        <f>SUMIFS('BS-KH26-DongLam'!O$2:O$51,'BS-KH26-DongLam'!$A$2:$A$51,'Consol BS-DTRG'!$A103)</f>
        <v>0</v>
      </c>
      <c r="BG103" s="15">
        <f>SUMIFS('BS-KH26-DongLam'!P$2:P$51,'BS-KH26-DongLam'!$A$2:$A$51,'Consol BS-DTRG'!$A103)</f>
        <v>0</v>
      </c>
      <c r="BH103" s="15">
        <f>SUMIFS('BS-KH26-DongLam'!Q$2:Q$51,'BS-KH26-DongLam'!$A$2:$A$51,'Consol BS-DTRG'!$A103)</f>
        <v>0</v>
      </c>
      <c r="BI103" s="15">
        <f>SUMIFS('BS-KH26-DongLam'!R$2:R$51,'BS-KH26-DongLam'!$A$2:$A$51,'Consol BS-DTRG'!$A103)</f>
        <v>0</v>
      </c>
      <c r="BJ103" s="15">
        <f>SUMIFS('BS-KH26-DongLam'!S$2:S$51,'BS-KH26-DongLam'!$A$2:$A$51,'Consol BS-DTRG'!$A103)</f>
        <v>0</v>
      </c>
      <c r="BK103" s="15">
        <f>SUMIFS('BS-KH26-DongLam'!T$2:T$51,'BS-KH26-DongLam'!$A$2:$A$51,'Consol BS-DTRG'!$A103)</f>
        <v>0</v>
      </c>
      <c r="BL103" s="15">
        <f>SUMIFS('BS-KH26-DongLam'!U$2:U$51,'BS-KH26-DongLam'!$A$2:$A$51,'Consol BS-DTRG'!$A103)</f>
        <v>0</v>
      </c>
      <c r="BM103" s="15">
        <f>SUMIFS('BS-KH26-DongLam'!V$2:V$51,'BS-KH26-DongLam'!$A$2:$A$51,'Consol BS-DTRG'!$A103)</f>
        <v>0</v>
      </c>
      <c r="BN103" s="15">
        <f>SUMIFS('BS-KH26-DongLam'!W$2:W$51,'BS-KH26-DongLam'!$A$2:$A$51,'Consol BS-DTRG'!$A103)</f>
        <v>0</v>
      </c>
      <c r="BO103" s="15">
        <f>SUMIFS('BS-KH26-DongLam'!X$2:X$51,'BS-KH26-DongLam'!$A$2:$A$51,'Consol BS-DTRG'!$A103)</f>
        <v>0</v>
      </c>
      <c r="BQ103" s="15">
        <f>SUMIFS('BS-KH26-KhanhNga'!M$2:M$51,'BS-KH26-KhanhNga'!$A$2:$A$51,'Consol BS-DTRG'!$A103)</f>
        <v>0</v>
      </c>
      <c r="BR103" s="15">
        <f>SUMIFS('BS-KH26-KhanhNga'!N$2:N$51,'BS-KH26-KhanhNga'!$A$2:$A$51,'Consol BS-DTRG'!$A103)</f>
        <v>0</v>
      </c>
      <c r="BS103" s="15">
        <f>SUMIFS('BS-KH26-KhanhNga'!O$2:O$51,'BS-KH26-KhanhNga'!$A$2:$A$51,'Consol BS-DTRG'!$A103)</f>
        <v>0</v>
      </c>
      <c r="BT103" s="15">
        <f>SUMIFS('BS-KH26-KhanhNga'!P$2:P$51,'BS-KH26-KhanhNga'!$A$2:$A$51,'Consol BS-DTRG'!$A103)</f>
        <v>0</v>
      </c>
      <c r="BU103" s="15">
        <f>SUMIFS('BS-KH26-KhanhNga'!Q$2:Q$51,'BS-KH26-KhanhNga'!$A$2:$A$51,'Consol BS-DTRG'!$A103)</f>
        <v>0</v>
      </c>
      <c r="BV103" s="15">
        <f>SUMIFS('BS-KH26-KhanhNga'!R$2:R$51,'BS-KH26-KhanhNga'!$A$2:$A$51,'Consol BS-DTRG'!$A103)</f>
        <v>0</v>
      </c>
      <c r="BW103" s="15">
        <f>SUMIFS('BS-KH26-KhanhNga'!S$2:S$51,'BS-KH26-KhanhNga'!$A$2:$A$51,'Consol BS-DTRG'!$A103)</f>
        <v>0</v>
      </c>
      <c r="BX103" s="15">
        <f>SUMIFS('BS-KH26-KhanhNga'!T$2:T$51,'BS-KH26-KhanhNga'!$A$2:$A$51,'Consol BS-DTRG'!$A103)</f>
        <v>0</v>
      </c>
      <c r="BY103" s="15">
        <f>SUMIFS('BS-KH26-KhanhNga'!U$2:U$51,'BS-KH26-KhanhNga'!$A$2:$A$51,'Consol BS-DTRG'!$A103)</f>
        <v>0</v>
      </c>
      <c r="BZ103" s="15">
        <f>SUMIFS('BS-KH26-KhanhNga'!V$2:V$51,'BS-KH26-KhanhNga'!$A$2:$A$51,'Consol BS-DTRG'!$A103)</f>
        <v>0</v>
      </c>
      <c r="CA103" s="15">
        <f>SUMIFS('BS-KH26-KhanhNga'!W$2:W$51,'BS-KH26-KhanhNga'!$A$2:$A$51,'Consol BS-DTRG'!$A103)</f>
        <v>0</v>
      </c>
      <c r="CB103" s="15">
        <f>SUMIFS('BS-KH26-KhanhNga'!X$2:X$51,'BS-KH26-KhanhNga'!$A$2:$A$51,'Consol BS-DTRG'!$A103)</f>
        <v>0</v>
      </c>
      <c r="CD103" s="15">
        <f>SUMIFS('BS-KH26-DaiLoc'!M$2:M$51,'BS-KH26-DaiLoc'!$A$2:$A$51,'Consol BS-DTRG'!$A103)</f>
        <v>0</v>
      </c>
      <c r="CE103" s="15">
        <f>SUMIFS('BS-KH26-DaiLoc'!N$2:N$51,'BS-KH26-DaiLoc'!$A$2:$A$51,'Consol BS-DTRG'!$A103)</f>
        <v>0</v>
      </c>
      <c r="CF103" s="15">
        <f>SUMIFS('BS-KH26-DaiLoc'!O$2:O$51,'BS-KH26-DaiLoc'!$A$2:$A$51,'Consol BS-DTRG'!$A103)</f>
        <v>0</v>
      </c>
      <c r="CG103" s="15">
        <f>SUMIFS('BS-KH26-DaiLoc'!P$2:P$51,'BS-KH26-DaiLoc'!$A$2:$A$51,'Consol BS-DTRG'!$A103)</f>
        <v>0</v>
      </c>
      <c r="CH103" s="15">
        <f>SUMIFS('BS-KH26-DaiLoc'!Q$2:Q$51,'BS-KH26-DaiLoc'!$A$2:$A$51,'Consol BS-DTRG'!$A103)</f>
        <v>0</v>
      </c>
      <c r="CI103" s="15">
        <f>SUMIFS('BS-KH26-DaiLoc'!R$2:R$51,'BS-KH26-DaiLoc'!$A$2:$A$51,'Consol BS-DTRG'!$A103)</f>
        <v>0</v>
      </c>
      <c r="CJ103" s="15">
        <f>SUMIFS('BS-KH26-DaiLoc'!S$2:S$51,'BS-KH26-DaiLoc'!$A$2:$A$51,'Consol BS-DTRG'!$A103)</f>
        <v>0</v>
      </c>
      <c r="CK103" s="15">
        <f>SUMIFS('BS-KH26-DaiLoc'!T$2:T$51,'BS-KH26-DaiLoc'!$A$2:$A$51,'Consol BS-DTRG'!$A103)</f>
        <v>0</v>
      </c>
      <c r="CL103" s="15">
        <f>SUMIFS('BS-KH26-DaiLoc'!U$2:U$51,'BS-KH26-DaiLoc'!$A$2:$A$51,'Consol BS-DTRG'!$A103)</f>
        <v>0</v>
      </c>
      <c r="CM103" s="15">
        <f>SUMIFS('BS-KH26-DaiLoc'!V$2:V$51,'BS-KH26-DaiLoc'!$A$2:$A$51,'Consol BS-DTRG'!$A103)</f>
        <v>0</v>
      </c>
      <c r="CN103" s="15">
        <f>SUMIFS('BS-KH26-DaiLoc'!W$2:W$51,'BS-KH26-DaiLoc'!$A$2:$A$51,'Consol BS-DTRG'!$A103)</f>
        <v>0</v>
      </c>
      <c r="CO103" s="15">
        <f>SUMIFS('BS-KH26-DaiLoc'!X$2:X$51,'BS-KH26-DaiLoc'!$A$2:$A$51,'Consol BS-DTRG'!$A103)</f>
        <v>0</v>
      </c>
      <c r="CQ103" s="15">
        <v>0</v>
      </c>
      <c r="CR103" s="15">
        <f t="shared" si="703"/>
        <v>0</v>
      </c>
      <c r="CS103" s="15">
        <f t="shared" si="703"/>
        <v>0</v>
      </c>
      <c r="CT103" s="15">
        <f t="shared" si="703"/>
        <v>0</v>
      </c>
      <c r="CU103" s="15">
        <f t="shared" si="703"/>
        <v>0</v>
      </c>
      <c r="CV103" s="15">
        <f t="shared" si="703"/>
        <v>0</v>
      </c>
      <c r="CW103" s="15">
        <f t="shared" si="703"/>
        <v>0</v>
      </c>
      <c r="CX103" s="15">
        <f t="shared" si="703"/>
        <v>0</v>
      </c>
      <c r="CY103" s="15">
        <f t="shared" si="703"/>
        <v>0</v>
      </c>
      <c r="CZ103" s="15">
        <f t="shared" si="703"/>
        <v>0</v>
      </c>
      <c r="DA103" s="15">
        <f t="shared" si="703"/>
        <v>0</v>
      </c>
      <c r="DB103" s="15">
        <f t="shared" si="703"/>
        <v>0</v>
      </c>
    </row>
    <row r="104" spans="1:106" hidden="1" outlineLevel="1">
      <c r="A104" s="633">
        <v>101</v>
      </c>
      <c r="B104" s="625" t="s">
        <v>353</v>
      </c>
      <c r="C104" t="s">
        <v>518</v>
      </c>
      <c r="D104" s="15">
        <f t="shared" si="679"/>
        <v>0</v>
      </c>
      <c r="E104" s="15">
        <f t="shared" si="680"/>
        <v>0</v>
      </c>
      <c r="F104" s="15">
        <f t="shared" si="681"/>
        <v>0</v>
      </c>
      <c r="G104" s="15">
        <f t="shared" si="682"/>
        <v>0</v>
      </c>
      <c r="H104" s="15">
        <f t="shared" si="683"/>
        <v>0</v>
      </c>
      <c r="I104" s="15">
        <f t="shared" si="684"/>
        <v>0</v>
      </c>
      <c r="J104" s="15">
        <f t="shared" si="685"/>
        <v>0</v>
      </c>
      <c r="K104" s="15">
        <f t="shared" si="686"/>
        <v>0</v>
      </c>
      <c r="L104" s="15">
        <f t="shared" si="687"/>
        <v>0</v>
      </c>
      <c r="M104" s="15">
        <f t="shared" si="688"/>
        <v>0</v>
      </c>
      <c r="N104" s="15">
        <f t="shared" si="689"/>
        <v>0</v>
      </c>
      <c r="O104" s="15">
        <f t="shared" si="690"/>
        <v>0</v>
      </c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D104" s="646">
        <f t="shared" si="691"/>
        <v>0</v>
      </c>
      <c r="AE104" s="15">
        <f t="shared" si="692"/>
        <v>0</v>
      </c>
      <c r="AF104" s="15">
        <f t="shared" si="693"/>
        <v>0</v>
      </c>
      <c r="AG104" s="15">
        <f t="shared" si="694"/>
        <v>0</v>
      </c>
      <c r="AH104" s="15">
        <f t="shared" si="695"/>
        <v>0</v>
      </c>
      <c r="AI104" s="15">
        <f t="shared" si="696"/>
        <v>0</v>
      </c>
      <c r="AJ104" s="15">
        <f t="shared" si="697"/>
        <v>0</v>
      </c>
      <c r="AK104" s="15">
        <f t="shared" si="698"/>
        <v>0</v>
      </c>
      <c r="AL104" s="15">
        <f t="shared" si="699"/>
        <v>0</v>
      </c>
      <c r="AM104" s="15">
        <f t="shared" si="700"/>
        <v>0</v>
      </c>
      <c r="AN104" s="15">
        <f t="shared" si="701"/>
        <v>0</v>
      </c>
      <c r="AO104" s="647">
        <f t="shared" si="702"/>
        <v>0</v>
      </c>
      <c r="AQ104" s="15">
        <f>SUMIFS('BS-KH26-DTR'!D$2:D$116,'BS-KH26-DTR'!$B$2:$B$116,$A104)</f>
        <v>0</v>
      </c>
      <c r="AR104" s="15">
        <f>SUMIFS('BS-KH26-DTR'!E$2:E$116,'BS-KH26-DTR'!$B$2:$B$116,$A104)</f>
        <v>0</v>
      </c>
      <c r="AS104" s="15">
        <f>SUMIFS('BS-KH26-DTR'!F$2:F$116,'BS-KH26-DTR'!$B$2:$B$116,$A104)</f>
        <v>0</v>
      </c>
      <c r="AT104" s="15">
        <f>SUMIFS('BS-KH26-DTR'!G$2:G$116,'BS-KH26-DTR'!$B$2:$B$116,$A104)</f>
        <v>0</v>
      </c>
      <c r="AU104" s="15">
        <f>SUMIFS('BS-KH26-DTR'!H$2:H$116,'BS-KH26-DTR'!$B$2:$B$116,$A104)</f>
        <v>0</v>
      </c>
      <c r="AV104" s="15">
        <f>SUMIFS('BS-KH26-DTR'!I$2:I$116,'BS-KH26-DTR'!$B$2:$B$116,$A104)</f>
        <v>0</v>
      </c>
      <c r="AW104" s="15">
        <f>SUMIFS('BS-KH26-DTR'!J$2:J$116,'BS-KH26-DTR'!$B$2:$B$116,$A104)</f>
        <v>0</v>
      </c>
      <c r="AX104" s="15">
        <f>SUMIFS('BS-KH26-DTR'!K$2:K$116,'BS-KH26-DTR'!$B$2:$B$116,$A104)</f>
        <v>0</v>
      </c>
      <c r="AY104" s="15">
        <f>SUMIFS('BS-KH26-DTR'!L$2:L$116,'BS-KH26-DTR'!$B$2:$B$116,$A104)</f>
        <v>0</v>
      </c>
      <c r="AZ104" s="15">
        <f>SUMIFS('BS-KH26-DTR'!M$2:M$116,'BS-KH26-DTR'!$B$2:$B$116,$A104)</f>
        <v>0</v>
      </c>
      <c r="BA104" s="15">
        <f>SUMIFS('BS-KH26-DTR'!N$2:N$116,'BS-KH26-DTR'!$B$2:$B$116,$A104)</f>
        <v>0</v>
      </c>
      <c r="BB104" s="15">
        <f>SUMIFS('BS-KH26-DTR'!O$2:O$116,'BS-KH26-DTR'!$B$2:$B$116,$A104)</f>
        <v>0</v>
      </c>
      <c r="BD104" s="15">
        <f>SUMIFS('BS-KH26-DongLam'!M$2:M$51,'BS-KH26-DongLam'!$A$2:$A$51,'Consol BS-DTRG'!$A104)</f>
        <v>0</v>
      </c>
      <c r="BE104" s="15">
        <f>SUMIFS('BS-KH26-DongLam'!N$2:N$51,'BS-KH26-DongLam'!$A$2:$A$51,'Consol BS-DTRG'!$A104)</f>
        <v>0</v>
      </c>
      <c r="BF104" s="15">
        <f>SUMIFS('BS-KH26-DongLam'!O$2:O$51,'BS-KH26-DongLam'!$A$2:$A$51,'Consol BS-DTRG'!$A104)</f>
        <v>0</v>
      </c>
      <c r="BG104" s="15">
        <f>SUMIFS('BS-KH26-DongLam'!P$2:P$51,'BS-KH26-DongLam'!$A$2:$A$51,'Consol BS-DTRG'!$A104)</f>
        <v>0</v>
      </c>
      <c r="BH104" s="15">
        <f>SUMIFS('BS-KH26-DongLam'!Q$2:Q$51,'BS-KH26-DongLam'!$A$2:$A$51,'Consol BS-DTRG'!$A104)</f>
        <v>0</v>
      </c>
      <c r="BI104" s="15">
        <f>SUMIFS('BS-KH26-DongLam'!R$2:R$51,'BS-KH26-DongLam'!$A$2:$A$51,'Consol BS-DTRG'!$A104)</f>
        <v>0</v>
      </c>
      <c r="BJ104" s="15">
        <f>SUMIFS('BS-KH26-DongLam'!S$2:S$51,'BS-KH26-DongLam'!$A$2:$A$51,'Consol BS-DTRG'!$A104)</f>
        <v>0</v>
      </c>
      <c r="BK104" s="15">
        <f>SUMIFS('BS-KH26-DongLam'!T$2:T$51,'BS-KH26-DongLam'!$A$2:$A$51,'Consol BS-DTRG'!$A104)</f>
        <v>0</v>
      </c>
      <c r="BL104" s="15">
        <f>SUMIFS('BS-KH26-DongLam'!U$2:U$51,'BS-KH26-DongLam'!$A$2:$A$51,'Consol BS-DTRG'!$A104)</f>
        <v>0</v>
      </c>
      <c r="BM104" s="15">
        <f>SUMIFS('BS-KH26-DongLam'!V$2:V$51,'BS-KH26-DongLam'!$A$2:$A$51,'Consol BS-DTRG'!$A104)</f>
        <v>0</v>
      </c>
      <c r="BN104" s="15">
        <f>SUMIFS('BS-KH26-DongLam'!W$2:W$51,'BS-KH26-DongLam'!$A$2:$A$51,'Consol BS-DTRG'!$A104)</f>
        <v>0</v>
      </c>
      <c r="BO104" s="15">
        <f>SUMIFS('BS-KH26-DongLam'!X$2:X$51,'BS-KH26-DongLam'!$A$2:$A$51,'Consol BS-DTRG'!$A104)</f>
        <v>0</v>
      </c>
      <c r="BQ104" s="15">
        <f>SUMIFS('BS-KH26-KhanhNga'!M$2:M$51,'BS-KH26-KhanhNga'!$A$2:$A$51,'Consol BS-DTRG'!$A104)</f>
        <v>0</v>
      </c>
      <c r="BR104" s="15">
        <f>SUMIFS('BS-KH26-KhanhNga'!N$2:N$51,'BS-KH26-KhanhNga'!$A$2:$A$51,'Consol BS-DTRG'!$A104)</f>
        <v>0</v>
      </c>
      <c r="BS104" s="15">
        <f>SUMIFS('BS-KH26-KhanhNga'!O$2:O$51,'BS-KH26-KhanhNga'!$A$2:$A$51,'Consol BS-DTRG'!$A104)</f>
        <v>0</v>
      </c>
      <c r="BT104" s="15">
        <f>SUMIFS('BS-KH26-KhanhNga'!P$2:P$51,'BS-KH26-KhanhNga'!$A$2:$A$51,'Consol BS-DTRG'!$A104)</f>
        <v>0</v>
      </c>
      <c r="BU104" s="15">
        <f>SUMIFS('BS-KH26-KhanhNga'!Q$2:Q$51,'BS-KH26-KhanhNga'!$A$2:$A$51,'Consol BS-DTRG'!$A104)</f>
        <v>0</v>
      </c>
      <c r="BV104" s="15">
        <f>SUMIFS('BS-KH26-KhanhNga'!R$2:R$51,'BS-KH26-KhanhNga'!$A$2:$A$51,'Consol BS-DTRG'!$A104)</f>
        <v>0</v>
      </c>
      <c r="BW104" s="15">
        <f>SUMIFS('BS-KH26-KhanhNga'!S$2:S$51,'BS-KH26-KhanhNga'!$A$2:$A$51,'Consol BS-DTRG'!$A104)</f>
        <v>0</v>
      </c>
      <c r="BX104" s="15">
        <f>SUMIFS('BS-KH26-KhanhNga'!T$2:T$51,'BS-KH26-KhanhNga'!$A$2:$A$51,'Consol BS-DTRG'!$A104)</f>
        <v>0</v>
      </c>
      <c r="BY104" s="15">
        <f>SUMIFS('BS-KH26-KhanhNga'!U$2:U$51,'BS-KH26-KhanhNga'!$A$2:$A$51,'Consol BS-DTRG'!$A104)</f>
        <v>0</v>
      </c>
      <c r="BZ104" s="15">
        <f>SUMIFS('BS-KH26-KhanhNga'!V$2:V$51,'BS-KH26-KhanhNga'!$A$2:$A$51,'Consol BS-DTRG'!$A104)</f>
        <v>0</v>
      </c>
      <c r="CA104" s="15">
        <f>SUMIFS('BS-KH26-KhanhNga'!W$2:W$51,'BS-KH26-KhanhNga'!$A$2:$A$51,'Consol BS-DTRG'!$A104)</f>
        <v>0</v>
      </c>
      <c r="CB104" s="15">
        <f>SUMIFS('BS-KH26-KhanhNga'!X$2:X$51,'BS-KH26-KhanhNga'!$A$2:$A$51,'Consol BS-DTRG'!$A104)</f>
        <v>0</v>
      </c>
      <c r="CD104" s="15">
        <f>SUMIFS('BS-KH26-DaiLoc'!M$2:M$51,'BS-KH26-DaiLoc'!$A$2:$A$51,'Consol BS-DTRG'!$A104)</f>
        <v>0</v>
      </c>
      <c r="CE104" s="15">
        <f>SUMIFS('BS-KH26-DaiLoc'!N$2:N$51,'BS-KH26-DaiLoc'!$A$2:$A$51,'Consol BS-DTRG'!$A104)</f>
        <v>0</v>
      </c>
      <c r="CF104" s="15">
        <f>SUMIFS('BS-KH26-DaiLoc'!O$2:O$51,'BS-KH26-DaiLoc'!$A$2:$A$51,'Consol BS-DTRG'!$A104)</f>
        <v>0</v>
      </c>
      <c r="CG104" s="15">
        <f>SUMIFS('BS-KH26-DaiLoc'!P$2:P$51,'BS-KH26-DaiLoc'!$A$2:$A$51,'Consol BS-DTRG'!$A104)</f>
        <v>0</v>
      </c>
      <c r="CH104" s="15">
        <f>SUMIFS('BS-KH26-DaiLoc'!Q$2:Q$51,'BS-KH26-DaiLoc'!$A$2:$A$51,'Consol BS-DTRG'!$A104)</f>
        <v>0</v>
      </c>
      <c r="CI104" s="15">
        <f>SUMIFS('BS-KH26-DaiLoc'!R$2:R$51,'BS-KH26-DaiLoc'!$A$2:$A$51,'Consol BS-DTRG'!$A104)</f>
        <v>0</v>
      </c>
      <c r="CJ104" s="15">
        <f>SUMIFS('BS-KH26-DaiLoc'!S$2:S$51,'BS-KH26-DaiLoc'!$A$2:$A$51,'Consol BS-DTRG'!$A104)</f>
        <v>0</v>
      </c>
      <c r="CK104" s="15">
        <f>SUMIFS('BS-KH26-DaiLoc'!T$2:T$51,'BS-KH26-DaiLoc'!$A$2:$A$51,'Consol BS-DTRG'!$A104)</f>
        <v>0</v>
      </c>
      <c r="CL104" s="15">
        <f>SUMIFS('BS-KH26-DaiLoc'!U$2:U$51,'BS-KH26-DaiLoc'!$A$2:$A$51,'Consol BS-DTRG'!$A104)</f>
        <v>0</v>
      </c>
      <c r="CM104" s="15">
        <f>SUMIFS('BS-KH26-DaiLoc'!V$2:V$51,'BS-KH26-DaiLoc'!$A$2:$A$51,'Consol BS-DTRG'!$A104)</f>
        <v>0</v>
      </c>
      <c r="CN104" s="15">
        <f>SUMIFS('BS-KH26-DaiLoc'!W$2:W$51,'BS-KH26-DaiLoc'!$A$2:$A$51,'Consol BS-DTRG'!$A104)</f>
        <v>0</v>
      </c>
      <c r="CO104" s="15">
        <f>SUMIFS('BS-KH26-DaiLoc'!X$2:X$51,'BS-KH26-DaiLoc'!$A$2:$A$51,'Consol BS-DTRG'!$A104)</f>
        <v>0</v>
      </c>
      <c r="CQ104" s="15">
        <v>0</v>
      </c>
      <c r="CR104" s="15">
        <f t="shared" si="703"/>
        <v>0</v>
      </c>
      <c r="CS104" s="15">
        <f t="shared" si="703"/>
        <v>0</v>
      </c>
      <c r="CT104" s="15">
        <f t="shared" si="703"/>
        <v>0</v>
      </c>
      <c r="CU104" s="15">
        <f t="shared" si="703"/>
        <v>0</v>
      </c>
      <c r="CV104" s="15">
        <f t="shared" si="703"/>
        <v>0</v>
      </c>
      <c r="CW104" s="15">
        <f t="shared" si="703"/>
        <v>0</v>
      </c>
      <c r="CX104" s="15">
        <f t="shared" si="703"/>
        <v>0</v>
      </c>
      <c r="CY104" s="15">
        <f t="shared" si="703"/>
        <v>0</v>
      </c>
      <c r="CZ104" s="15">
        <f t="shared" si="703"/>
        <v>0</v>
      </c>
      <c r="DA104" s="15">
        <f t="shared" si="703"/>
        <v>0</v>
      </c>
      <c r="DB104" s="15">
        <f t="shared" si="703"/>
        <v>0</v>
      </c>
    </row>
    <row r="105" spans="1:106" hidden="1" outlineLevel="1">
      <c r="A105" s="633">
        <v>102</v>
      </c>
      <c r="B105" s="625" t="s">
        <v>354</v>
      </c>
      <c r="C105" t="s">
        <v>518</v>
      </c>
      <c r="D105" s="15">
        <f t="shared" si="679"/>
        <v>0</v>
      </c>
      <c r="E105" s="15">
        <f t="shared" si="680"/>
        <v>0</v>
      </c>
      <c r="F105" s="15">
        <f t="shared" si="681"/>
        <v>0</v>
      </c>
      <c r="G105" s="15">
        <f t="shared" si="682"/>
        <v>0</v>
      </c>
      <c r="H105" s="15">
        <f t="shared" si="683"/>
        <v>0</v>
      </c>
      <c r="I105" s="15">
        <f t="shared" si="684"/>
        <v>0</v>
      </c>
      <c r="J105" s="15">
        <f t="shared" si="685"/>
        <v>0</v>
      </c>
      <c r="K105" s="15">
        <f t="shared" si="686"/>
        <v>0</v>
      </c>
      <c r="L105" s="15">
        <f t="shared" si="687"/>
        <v>0</v>
      </c>
      <c r="M105" s="15">
        <f t="shared" si="688"/>
        <v>0</v>
      </c>
      <c r="N105" s="15">
        <f t="shared" si="689"/>
        <v>0</v>
      </c>
      <c r="O105" s="15">
        <f t="shared" si="690"/>
        <v>0</v>
      </c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D105" s="646">
        <f t="shared" si="691"/>
        <v>0</v>
      </c>
      <c r="AE105" s="15">
        <f t="shared" si="692"/>
        <v>0</v>
      </c>
      <c r="AF105" s="15">
        <f t="shared" si="693"/>
        <v>0</v>
      </c>
      <c r="AG105" s="15">
        <f t="shared" si="694"/>
        <v>0</v>
      </c>
      <c r="AH105" s="15">
        <f t="shared" si="695"/>
        <v>0</v>
      </c>
      <c r="AI105" s="15">
        <f t="shared" si="696"/>
        <v>0</v>
      </c>
      <c r="AJ105" s="15">
        <f t="shared" si="697"/>
        <v>0</v>
      </c>
      <c r="AK105" s="15">
        <f t="shared" si="698"/>
        <v>0</v>
      </c>
      <c r="AL105" s="15">
        <f t="shared" si="699"/>
        <v>0</v>
      </c>
      <c r="AM105" s="15">
        <f t="shared" si="700"/>
        <v>0</v>
      </c>
      <c r="AN105" s="15">
        <f t="shared" si="701"/>
        <v>0</v>
      </c>
      <c r="AO105" s="647">
        <f t="shared" si="702"/>
        <v>0</v>
      </c>
      <c r="AQ105" s="15">
        <f>SUMIFS('BS-KH26-DTR'!D$2:D$116,'BS-KH26-DTR'!$B$2:$B$116,$A105)</f>
        <v>0</v>
      </c>
      <c r="AR105" s="15">
        <f>SUMIFS('BS-KH26-DTR'!E$2:E$116,'BS-KH26-DTR'!$B$2:$B$116,$A105)</f>
        <v>0</v>
      </c>
      <c r="AS105" s="15">
        <f>SUMIFS('BS-KH26-DTR'!F$2:F$116,'BS-KH26-DTR'!$B$2:$B$116,$A105)</f>
        <v>0</v>
      </c>
      <c r="AT105" s="15">
        <f>SUMIFS('BS-KH26-DTR'!G$2:G$116,'BS-KH26-DTR'!$B$2:$B$116,$A105)</f>
        <v>0</v>
      </c>
      <c r="AU105" s="15">
        <f>SUMIFS('BS-KH26-DTR'!H$2:H$116,'BS-KH26-DTR'!$B$2:$B$116,$A105)</f>
        <v>0</v>
      </c>
      <c r="AV105" s="15">
        <f>SUMIFS('BS-KH26-DTR'!I$2:I$116,'BS-KH26-DTR'!$B$2:$B$116,$A105)</f>
        <v>0</v>
      </c>
      <c r="AW105" s="15">
        <f>SUMIFS('BS-KH26-DTR'!J$2:J$116,'BS-KH26-DTR'!$B$2:$B$116,$A105)</f>
        <v>0</v>
      </c>
      <c r="AX105" s="15">
        <f>SUMIFS('BS-KH26-DTR'!K$2:K$116,'BS-KH26-DTR'!$B$2:$B$116,$A105)</f>
        <v>0</v>
      </c>
      <c r="AY105" s="15">
        <f>SUMIFS('BS-KH26-DTR'!L$2:L$116,'BS-KH26-DTR'!$B$2:$B$116,$A105)</f>
        <v>0</v>
      </c>
      <c r="AZ105" s="15">
        <f>SUMIFS('BS-KH26-DTR'!M$2:M$116,'BS-KH26-DTR'!$B$2:$B$116,$A105)</f>
        <v>0</v>
      </c>
      <c r="BA105" s="15">
        <f>SUMIFS('BS-KH26-DTR'!N$2:N$116,'BS-KH26-DTR'!$B$2:$B$116,$A105)</f>
        <v>0</v>
      </c>
      <c r="BB105" s="15">
        <f>SUMIFS('BS-KH26-DTR'!O$2:O$116,'BS-KH26-DTR'!$B$2:$B$116,$A105)</f>
        <v>0</v>
      </c>
      <c r="BD105" s="15">
        <f>SUMIFS('BS-KH26-DongLam'!M$2:M$51,'BS-KH26-DongLam'!$A$2:$A$51,'Consol BS-DTRG'!$A105)</f>
        <v>0</v>
      </c>
      <c r="BE105" s="15">
        <f>SUMIFS('BS-KH26-DongLam'!N$2:N$51,'BS-KH26-DongLam'!$A$2:$A$51,'Consol BS-DTRG'!$A105)</f>
        <v>0</v>
      </c>
      <c r="BF105" s="15">
        <f>SUMIFS('BS-KH26-DongLam'!O$2:O$51,'BS-KH26-DongLam'!$A$2:$A$51,'Consol BS-DTRG'!$A105)</f>
        <v>0</v>
      </c>
      <c r="BG105" s="15">
        <f>SUMIFS('BS-KH26-DongLam'!P$2:P$51,'BS-KH26-DongLam'!$A$2:$A$51,'Consol BS-DTRG'!$A105)</f>
        <v>0</v>
      </c>
      <c r="BH105" s="15">
        <f>SUMIFS('BS-KH26-DongLam'!Q$2:Q$51,'BS-KH26-DongLam'!$A$2:$A$51,'Consol BS-DTRG'!$A105)</f>
        <v>0</v>
      </c>
      <c r="BI105" s="15">
        <f>SUMIFS('BS-KH26-DongLam'!R$2:R$51,'BS-KH26-DongLam'!$A$2:$A$51,'Consol BS-DTRG'!$A105)</f>
        <v>0</v>
      </c>
      <c r="BJ105" s="15">
        <f>SUMIFS('BS-KH26-DongLam'!S$2:S$51,'BS-KH26-DongLam'!$A$2:$A$51,'Consol BS-DTRG'!$A105)</f>
        <v>0</v>
      </c>
      <c r="BK105" s="15">
        <f>SUMIFS('BS-KH26-DongLam'!T$2:T$51,'BS-KH26-DongLam'!$A$2:$A$51,'Consol BS-DTRG'!$A105)</f>
        <v>0</v>
      </c>
      <c r="BL105" s="15">
        <f>SUMIFS('BS-KH26-DongLam'!U$2:U$51,'BS-KH26-DongLam'!$A$2:$A$51,'Consol BS-DTRG'!$A105)</f>
        <v>0</v>
      </c>
      <c r="BM105" s="15">
        <f>SUMIFS('BS-KH26-DongLam'!V$2:V$51,'BS-KH26-DongLam'!$A$2:$A$51,'Consol BS-DTRG'!$A105)</f>
        <v>0</v>
      </c>
      <c r="BN105" s="15">
        <f>SUMIFS('BS-KH26-DongLam'!W$2:W$51,'BS-KH26-DongLam'!$A$2:$A$51,'Consol BS-DTRG'!$A105)</f>
        <v>0</v>
      </c>
      <c r="BO105" s="15">
        <f>SUMIFS('BS-KH26-DongLam'!X$2:X$51,'BS-KH26-DongLam'!$A$2:$A$51,'Consol BS-DTRG'!$A105)</f>
        <v>0</v>
      </c>
      <c r="BQ105" s="15">
        <f>SUMIFS('BS-KH26-KhanhNga'!M$2:M$51,'BS-KH26-KhanhNga'!$A$2:$A$51,'Consol BS-DTRG'!$A105)</f>
        <v>0</v>
      </c>
      <c r="BR105" s="15">
        <f>SUMIFS('BS-KH26-KhanhNga'!N$2:N$51,'BS-KH26-KhanhNga'!$A$2:$A$51,'Consol BS-DTRG'!$A105)</f>
        <v>0</v>
      </c>
      <c r="BS105" s="15">
        <f>SUMIFS('BS-KH26-KhanhNga'!O$2:O$51,'BS-KH26-KhanhNga'!$A$2:$A$51,'Consol BS-DTRG'!$A105)</f>
        <v>0</v>
      </c>
      <c r="BT105" s="15">
        <f>SUMIFS('BS-KH26-KhanhNga'!P$2:P$51,'BS-KH26-KhanhNga'!$A$2:$A$51,'Consol BS-DTRG'!$A105)</f>
        <v>0</v>
      </c>
      <c r="BU105" s="15">
        <f>SUMIFS('BS-KH26-KhanhNga'!Q$2:Q$51,'BS-KH26-KhanhNga'!$A$2:$A$51,'Consol BS-DTRG'!$A105)</f>
        <v>0</v>
      </c>
      <c r="BV105" s="15">
        <f>SUMIFS('BS-KH26-KhanhNga'!R$2:R$51,'BS-KH26-KhanhNga'!$A$2:$A$51,'Consol BS-DTRG'!$A105)</f>
        <v>0</v>
      </c>
      <c r="BW105" s="15">
        <f>SUMIFS('BS-KH26-KhanhNga'!S$2:S$51,'BS-KH26-KhanhNga'!$A$2:$A$51,'Consol BS-DTRG'!$A105)</f>
        <v>0</v>
      </c>
      <c r="BX105" s="15">
        <f>SUMIFS('BS-KH26-KhanhNga'!T$2:T$51,'BS-KH26-KhanhNga'!$A$2:$A$51,'Consol BS-DTRG'!$A105)</f>
        <v>0</v>
      </c>
      <c r="BY105" s="15">
        <f>SUMIFS('BS-KH26-KhanhNga'!U$2:U$51,'BS-KH26-KhanhNga'!$A$2:$A$51,'Consol BS-DTRG'!$A105)</f>
        <v>0</v>
      </c>
      <c r="BZ105" s="15">
        <f>SUMIFS('BS-KH26-KhanhNga'!V$2:V$51,'BS-KH26-KhanhNga'!$A$2:$A$51,'Consol BS-DTRG'!$A105)</f>
        <v>0</v>
      </c>
      <c r="CA105" s="15">
        <f>SUMIFS('BS-KH26-KhanhNga'!W$2:W$51,'BS-KH26-KhanhNga'!$A$2:$A$51,'Consol BS-DTRG'!$A105)</f>
        <v>0</v>
      </c>
      <c r="CB105" s="15">
        <f>SUMIFS('BS-KH26-KhanhNga'!X$2:X$51,'BS-KH26-KhanhNga'!$A$2:$A$51,'Consol BS-DTRG'!$A105)</f>
        <v>0</v>
      </c>
      <c r="CD105" s="15">
        <f>SUMIFS('BS-KH26-DaiLoc'!M$2:M$51,'BS-KH26-DaiLoc'!$A$2:$A$51,'Consol BS-DTRG'!$A105)</f>
        <v>0</v>
      </c>
      <c r="CE105" s="15">
        <f>SUMIFS('BS-KH26-DaiLoc'!N$2:N$51,'BS-KH26-DaiLoc'!$A$2:$A$51,'Consol BS-DTRG'!$A105)</f>
        <v>0</v>
      </c>
      <c r="CF105" s="15">
        <f>SUMIFS('BS-KH26-DaiLoc'!O$2:O$51,'BS-KH26-DaiLoc'!$A$2:$A$51,'Consol BS-DTRG'!$A105)</f>
        <v>0</v>
      </c>
      <c r="CG105" s="15">
        <f>SUMIFS('BS-KH26-DaiLoc'!P$2:P$51,'BS-KH26-DaiLoc'!$A$2:$A$51,'Consol BS-DTRG'!$A105)</f>
        <v>0</v>
      </c>
      <c r="CH105" s="15">
        <f>SUMIFS('BS-KH26-DaiLoc'!Q$2:Q$51,'BS-KH26-DaiLoc'!$A$2:$A$51,'Consol BS-DTRG'!$A105)</f>
        <v>0</v>
      </c>
      <c r="CI105" s="15">
        <f>SUMIFS('BS-KH26-DaiLoc'!R$2:R$51,'BS-KH26-DaiLoc'!$A$2:$A$51,'Consol BS-DTRG'!$A105)</f>
        <v>0</v>
      </c>
      <c r="CJ105" s="15">
        <f>SUMIFS('BS-KH26-DaiLoc'!S$2:S$51,'BS-KH26-DaiLoc'!$A$2:$A$51,'Consol BS-DTRG'!$A105)</f>
        <v>0</v>
      </c>
      <c r="CK105" s="15">
        <f>SUMIFS('BS-KH26-DaiLoc'!T$2:T$51,'BS-KH26-DaiLoc'!$A$2:$A$51,'Consol BS-DTRG'!$A105)</f>
        <v>0</v>
      </c>
      <c r="CL105" s="15">
        <f>SUMIFS('BS-KH26-DaiLoc'!U$2:U$51,'BS-KH26-DaiLoc'!$A$2:$A$51,'Consol BS-DTRG'!$A105)</f>
        <v>0</v>
      </c>
      <c r="CM105" s="15">
        <f>SUMIFS('BS-KH26-DaiLoc'!V$2:V$51,'BS-KH26-DaiLoc'!$A$2:$A$51,'Consol BS-DTRG'!$A105)</f>
        <v>0</v>
      </c>
      <c r="CN105" s="15">
        <f>SUMIFS('BS-KH26-DaiLoc'!W$2:W$51,'BS-KH26-DaiLoc'!$A$2:$A$51,'Consol BS-DTRG'!$A105)</f>
        <v>0</v>
      </c>
      <c r="CO105" s="15">
        <f>SUMIFS('BS-KH26-DaiLoc'!X$2:X$51,'BS-KH26-DaiLoc'!$A$2:$A$51,'Consol BS-DTRG'!$A105)</f>
        <v>0</v>
      </c>
      <c r="CQ105" s="15">
        <v>0</v>
      </c>
      <c r="CR105" s="15">
        <f t="shared" si="703"/>
        <v>0</v>
      </c>
      <c r="CS105" s="15">
        <f t="shared" si="703"/>
        <v>0</v>
      </c>
      <c r="CT105" s="15">
        <f t="shared" si="703"/>
        <v>0</v>
      </c>
      <c r="CU105" s="15">
        <f t="shared" si="703"/>
        <v>0</v>
      </c>
      <c r="CV105" s="15">
        <f t="shared" si="703"/>
        <v>0</v>
      </c>
      <c r="CW105" s="15">
        <f t="shared" si="703"/>
        <v>0</v>
      </c>
      <c r="CX105" s="15">
        <f t="shared" si="703"/>
        <v>0</v>
      </c>
      <c r="CY105" s="15">
        <f t="shared" si="703"/>
        <v>0</v>
      </c>
      <c r="CZ105" s="15">
        <f t="shared" si="703"/>
        <v>0</v>
      </c>
      <c r="DA105" s="15">
        <f t="shared" si="703"/>
        <v>0</v>
      </c>
      <c r="DB105" s="15">
        <f t="shared" si="703"/>
        <v>0</v>
      </c>
    </row>
    <row r="106" spans="1:106" hidden="1" outlineLevel="1">
      <c r="A106" s="633">
        <v>103</v>
      </c>
      <c r="B106" s="625" t="s">
        <v>355</v>
      </c>
      <c r="C106" t="s">
        <v>518</v>
      </c>
      <c r="D106" s="15">
        <f t="shared" si="679"/>
        <v>0</v>
      </c>
      <c r="E106" s="15">
        <f t="shared" si="680"/>
        <v>0</v>
      </c>
      <c r="F106" s="15">
        <f t="shared" si="681"/>
        <v>0</v>
      </c>
      <c r="G106" s="15">
        <f t="shared" si="682"/>
        <v>0</v>
      </c>
      <c r="H106" s="15">
        <f t="shared" si="683"/>
        <v>0</v>
      </c>
      <c r="I106" s="15">
        <f t="shared" si="684"/>
        <v>0</v>
      </c>
      <c r="J106" s="15">
        <f t="shared" si="685"/>
        <v>0</v>
      </c>
      <c r="K106" s="15">
        <f t="shared" si="686"/>
        <v>0</v>
      </c>
      <c r="L106" s="15">
        <f t="shared" si="687"/>
        <v>0</v>
      </c>
      <c r="M106" s="15">
        <f t="shared" si="688"/>
        <v>0</v>
      </c>
      <c r="N106" s="15">
        <f t="shared" si="689"/>
        <v>0</v>
      </c>
      <c r="O106" s="15">
        <f t="shared" si="690"/>
        <v>0</v>
      </c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D106" s="646">
        <f t="shared" si="691"/>
        <v>0</v>
      </c>
      <c r="AE106" s="15">
        <f t="shared" si="692"/>
        <v>0</v>
      </c>
      <c r="AF106" s="15">
        <f t="shared" si="693"/>
        <v>0</v>
      </c>
      <c r="AG106" s="15">
        <f t="shared" si="694"/>
        <v>0</v>
      </c>
      <c r="AH106" s="15">
        <f t="shared" si="695"/>
        <v>0</v>
      </c>
      <c r="AI106" s="15">
        <f t="shared" si="696"/>
        <v>0</v>
      </c>
      <c r="AJ106" s="15">
        <f t="shared" si="697"/>
        <v>0</v>
      </c>
      <c r="AK106" s="15">
        <f t="shared" si="698"/>
        <v>0</v>
      </c>
      <c r="AL106" s="15">
        <f t="shared" si="699"/>
        <v>0</v>
      </c>
      <c r="AM106" s="15">
        <f t="shared" si="700"/>
        <v>0</v>
      </c>
      <c r="AN106" s="15">
        <f t="shared" si="701"/>
        <v>0</v>
      </c>
      <c r="AO106" s="647">
        <f t="shared" si="702"/>
        <v>0</v>
      </c>
      <c r="AQ106" s="15">
        <f>SUMIFS('BS-KH26-DTR'!D$2:D$116,'BS-KH26-DTR'!$B$2:$B$116,$A106)</f>
        <v>0</v>
      </c>
      <c r="AR106" s="15">
        <f>SUMIFS('BS-KH26-DTR'!E$2:E$116,'BS-KH26-DTR'!$B$2:$B$116,$A106)</f>
        <v>0</v>
      </c>
      <c r="AS106" s="15">
        <f>SUMIFS('BS-KH26-DTR'!F$2:F$116,'BS-KH26-DTR'!$B$2:$B$116,$A106)</f>
        <v>0</v>
      </c>
      <c r="AT106" s="15">
        <f>SUMIFS('BS-KH26-DTR'!G$2:G$116,'BS-KH26-DTR'!$B$2:$B$116,$A106)</f>
        <v>0</v>
      </c>
      <c r="AU106" s="15">
        <f>SUMIFS('BS-KH26-DTR'!H$2:H$116,'BS-KH26-DTR'!$B$2:$B$116,$A106)</f>
        <v>0</v>
      </c>
      <c r="AV106" s="15">
        <f>SUMIFS('BS-KH26-DTR'!I$2:I$116,'BS-KH26-DTR'!$B$2:$B$116,$A106)</f>
        <v>0</v>
      </c>
      <c r="AW106" s="15">
        <f>SUMIFS('BS-KH26-DTR'!J$2:J$116,'BS-KH26-DTR'!$B$2:$B$116,$A106)</f>
        <v>0</v>
      </c>
      <c r="AX106" s="15">
        <f>SUMIFS('BS-KH26-DTR'!K$2:K$116,'BS-KH26-DTR'!$B$2:$B$116,$A106)</f>
        <v>0</v>
      </c>
      <c r="AY106" s="15">
        <f>SUMIFS('BS-KH26-DTR'!L$2:L$116,'BS-KH26-DTR'!$B$2:$B$116,$A106)</f>
        <v>0</v>
      </c>
      <c r="AZ106" s="15">
        <f>SUMIFS('BS-KH26-DTR'!M$2:M$116,'BS-KH26-DTR'!$B$2:$B$116,$A106)</f>
        <v>0</v>
      </c>
      <c r="BA106" s="15">
        <f>SUMIFS('BS-KH26-DTR'!N$2:N$116,'BS-KH26-DTR'!$B$2:$B$116,$A106)</f>
        <v>0</v>
      </c>
      <c r="BB106" s="15">
        <f>SUMIFS('BS-KH26-DTR'!O$2:O$116,'BS-KH26-DTR'!$B$2:$B$116,$A106)</f>
        <v>0</v>
      </c>
      <c r="BD106" s="15">
        <f>SUMIFS('BS-KH26-DongLam'!M$2:M$51,'BS-KH26-DongLam'!$A$2:$A$51,'Consol BS-DTRG'!$A106)</f>
        <v>0</v>
      </c>
      <c r="BE106" s="15">
        <f>SUMIFS('BS-KH26-DongLam'!N$2:N$51,'BS-KH26-DongLam'!$A$2:$A$51,'Consol BS-DTRG'!$A106)</f>
        <v>0</v>
      </c>
      <c r="BF106" s="15">
        <f>SUMIFS('BS-KH26-DongLam'!O$2:O$51,'BS-KH26-DongLam'!$A$2:$A$51,'Consol BS-DTRG'!$A106)</f>
        <v>0</v>
      </c>
      <c r="BG106" s="15">
        <f>SUMIFS('BS-KH26-DongLam'!P$2:P$51,'BS-KH26-DongLam'!$A$2:$A$51,'Consol BS-DTRG'!$A106)</f>
        <v>0</v>
      </c>
      <c r="BH106" s="15">
        <f>SUMIFS('BS-KH26-DongLam'!Q$2:Q$51,'BS-KH26-DongLam'!$A$2:$A$51,'Consol BS-DTRG'!$A106)</f>
        <v>0</v>
      </c>
      <c r="BI106" s="15">
        <f>SUMIFS('BS-KH26-DongLam'!R$2:R$51,'BS-KH26-DongLam'!$A$2:$A$51,'Consol BS-DTRG'!$A106)</f>
        <v>0</v>
      </c>
      <c r="BJ106" s="15">
        <f>SUMIFS('BS-KH26-DongLam'!S$2:S$51,'BS-KH26-DongLam'!$A$2:$A$51,'Consol BS-DTRG'!$A106)</f>
        <v>0</v>
      </c>
      <c r="BK106" s="15">
        <f>SUMIFS('BS-KH26-DongLam'!T$2:T$51,'BS-KH26-DongLam'!$A$2:$A$51,'Consol BS-DTRG'!$A106)</f>
        <v>0</v>
      </c>
      <c r="BL106" s="15">
        <f>SUMIFS('BS-KH26-DongLam'!U$2:U$51,'BS-KH26-DongLam'!$A$2:$A$51,'Consol BS-DTRG'!$A106)</f>
        <v>0</v>
      </c>
      <c r="BM106" s="15">
        <f>SUMIFS('BS-KH26-DongLam'!V$2:V$51,'BS-KH26-DongLam'!$A$2:$A$51,'Consol BS-DTRG'!$A106)</f>
        <v>0</v>
      </c>
      <c r="BN106" s="15">
        <f>SUMIFS('BS-KH26-DongLam'!W$2:W$51,'BS-KH26-DongLam'!$A$2:$A$51,'Consol BS-DTRG'!$A106)</f>
        <v>0</v>
      </c>
      <c r="BO106" s="15">
        <f>SUMIFS('BS-KH26-DongLam'!X$2:X$51,'BS-KH26-DongLam'!$A$2:$A$51,'Consol BS-DTRG'!$A106)</f>
        <v>0</v>
      </c>
      <c r="BQ106" s="15">
        <f>SUMIFS('BS-KH26-KhanhNga'!M$2:M$51,'BS-KH26-KhanhNga'!$A$2:$A$51,'Consol BS-DTRG'!$A106)</f>
        <v>0</v>
      </c>
      <c r="BR106" s="15">
        <f>SUMIFS('BS-KH26-KhanhNga'!N$2:N$51,'BS-KH26-KhanhNga'!$A$2:$A$51,'Consol BS-DTRG'!$A106)</f>
        <v>0</v>
      </c>
      <c r="BS106" s="15">
        <f>SUMIFS('BS-KH26-KhanhNga'!O$2:O$51,'BS-KH26-KhanhNga'!$A$2:$A$51,'Consol BS-DTRG'!$A106)</f>
        <v>0</v>
      </c>
      <c r="BT106" s="15">
        <f>SUMIFS('BS-KH26-KhanhNga'!P$2:P$51,'BS-KH26-KhanhNga'!$A$2:$A$51,'Consol BS-DTRG'!$A106)</f>
        <v>0</v>
      </c>
      <c r="BU106" s="15">
        <f>SUMIFS('BS-KH26-KhanhNga'!Q$2:Q$51,'BS-KH26-KhanhNga'!$A$2:$A$51,'Consol BS-DTRG'!$A106)</f>
        <v>0</v>
      </c>
      <c r="BV106" s="15">
        <f>SUMIFS('BS-KH26-KhanhNga'!R$2:R$51,'BS-KH26-KhanhNga'!$A$2:$A$51,'Consol BS-DTRG'!$A106)</f>
        <v>0</v>
      </c>
      <c r="BW106" s="15">
        <f>SUMIFS('BS-KH26-KhanhNga'!S$2:S$51,'BS-KH26-KhanhNga'!$A$2:$A$51,'Consol BS-DTRG'!$A106)</f>
        <v>0</v>
      </c>
      <c r="BX106" s="15">
        <f>SUMIFS('BS-KH26-KhanhNga'!T$2:T$51,'BS-KH26-KhanhNga'!$A$2:$A$51,'Consol BS-DTRG'!$A106)</f>
        <v>0</v>
      </c>
      <c r="BY106" s="15">
        <f>SUMIFS('BS-KH26-KhanhNga'!U$2:U$51,'BS-KH26-KhanhNga'!$A$2:$A$51,'Consol BS-DTRG'!$A106)</f>
        <v>0</v>
      </c>
      <c r="BZ106" s="15">
        <f>SUMIFS('BS-KH26-KhanhNga'!V$2:V$51,'BS-KH26-KhanhNga'!$A$2:$A$51,'Consol BS-DTRG'!$A106)</f>
        <v>0</v>
      </c>
      <c r="CA106" s="15">
        <f>SUMIFS('BS-KH26-KhanhNga'!W$2:W$51,'BS-KH26-KhanhNga'!$A$2:$A$51,'Consol BS-DTRG'!$A106)</f>
        <v>0</v>
      </c>
      <c r="CB106" s="15">
        <f>SUMIFS('BS-KH26-KhanhNga'!X$2:X$51,'BS-KH26-KhanhNga'!$A$2:$A$51,'Consol BS-DTRG'!$A106)</f>
        <v>0</v>
      </c>
      <c r="CD106" s="15">
        <f>SUMIFS('BS-KH26-DaiLoc'!M$2:M$51,'BS-KH26-DaiLoc'!$A$2:$A$51,'Consol BS-DTRG'!$A106)</f>
        <v>0</v>
      </c>
      <c r="CE106" s="15">
        <f>SUMIFS('BS-KH26-DaiLoc'!N$2:N$51,'BS-KH26-DaiLoc'!$A$2:$A$51,'Consol BS-DTRG'!$A106)</f>
        <v>0</v>
      </c>
      <c r="CF106" s="15">
        <f>SUMIFS('BS-KH26-DaiLoc'!O$2:O$51,'BS-KH26-DaiLoc'!$A$2:$A$51,'Consol BS-DTRG'!$A106)</f>
        <v>0</v>
      </c>
      <c r="CG106" s="15">
        <f>SUMIFS('BS-KH26-DaiLoc'!P$2:P$51,'BS-KH26-DaiLoc'!$A$2:$A$51,'Consol BS-DTRG'!$A106)</f>
        <v>0</v>
      </c>
      <c r="CH106" s="15">
        <f>SUMIFS('BS-KH26-DaiLoc'!Q$2:Q$51,'BS-KH26-DaiLoc'!$A$2:$A$51,'Consol BS-DTRG'!$A106)</f>
        <v>0</v>
      </c>
      <c r="CI106" s="15">
        <f>SUMIFS('BS-KH26-DaiLoc'!R$2:R$51,'BS-KH26-DaiLoc'!$A$2:$A$51,'Consol BS-DTRG'!$A106)</f>
        <v>0</v>
      </c>
      <c r="CJ106" s="15">
        <f>SUMIFS('BS-KH26-DaiLoc'!S$2:S$51,'BS-KH26-DaiLoc'!$A$2:$A$51,'Consol BS-DTRG'!$A106)</f>
        <v>0</v>
      </c>
      <c r="CK106" s="15">
        <f>SUMIFS('BS-KH26-DaiLoc'!T$2:T$51,'BS-KH26-DaiLoc'!$A$2:$A$51,'Consol BS-DTRG'!$A106)</f>
        <v>0</v>
      </c>
      <c r="CL106" s="15">
        <f>SUMIFS('BS-KH26-DaiLoc'!U$2:U$51,'BS-KH26-DaiLoc'!$A$2:$A$51,'Consol BS-DTRG'!$A106)</f>
        <v>0</v>
      </c>
      <c r="CM106" s="15">
        <f>SUMIFS('BS-KH26-DaiLoc'!V$2:V$51,'BS-KH26-DaiLoc'!$A$2:$A$51,'Consol BS-DTRG'!$A106)</f>
        <v>0</v>
      </c>
      <c r="CN106" s="15">
        <f>SUMIFS('BS-KH26-DaiLoc'!W$2:W$51,'BS-KH26-DaiLoc'!$A$2:$A$51,'Consol BS-DTRG'!$A106)</f>
        <v>0</v>
      </c>
      <c r="CO106" s="15">
        <f>SUMIFS('BS-KH26-DaiLoc'!X$2:X$51,'BS-KH26-DaiLoc'!$A$2:$A$51,'Consol BS-DTRG'!$A106)</f>
        <v>0</v>
      </c>
      <c r="CQ106" s="15">
        <v>0</v>
      </c>
      <c r="CR106" s="15">
        <f t="shared" si="703"/>
        <v>0</v>
      </c>
      <c r="CS106" s="15">
        <f t="shared" si="703"/>
        <v>0</v>
      </c>
      <c r="CT106" s="15">
        <f t="shared" si="703"/>
        <v>0</v>
      </c>
      <c r="CU106" s="15">
        <f t="shared" si="703"/>
        <v>0</v>
      </c>
      <c r="CV106" s="15">
        <f t="shared" si="703"/>
        <v>0</v>
      </c>
      <c r="CW106" s="15">
        <f t="shared" si="703"/>
        <v>0</v>
      </c>
      <c r="CX106" s="15">
        <f t="shared" si="703"/>
        <v>0</v>
      </c>
      <c r="CY106" s="15">
        <f t="shared" si="703"/>
        <v>0</v>
      </c>
      <c r="CZ106" s="15">
        <f t="shared" si="703"/>
        <v>0</v>
      </c>
      <c r="DA106" s="15">
        <f t="shared" si="703"/>
        <v>0</v>
      </c>
      <c r="DB106" s="15">
        <f t="shared" si="703"/>
        <v>0</v>
      </c>
    </row>
    <row r="107" spans="1:106" hidden="1" outlineLevel="1">
      <c r="A107" s="633">
        <v>104</v>
      </c>
      <c r="B107" s="625" t="s">
        <v>356</v>
      </c>
      <c r="C107" t="s">
        <v>518</v>
      </c>
      <c r="D107" s="15">
        <f t="shared" si="679"/>
        <v>200000000000</v>
      </c>
      <c r="E107" s="15">
        <f t="shared" si="680"/>
        <v>200000000000</v>
      </c>
      <c r="F107" s="15">
        <f t="shared" si="681"/>
        <v>183333000000</v>
      </c>
      <c r="G107" s="15">
        <f t="shared" si="682"/>
        <v>183333000000</v>
      </c>
      <c r="H107" s="15">
        <f t="shared" si="683"/>
        <v>183333000000</v>
      </c>
      <c r="I107" s="15">
        <f t="shared" si="684"/>
        <v>166666000000</v>
      </c>
      <c r="J107" s="15">
        <f t="shared" si="685"/>
        <v>166666000000</v>
      </c>
      <c r="K107" s="15">
        <f t="shared" si="686"/>
        <v>166666000000</v>
      </c>
      <c r="L107" s="15">
        <f t="shared" si="687"/>
        <v>149999000000</v>
      </c>
      <c r="M107" s="15">
        <f t="shared" si="688"/>
        <v>149999000000</v>
      </c>
      <c r="N107" s="15">
        <f t="shared" si="689"/>
        <v>149999000000</v>
      </c>
      <c r="O107" s="15">
        <f t="shared" si="690"/>
        <v>133332000000</v>
      </c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D107" s="646">
        <f t="shared" si="691"/>
        <v>200000000000</v>
      </c>
      <c r="AE107" s="15">
        <f t="shared" si="692"/>
        <v>200000000000</v>
      </c>
      <c r="AF107" s="15">
        <f t="shared" si="693"/>
        <v>183333000000</v>
      </c>
      <c r="AG107" s="15">
        <f t="shared" si="694"/>
        <v>183333000000</v>
      </c>
      <c r="AH107" s="15">
        <f t="shared" si="695"/>
        <v>183333000000</v>
      </c>
      <c r="AI107" s="15">
        <f t="shared" si="696"/>
        <v>166666000000</v>
      </c>
      <c r="AJ107" s="15">
        <f t="shared" si="697"/>
        <v>166666000000</v>
      </c>
      <c r="AK107" s="15">
        <f t="shared" si="698"/>
        <v>166666000000</v>
      </c>
      <c r="AL107" s="15">
        <f t="shared" si="699"/>
        <v>149999000000</v>
      </c>
      <c r="AM107" s="15">
        <f t="shared" si="700"/>
        <v>149999000000</v>
      </c>
      <c r="AN107" s="15">
        <f t="shared" si="701"/>
        <v>149999000000</v>
      </c>
      <c r="AO107" s="647">
        <f t="shared" si="702"/>
        <v>133332000000</v>
      </c>
      <c r="AQ107" s="15">
        <f>SUMIFS('BS-KH26-DTR'!D$2:D$116,'BS-KH26-DTR'!$B$2:$B$116,$A107)</f>
        <v>200000000000</v>
      </c>
      <c r="AR107" s="15">
        <f>SUMIFS('BS-KH26-DTR'!E$2:E$116,'BS-KH26-DTR'!$B$2:$B$116,$A107)</f>
        <v>200000000000</v>
      </c>
      <c r="AS107" s="15">
        <f>SUMIFS('BS-KH26-DTR'!F$2:F$116,'BS-KH26-DTR'!$B$2:$B$116,$A107)</f>
        <v>183333000000</v>
      </c>
      <c r="AT107" s="15">
        <f>SUMIFS('BS-KH26-DTR'!G$2:G$116,'BS-KH26-DTR'!$B$2:$B$116,$A107)</f>
        <v>183333000000</v>
      </c>
      <c r="AU107" s="15">
        <f>SUMIFS('BS-KH26-DTR'!H$2:H$116,'BS-KH26-DTR'!$B$2:$B$116,$A107)</f>
        <v>183333000000</v>
      </c>
      <c r="AV107" s="15">
        <f>SUMIFS('BS-KH26-DTR'!I$2:I$116,'BS-KH26-DTR'!$B$2:$B$116,$A107)</f>
        <v>166666000000</v>
      </c>
      <c r="AW107" s="15">
        <f>SUMIFS('BS-KH26-DTR'!J$2:J$116,'BS-KH26-DTR'!$B$2:$B$116,$A107)</f>
        <v>166666000000</v>
      </c>
      <c r="AX107" s="15">
        <f>SUMIFS('BS-KH26-DTR'!K$2:K$116,'BS-KH26-DTR'!$B$2:$B$116,$A107)</f>
        <v>166666000000</v>
      </c>
      <c r="AY107" s="15">
        <f>SUMIFS('BS-KH26-DTR'!L$2:L$116,'BS-KH26-DTR'!$B$2:$B$116,$A107)</f>
        <v>149999000000</v>
      </c>
      <c r="AZ107" s="15">
        <f>SUMIFS('BS-KH26-DTR'!M$2:M$116,'BS-KH26-DTR'!$B$2:$B$116,$A107)</f>
        <v>149999000000</v>
      </c>
      <c r="BA107" s="15">
        <f>SUMIFS('BS-KH26-DTR'!N$2:N$116,'BS-KH26-DTR'!$B$2:$B$116,$A107)</f>
        <v>149999000000</v>
      </c>
      <c r="BB107" s="15">
        <f>SUMIFS('BS-KH26-DTR'!O$2:O$116,'BS-KH26-DTR'!$B$2:$B$116,$A107)</f>
        <v>133332000000</v>
      </c>
      <c r="BD107" s="15">
        <f>SUMIFS('BS-KH26-DongLam'!M$2:M$51,'BS-KH26-DongLam'!$A$2:$A$51,'Consol BS-DTRG'!$A107)</f>
        <v>0</v>
      </c>
      <c r="BE107" s="15">
        <f>SUMIFS('BS-KH26-DongLam'!N$2:N$51,'BS-KH26-DongLam'!$A$2:$A$51,'Consol BS-DTRG'!$A107)</f>
        <v>0</v>
      </c>
      <c r="BF107" s="15">
        <f>SUMIFS('BS-KH26-DongLam'!O$2:O$51,'BS-KH26-DongLam'!$A$2:$A$51,'Consol BS-DTRG'!$A107)</f>
        <v>0</v>
      </c>
      <c r="BG107" s="15">
        <f>SUMIFS('BS-KH26-DongLam'!P$2:P$51,'BS-KH26-DongLam'!$A$2:$A$51,'Consol BS-DTRG'!$A107)</f>
        <v>0</v>
      </c>
      <c r="BH107" s="15">
        <f>SUMIFS('BS-KH26-DongLam'!Q$2:Q$51,'BS-KH26-DongLam'!$A$2:$A$51,'Consol BS-DTRG'!$A107)</f>
        <v>0</v>
      </c>
      <c r="BI107" s="15">
        <f>SUMIFS('BS-KH26-DongLam'!R$2:R$51,'BS-KH26-DongLam'!$A$2:$A$51,'Consol BS-DTRG'!$A107)</f>
        <v>0</v>
      </c>
      <c r="BJ107" s="15">
        <f>SUMIFS('BS-KH26-DongLam'!S$2:S$51,'BS-KH26-DongLam'!$A$2:$A$51,'Consol BS-DTRG'!$A107)</f>
        <v>0</v>
      </c>
      <c r="BK107" s="15">
        <f>SUMIFS('BS-KH26-DongLam'!T$2:T$51,'BS-KH26-DongLam'!$A$2:$A$51,'Consol BS-DTRG'!$A107)</f>
        <v>0</v>
      </c>
      <c r="BL107" s="15">
        <f>SUMIFS('BS-KH26-DongLam'!U$2:U$51,'BS-KH26-DongLam'!$A$2:$A$51,'Consol BS-DTRG'!$A107)</f>
        <v>0</v>
      </c>
      <c r="BM107" s="15">
        <f>SUMIFS('BS-KH26-DongLam'!V$2:V$51,'BS-KH26-DongLam'!$A$2:$A$51,'Consol BS-DTRG'!$A107)</f>
        <v>0</v>
      </c>
      <c r="BN107" s="15">
        <f>SUMIFS('BS-KH26-DongLam'!W$2:W$51,'BS-KH26-DongLam'!$A$2:$A$51,'Consol BS-DTRG'!$A107)</f>
        <v>0</v>
      </c>
      <c r="BO107" s="15">
        <f>SUMIFS('BS-KH26-DongLam'!X$2:X$51,'BS-KH26-DongLam'!$A$2:$A$51,'Consol BS-DTRG'!$A107)</f>
        <v>0</v>
      </c>
      <c r="BQ107" s="15">
        <f>SUMIFS('BS-KH26-KhanhNga'!M$2:M$51,'BS-KH26-KhanhNga'!$A$2:$A$51,'Consol BS-DTRG'!$A107)</f>
        <v>0</v>
      </c>
      <c r="BR107" s="15">
        <f>SUMIFS('BS-KH26-KhanhNga'!N$2:N$51,'BS-KH26-KhanhNga'!$A$2:$A$51,'Consol BS-DTRG'!$A107)</f>
        <v>0</v>
      </c>
      <c r="BS107" s="15">
        <f>SUMIFS('BS-KH26-KhanhNga'!O$2:O$51,'BS-KH26-KhanhNga'!$A$2:$A$51,'Consol BS-DTRG'!$A107)</f>
        <v>0</v>
      </c>
      <c r="BT107" s="15">
        <f>SUMIFS('BS-KH26-KhanhNga'!P$2:P$51,'BS-KH26-KhanhNga'!$A$2:$A$51,'Consol BS-DTRG'!$A107)</f>
        <v>0</v>
      </c>
      <c r="BU107" s="15">
        <f>SUMIFS('BS-KH26-KhanhNga'!Q$2:Q$51,'BS-KH26-KhanhNga'!$A$2:$A$51,'Consol BS-DTRG'!$A107)</f>
        <v>0</v>
      </c>
      <c r="BV107" s="15">
        <f>SUMIFS('BS-KH26-KhanhNga'!R$2:R$51,'BS-KH26-KhanhNga'!$A$2:$A$51,'Consol BS-DTRG'!$A107)</f>
        <v>0</v>
      </c>
      <c r="BW107" s="15">
        <f>SUMIFS('BS-KH26-KhanhNga'!S$2:S$51,'BS-KH26-KhanhNga'!$A$2:$A$51,'Consol BS-DTRG'!$A107)</f>
        <v>0</v>
      </c>
      <c r="BX107" s="15">
        <f>SUMIFS('BS-KH26-KhanhNga'!T$2:T$51,'BS-KH26-KhanhNga'!$A$2:$A$51,'Consol BS-DTRG'!$A107)</f>
        <v>0</v>
      </c>
      <c r="BY107" s="15">
        <f>SUMIFS('BS-KH26-KhanhNga'!U$2:U$51,'BS-KH26-KhanhNga'!$A$2:$A$51,'Consol BS-DTRG'!$A107)</f>
        <v>0</v>
      </c>
      <c r="BZ107" s="15">
        <f>SUMIFS('BS-KH26-KhanhNga'!V$2:V$51,'BS-KH26-KhanhNga'!$A$2:$A$51,'Consol BS-DTRG'!$A107)</f>
        <v>0</v>
      </c>
      <c r="CA107" s="15">
        <f>SUMIFS('BS-KH26-KhanhNga'!W$2:W$51,'BS-KH26-KhanhNga'!$A$2:$A$51,'Consol BS-DTRG'!$A107)</f>
        <v>0</v>
      </c>
      <c r="CB107" s="15">
        <f>SUMIFS('BS-KH26-KhanhNga'!X$2:X$51,'BS-KH26-KhanhNga'!$A$2:$A$51,'Consol BS-DTRG'!$A107)</f>
        <v>0</v>
      </c>
      <c r="CD107" s="15">
        <f>SUMIFS('BS-KH26-DaiLoc'!M$2:M$51,'BS-KH26-DaiLoc'!$A$2:$A$51,'Consol BS-DTRG'!$A107)</f>
        <v>0</v>
      </c>
      <c r="CE107" s="15">
        <f>SUMIFS('BS-KH26-DaiLoc'!N$2:N$51,'BS-KH26-DaiLoc'!$A$2:$A$51,'Consol BS-DTRG'!$A107)</f>
        <v>0</v>
      </c>
      <c r="CF107" s="15">
        <f>SUMIFS('BS-KH26-DaiLoc'!O$2:O$51,'BS-KH26-DaiLoc'!$A$2:$A$51,'Consol BS-DTRG'!$A107)</f>
        <v>0</v>
      </c>
      <c r="CG107" s="15">
        <f>SUMIFS('BS-KH26-DaiLoc'!P$2:P$51,'BS-KH26-DaiLoc'!$A$2:$A$51,'Consol BS-DTRG'!$A107)</f>
        <v>0</v>
      </c>
      <c r="CH107" s="15">
        <f>SUMIFS('BS-KH26-DaiLoc'!Q$2:Q$51,'BS-KH26-DaiLoc'!$A$2:$A$51,'Consol BS-DTRG'!$A107)</f>
        <v>0</v>
      </c>
      <c r="CI107" s="15">
        <f>SUMIFS('BS-KH26-DaiLoc'!R$2:R$51,'BS-KH26-DaiLoc'!$A$2:$A$51,'Consol BS-DTRG'!$A107)</f>
        <v>0</v>
      </c>
      <c r="CJ107" s="15">
        <f>SUMIFS('BS-KH26-DaiLoc'!S$2:S$51,'BS-KH26-DaiLoc'!$A$2:$A$51,'Consol BS-DTRG'!$A107)</f>
        <v>0</v>
      </c>
      <c r="CK107" s="15">
        <f>SUMIFS('BS-KH26-DaiLoc'!T$2:T$51,'BS-KH26-DaiLoc'!$A$2:$A$51,'Consol BS-DTRG'!$A107)</f>
        <v>0</v>
      </c>
      <c r="CL107" s="15">
        <f>SUMIFS('BS-KH26-DaiLoc'!U$2:U$51,'BS-KH26-DaiLoc'!$A$2:$A$51,'Consol BS-DTRG'!$A107)</f>
        <v>0</v>
      </c>
      <c r="CM107" s="15">
        <f>SUMIFS('BS-KH26-DaiLoc'!V$2:V$51,'BS-KH26-DaiLoc'!$A$2:$A$51,'Consol BS-DTRG'!$A107)</f>
        <v>0</v>
      </c>
      <c r="CN107" s="15">
        <f>SUMIFS('BS-KH26-DaiLoc'!W$2:W$51,'BS-KH26-DaiLoc'!$A$2:$A$51,'Consol BS-DTRG'!$A107)</f>
        <v>0</v>
      </c>
      <c r="CO107" s="15">
        <f>SUMIFS('BS-KH26-DaiLoc'!X$2:X$51,'BS-KH26-DaiLoc'!$A$2:$A$51,'Consol BS-DTRG'!$A107)</f>
        <v>0</v>
      </c>
      <c r="CQ107" s="15">
        <v>0</v>
      </c>
      <c r="CR107" s="15">
        <f t="shared" si="703"/>
        <v>0</v>
      </c>
      <c r="CS107" s="15">
        <f t="shared" si="703"/>
        <v>0</v>
      </c>
      <c r="CT107" s="15">
        <f t="shared" si="703"/>
        <v>0</v>
      </c>
      <c r="CU107" s="15">
        <f t="shared" si="703"/>
        <v>0</v>
      </c>
      <c r="CV107" s="15">
        <f t="shared" si="703"/>
        <v>0</v>
      </c>
      <c r="CW107" s="15">
        <f t="shared" si="703"/>
        <v>0</v>
      </c>
      <c r="CX107" s="15">
        <f t="shared" si="703"/>
        <v>0</v>
      </c>
      <c r="CY107" s="15">
        <f t="shared" si="703"/>
        <v>0</v>
      </c>
      <c r="CZ107" s="15">
        <f t="shared" si="703"/>
        <v>0</v>
      </c>
      <c r="DA107" s="15">
        <f t="shared" si="703"/>
        <v>0</v>
      </c>
      <c r="DB107" s="15">
        <f t="shared" si="703"/>
        <v>0</v>
      </c>
    </row>
    <row r="108" spans="1:106" hidden="1" outlineLevel="1">
      <c r="A108" s="633">
        <v>105</v>
      </c>
      <c r="B108" s="625" t="s">
        <v>357</v>
      </c>
      <c r="C108" t="s">
        <v>518</v>
      </c>
      <c r="D108" s="15">
        <f t="shared" si="679"/>
        <v>280799882786.70361</v>
      </c>
      <c r="E108" s="15">
        <f t="shared" si="680"/>
        <v>277211406105.70361</v>
      </c>
      <c r="F108" s="15">
        <f t="shared" si="681"/>
        <v>272896223424.70364</v>
      </c>
      <c r="G108" s="15">
        <f t="shared" si="682"/>
        <v>339436625351.70361</v>
      </c>
      <c r="H108" s="15">
        <f t="shared" si="683"/>
        <v>335848148670.70361</v>
      </c>
      <c r="I108" s="15">
        <f t="shared" si="684"/>
        <v>331532965989.70367</v>
      </c>
      <c r="J108" s="15">
        <f t="shared" si="685"/>
        <v>330015367916.70367</v>
      </c>
      <c r="K108" s="15">
        <f t="shared" si="686"/>
        <v>326426891235.70374</v>
      </c>
      <c r="L108" s="15">
        <f t="shared" si="687"/>
        <v>322111708554.70374</v>
      </c>
      <c r="M108" s="15">
        <f t="shared" si="688"/>
        <v>320594110481.7038</v>
      </c>
      <c r="N108" s="15">
        <f t="shared" si="689"/>
        <v>317005633800.7038</v>
      </c>
      <c r="O108" s="15">
        <f t="shared" si="690"/>
        <v>312690451119.7038</v>
      </c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D108" s="646">
        <f t="shared" si="691"/>
        <v>280799882786.70361</v>
      </c>
      <c r="AE108" s="15">
        <f t="shared" si="692"/>
        <v>277211406105.70361</v>
      </c>
      <c r="AF108" s="15">
        <f t="shared" si="693"/>
        <v>272896223424.70364</v>
      </c>
      <c r="AG108" s="15">
        <f t="shared" si="694"/>
        <v>339436625351.70361</v>
      </c>
      <c r="AH108" s="15">
        <f t="shared" si="695"/>
        <v>335848148670.70361</v>
      </c>
      <c r="AI108" s="15">
        <f t="shared" si="696"/>
        <v>331532965989.70367</v>
      </c>
      <c r="AJ108" s="15">
        <f t="shared" si="697"/>
        <v>330015367916.70367</v>
      </c>
      <c r="AK108" s="15">
        <f t="shared" si="698"/>
        <v>326426891235.70374</v>
      </c>
      <c r="AL108" s="15">
        <f t="shared" si="699"/>
        <v>322111708554.70374</v>
      </c>
      <c r="AM108" s="15">
        <f t="shared" si="700"/>
        <v>320594110481.7038</v>
      </c>
      <c r="AN108" s="15">
        <f t="shared" si="701"/>
        <v>317005633800.7038</v>
      </c>
      <c r="AO108" s="647">
        <f t="shared" si="702"/>
        <v>312690451119.7038</v>
      </c>
      <c r="AQ108" s="15">
        <f>SUMIFS('BS-KH26-DTR'!D$2:D$116,'BS-KH26-DTR'!$B$2:$B$116,$A108)</f>
        <v>248029882786.70364</v>
      </c>
      <c r="AR108" s="15">
        <f>SUMIFS('BS-KH26-DTR'!E$2:E$116,'BS-KH26-DTR'!$B$2:$B$116,$A108)</f>
        <v>244441406105.70364</v>
      </c>
      <c r="AS108" s="15">
        <f>SUMIFS('BS-KH26-DTR'!F$2:F$116,'BS-KH26-DTR'!$B$2:$B$116,$A108)</f>
        <v>240126223424.70364</v>
      </c>
      <c r="AT108" s="15">
        <f>SUMIFS('BS-KH26-DTR'!G$2:G$116,'BS-KH26-DTR'!$B$2:$B$116,$A108)</f>
        <v>306666625351.70361</v>
      </c>
      <c r="AU108" s="15">
        <f>SUMIFS('BS-KH26-DTR'!H$2:H$116,'BS-KH26-DTR'!$B$2:$B$116,$A108)</f>
        <v>303078148670.70361</v>
      </c>
      <c r="AV108" s="15">
        <f>SUMIFS('BS-KH26-DTR'!I$2:I$116,'BS-KH26-DTR'!$B$2:$B$116,$A108)</f>
        <v>298762965989.70367</v>
      </c>
      <c r="AW108" s="15">
        <f>SUMIFS('BS-KH26-DTR'!J$2:J$116,'BS-KH26-DTR'!$B$2:$B$116,$A108)</f>
        <v>297245367916.70367</v>
      </c>
      <c r="AX108" s="15">
        <f>SUMIFS('BS-KH26-DTR'!K$2:K$116,'BS-KH26-DTR'!$B$2:$B$116,$A108)</f>
        <v>293656891235.70374</v>
      </c>
      <c r="AY108" s="15">
        <f>SUMIFS('BS-KH26-DTR'!L$2:L$116,'BS-KH26-DTR'!$B$2:$B$116,$A108)</f>
        <v>289341708554.70374</v>
      </c>
      <c r="AZ108" s="15">
        <f>SUMIFS('BS-KH26-DTR'!M$2:M$116,'BS-KH26-DTR'!$B$2:$B$116,$A108)</f>
        <v>287824110481.7038</v>
      </c>
      <c r="BA108" s="15">
        <f>SUMIFS('BS-KH26-DTR'!N$2:N$116,'BS-KH26-DTR'!$B$2:$B$116,$A108)</f>
        <v>284235633800.7038</v>
      </c>
      <c r="BB108" s="15">
        <f>SUMIFS('BS-KH26-DTR'!O$2:O$116,'BS-KH26-DTR'!$B$2:$B$116,$A108)</f>
        <v>279920451119.7038</v>
      </c>
      <c r="BD108" s="15">
        <f>SUMIFS('BS-KH26-DongLam'!M$2:M$51,'BS-KH26-DongLam'!$A$2:$A$51,'Consol BS-DTRG'!$A108)</f>
        <v>0</v>
      </c>
      <c r="BE108" s="15">
        <f>SUMIFS('BS-KH26-DongLam'!N$2:N$51,'BS-KH26-DongLam'!$A$2:$A$51,'Consol BS-DTRG'!$A108)</f>
        <v>0</v>
      </c>
      <c r="BF108" s="15">
        <f>SUMIFS('BS-KH26-DongLam'!O$2:O$51,'BS-KH26-DongLam'!$A$2:$A$51,'Consol BS-DTRG'!$A108)</f>
        <v>0</v>
      </c>
      <c r="BG108" s="15">
        <f>SUMIFS('BS-KH26-DongLam'!P$2:P$51,'BS-KH26-DongLam'!$A$2:$A$51,'Consol BS-DTRG'!$A108)</f>
        <v>0</v>
      </c>
      <c r="BH108" s="15">
        <f>SUMIFS('BS-KH26-DongLam'!Q$2:Q$51,'BS-KH26-DongLam'!$A$2:$A$51,'Consol BS-DTRG'!$A108)</f>
        <v>0</v>
      </c>
      <c r="BI108" s="15">
        <f>SUMIFS('BS-KH26-DongLam'!R$2:R$51,'BS-KH26-DongLam'!$A$2:$A$51,'Consol BS-DTRG'!$A108)</f>
        <v>0</v>
      </c>
      <c r="BJ108" s="15">
        <f>SUMIFS('BS-KH26-DongLam'!S$2:S$51,'BS-KH26-DongLam'!$A$2:$A$51,'Consol BS-DTRG'!$A108)</f>
        <v>0</v>
      </c>
      <c r="BK108" s="15">
        <f>SUMIFS('BS-KH26-DongLam'!T$2:T$51,'BS-KH26-DongLam'!$A$2:$A$51,'Consol BS-DTRG'!$A108)</f>
        <v>0</v>
      </c>
      <c r="BL108" s="15">
        <f>SUMIFS('BS-KH26-DongLam'!U$2:U$51,'BS-KH26-DongLam'!$A$2:$A$51,'Consol BS-DTRG'!$A108)</f>
        <v>0</v>
      </c>
      <c r="BM108" s="15">
        <f>SUMIFS('BS-KH26-DongLam'!V$2:V$51,'BS-KH26-DongLam'!$A$2:$A$51,'Consol BS-DTRG'!$A108)</f>
        <v>0</v>
      </c>
      <c r="BN108" s="15">
        <f>SUMIFS('BS-KH26-DongLam'!W$2:W$51,'BS-KH26-DongLam'!$A$2:$A$51,'Consol BS-DTRG'!$A108)</f>
        <v>0</v>
      </c>
      <c r="BO108" s="15">
        <f>SUMIFS('BS-KH26-DongLam'!X$2:X$51,'BS-KH26-DongLam'!$A$2:$A$51,'Consol BS-DTRG'!$A108)</f>
        <v>0</v>
      </c>
      <c r="BQ108" s="15">
        <f>SUMIFS('BS-KH26-KhanhNga'!M$2:M$51,'BS-KH26-KhanhNga'!$A$2:$A$51,'Consol BS-DTRG'!$A108)</f>
        <v>0</v>
      </c>
      <c r="BR108" s="15">
        <f>SUMIFS('BS-KH26-KhanhNga'!N$2:N$51,'BS-KH26-KhanhNga'!$A$2:$A$51,'Consol BS-DTRG'!$A108)</f>
        <v>0</v>
      </c>
      <c r="BS108" s="15">
        <f>SUMIFS('BS-KH26-KhanhNga'!O$2:O$51,'BS-KH26-KhanhNga'!$A$2:$A$51,'Consol BS-DTRG'!$A108)</f>
        <v>0</v>
      </c>
      <c r="BT108" s="15">
        <f>SUMIFS('BS-KH26-KhanhNga'!P$2:P$51,'BS-KH26-KhanhNga'!$A$2:$A$51,'Consol BS-DTRG'!$A108)</f>
        <v>0</v>
      </c>
      <c r="BU108" s="15">
        <f>SUMIFS('BS-KH26-KhanhNga'!Q$2:Q$51,'BS-KH26-KhanhNga'!$A$2:$A$51,'Consol BS-DTRG'!$A108)</f>
        <v>0</v>
      </c>
      <c r="BV108" s="15">
        <f>SUMIFS('BS-KH26-KhanhNga'!R$2:R$51,'BS-KH26-KhanhNga'!$A$2:$A$51,'Consol BS-DTRG'!$A108)</f>
        <v>0</v>
      </c>
      <c r="BW108" s="15">
        <f>SUMIFS('BS-KH26-KhanhNga'!S$2:S$51,'BS-KH26-KhanhNga'!$A$2:$A$51,'Consol BS-DTRG'!$A108)</f>
        <v>0</v>
      </c>
      <c r="BX108" s="15">
        <f>SUMIFS('BS-KH26-KhanhNga'!T$2:T$51,'BS-KH26-KhanhNga'!$A$2:$A$51,'Consol BS-DTRG'!$A108)</f>
        <v>0</v>
      </c>
      <c r="BY108" s="15">
        <f>SUMIFS('BS-KH26-KhanhNga'!U$2:U$51,'BS-KH26-KhanhNga'!$A$2:$A$51,'Consol BS-DTRG'!$A108)</f>
        <v>0</v>
      </c>
      <c r="BZ108" s="15">
        <f>SUMIFS('BS-KH26-KhanhNga'!V$2:V$51,'BS-KH26-KhanhNga'!$A$2:$A$51,'Consol BS-DTRG'!$A108)</f>
        <v>0</v>
      </c>
      <c r="CA108" s="15">
        <f>SUMIFS('BS-KH26-KhanhNga'!W$2:W$51,'BS-KH26-KhanhNga'!$A$2:$A$51,'Consol BS-DTRG'!$A108)</f>
        <v>0</v>
      </c>
      <c r="CB108" s="15">
        <f>SUMIFS('BS-KH26-KhanhNga'!X$2:X$51,'BS-KH26-KhanhNga'!$A$2:$A$51,'Consol BS-DTRG'!$A108)</f>
        <v>0</v>
      </c>
      <c r="CD108" s="15">
        <f>SUMIFS('BS-KH26-DaiLoc'!M$2:M$51,'BS-KH26-DaiLoc'!$A$2:$A$51,'Consol BS-DTRG'!$A108)</f>
        <v>32770000000</v>
      </c>
      <c r="CE108" s="15">
        <f>SUMIFS('BS-KH26-DaiLoc'!N$2:N$51,'BS-KH26-DaiLoc'!$A$2:$A$51,'Consol BS-DTRG'!$A108)</f>
        <v>32770000000</v>
      </c>
      <c r="CF108" s="15">
        <f>SUMIFS('BS-KH26-DaiLoc'!O$2:O$51,'BS-KH26-DaiLoc'!$A$2:$A$51,'Consol BS-DTRG'!$A108)</f>
        <v>32770000000</v>
      </c>
      <c r="CG108" s="15">
        <f>SUMIFS('BS-KH26-DaiLoc'!P$2:P$51,'BS-KH26-DaiLoc'!$A$2:$A$51,'Consol BS-DTRG'!$A108)</f>
        <v>32770000000</v>
      </c>
      <c r="CH108" s="15">
        <f>SUMIFS('BS-KH26-DaiLoc'!Q$2:Q$51,'BS-KH26-DaiLoc'!$A$2:$A$51,'Consol BS-DTRG'!$A108)</f>
        <v>32770000000</v>
      </c>
      <c r="CI108" s="15">
        <f>SUMIFS('BS-KH26-DaiLoc'!R$2:R$51,'BS-KH26-DaiLoc'!$A$2:$A$51,'Consol BS-DTRG'!$A108)</f>
        <v>32770000000</v>
      </c>
      <c r="CJ108" s="15">
        <f>SUMIFS('BS-KH26-DaiLoc'!S$2:S$51,'BS-KH26-DaiLoc'!$A$2:$A$51,'Consol BS-DTRG'!$A108)</f>
        <v>32770000000</v>
      </c>
      <c r="CK108" s="15">
        <f>SUMIFS('BS-KH26-DaiLoc'!T$2:T$51,'BS-KH26-DaiLoc'!$A$2:$A$51,'Consol BS-DTRG'!$A108)</f>
        <v>32770000000</v>
      </c>
      <c r="CL108" s="15">
        <f>SUMIFS('BS-KH26-DaiLoc'!U$2:U$51,'BS-KH26-DaiLoc'!$A$2:$A$51,'Consol BS-DTRG'!$A108)</f>
        <v>32770000000</v>
      </c>
      <c r="CM108" s="15">
        <f>SUMIFS('BS-KH26-DaiLoc'!V$2:V$51,'BS-KH26-DaiLoc'!$A$2:$A$51,'Consol BS-DTRG'!$A108)</f>
        <v>32770000000</v>
      </c>
      <c r="CN108" s="15">
        <f>SUMIFS('BS-KH26-DaiLoc'!W$2:W$51,'BS-KH26-DaiLoc'!$A$2:$A$51,'Consol BS-DTRG'!$A108)</f>
        <v>32770000000</v>
      </c>
      <c r="CO108" s="15">
        <f>SUMIFS('BS-KH26-DaiLoc'!X$2:X$51,'BS-KH26-DaiLoc'!$A$2:$A$51,'Consol BS-DTRG'!$A108)</f>
        <v>32770000000</v>
      </c>
      <c r="CQ108" s="15">
        <v>0</v>
      </c>
      <c r="CR108" s="15">
        <f t="shared" si="703"/>
        <v>0</v>
      </c>
      <c r="CS108" s="15">
        <f t="shared" si="703"/>
        <v>0</v>
      </c>
      <c r="CT108" s="15">
        <f t="shared" si="703"/>
        <v>0</v>
      </c>
      <c r="CU108" s="15">
        <f t="shared" si="703"/>
        <v>0</v>
      </c>
      <c r="CV108" s="15">
        <f t="shared" si="703"/>
        <v>0</v>
      </c>
      <c r="CW108" s="15">
        <f t="shared" si="703"/>
        <v>0</v>
      </c>
      <c r="CX108" s="15">
        <f t="shared" si="703"/>
        <v>0</v>
      </c>
      <c r="CY108" s="15">
        <f t="shared" si="703"/>
        <v>0</v>
      </c>
      <c r="CZ108" s="15">
        <f t="shared" si="703"/>
        <v>0</v>
      </c>
      <c r="DA108" s="15">
        <f t="shared" si="703"/>
        <v>0</v>
      </c>
      <c r="DB108" s="15">
        <f t="shared" si="703"/>
        <v>0</v>
      </c>
    </row>
    <row r="109" spans="1:106" hidden="1" outlineLevel="1">
      <c r="A109" s="633">
        <v>106</v>
      </c>
      <c r="B109" s="625" t="s">
        <v>358</v>
      </c>
      <c r="C109" t="s">
        <v>518</v>
      </c>
      <c r="D109" s="15">
        <f t="shared" si="679"/>
        <v>0</v>
      </c>
      <c r="E109" s="15">
        <f t="shared" si="680"/>
        <v>0</v>
      </c>
      <c r="F109" s="15">
        <f t="shared" si="681"/>
        <v>0</v>
      </c>
      <c r="G109" s="15">
        <f t="shared" si="682"/>
        <v>0</v>
      </c>
      <c r="H109" s="15">
        <f t="shared" si="683"/>
        <v>0</v>
      </c>
      <c r="I109" s="15">
        <f t="shared" si="684"/>
        <v>0</v>
      </c>
      <c r="J109" s="15">
        <f t="shared" si="685"/>
        <v>0</v>
      </c>
      <c r="K109" s="15">
        <f t="shared" si="686"/>
        <v>0</v>
      </c>
      <c r="L109" s="15">
        <f t="shared" si="687"/>
        <v>0</v>
      </c>
      <c r="M109" s="15">
        <f t="shared" si="688"/>
        <v>0</v>
      </c>
      <c r="N109" s="15">
        <f t="shared" si="689"/>
        <v>0</v>
      </c>
      <c r="O109" s="15">
        <f t="shared" si="690"/>
        <v>0</v>
      </c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D109" s="646">
        <f t="shared" si="691"/>
        <v>0</v>
      </c>
      <c r="AE109" s="15">
        <f t="shared" si="692"/>
        <v>0</v>
      </c>
      <c r="AF109" s="15">
        <f t="shared" si="693"/>
        <v>0</v>
      </c>
      <c r="AG109" s="15">
        <f t="shared" si="694"/>
        <v>0</v>
      </c>
      <c r="AH109" s="15">
        <f t="shared" si="695"/>
        <v>0</v>
      </c>
      <c r="AI109" s="15">
        <f t="shared" si="696"/>
        <v>0</v>
      </c>
      <c r="AJ109" s="15">
        <f t="shared" si="697"/>
        <v>0</v>
      </c>
      <c r="AK109" s="15">
        <f t="shared" si="698"/>
        <v>0</v>
      </c>
      <c r="AL109" s="15">
        <f t="shared" si="699"/>
        <v>0</v>
      </c>
      <c r="AM109" s="15">
        <f t="shared" si="700"/>
        <v>0</v>
      </c>
      <c r="AN109" s="15">
        <f t="shared" si="701"/>
        <v>0</v>
      </c>
      <c r="AO109" s="647">
        <f t="shared" si="702"/>
        <v>0</v>
      </c>
      <c r="AQ109" s="15">
        <f>SUMIFS('BS-KH26-DTR'!D$2:D$116,'BS-KH26-DTR'!$B$2:$B$116,$A109)</f>
        <v>0</v>
      </c>
      <c r="AR109" s="15">
        <f>SUMIFS('BS-KH26-DTR'!E$2:E$116,'BS-KH26-DTR'!$B$2:$B$116,$A109)</f>
        <v>0</v>
      </c>
      <c r="AS109" s="15">
        <f>SUMIFS('BS-KH26-DTR'!F$2:F$116,'BS-KH26-DTR'!$B$2:$B$116,$A109)</f>
        <v>0</v>
      </c>
      <c r="AT109" s="15">
        <f>SUMIFS('BS-KH26-DTR'!G$2:G$116,'BS-KH26-DTR'!$B$2:$B$116,$A109)</f>
        <v>0</v>
      </c>
      <c r="AU109" s="15">
        <f>SUMIFS('BS-KH26-DTR'!H$2:H$116,'BS-KH26-DTR'!$B$2:$B$116,$A109)</f>
        <v>0</v>
      </c>
      <c r="AV109" s="15">
        <f>SUMIFS('BS-KH26-DTR'!I$2:I$116,'BS-KH26-DTR'!$B$2:$B$116,$A109)</f>
        <v>0</v>
      </c>
      <c r="AW109" s="15">
        <f>SUMIFS('BS-KH26-DTR'!J$2:J$116,'BS-KH26-DTR'!$B$2:$B$116,$A109)</f>
        <v>0</v>
      </c>
      <c r="AX109" s="15">
        <f>SUMIFS('BS-KH26-DTR'!K$2:K$116,'BS-KH26-DTR'!$B$2:$B$116,$A109)</f>
        <v>0</v>
      </c>
      <c r="AY109" s="15">
        <f>SUMIFS('BS-KH26-DTR'!L$2:L$116,'BS-KH26-DTR'!$B$2:$B$116,$A109)</f>
        <v>0</v>
      </c>
      <c r="AZ109" s="15">
        <f>SUMIFS('BS-KH26-DTR'!M$2:M$116,'BS-KH26-DTR'!$B$2:$B$116,$A109)</f>
        <v>0</v>
      </c>
      <c r="BA109" s="15">
        <f>SUMIFS('BS-KH26-DTR'!N$2:N$116,'BS-KH26-DTR'!$B$2:$B$116,$A109)</f>
        <v>0</v>
      </c>
      <c r="BB109" s="15">
        <f>SUMIFS('BS-KH26-DTR'!O$2:O$116,'BS-KH26-DTR'!$B$2:$B$116,$A109)</f>
        <v>0</v>
      </c>
      <c r="BD109" s="15">
        <f>SUMIFS('BS-KH26-DongLam'!M$2:M$51,'BS-KH26-DongLam'!$A$2:$A$51,'Consol BS-DTRG'!$A109)</f>
        <v>0</v>
      </c>
      <c r="BE109" s="15">
        <f>SUMIFS('BS-KH26-DongLam'!N$2:N$51,'BS-KH26-DongLam'!$A$2:$A$51,'Consol BS-DTRG'!$A109)</f>
        <v>0</v>
      </c>
      <c r="BF109" s="15">
        <f>SUMIFS('BS-KH26-DongLam'!O$2:O$51,'BS-KH26-DongLam'!$A$2:$A$51,'Consol BS-DTRG'!$A109)</f>
        <v>0</v>
      </c>
      <c r="BG109" s="15">
        <f>SUMIFS('BS-KH26-DongLam'!P$2:P$51,'BS-KH26-DongLam'!$A$2:$A$51,'Consol BS-DTRG'!$A109)</f>
        <v>0</v>
      </c>
      <c r="BH109" s="15">
        <f>SUMIFS('BS-KH26-DongLam'!Q$2:Q$51,'BS-KH26-DongLam'!$A$2:$A$51,'Consol BS-DTRG'!$A109)</f>
        <v>0</v>
      </c>
      <c r="BI109" s="15">
        <f>SUMIFS('BS-KH26-DongLam'!R$2:R$51,'BS-KH26-DongLam'!$A$2:$A$51,'Consol BS-DTRG'!$A109)</f>
        <v>0</v>
      </c>
      <c r="BJ109" s="15">
        <f>SUMIFS('BS-KH26-DongLam'!S$2:S$51,'BS-KH26-DongLam'!$A$2:$A$51,'Consol BS-DTRG'!$A109)</f>
        <v>0</v>
      </c>
      <c r="BK109" s="15">
        <f>SUMIFS('BS-KH26-DongLam'!T$2:T$51,'BS-KH26-DongLam'!$A$2:$A$51,'Consol BS-DTRG'!$A109)</f>
        <v>0</v>
      </c>
      <c r="BL109" s="15">
        <f>SUMIFS('BS-KH26-DongLam'!U$2:U$51,'BS-KH26-DongLam'!$A$2:$A$51,'Consol BS-DTRG'!$A109)</f>
        <v>0</v>
      </c>
      <c r="BM109" s="15">
        <f>SUMIFS('BS-KH26-DongLam'!V$2:V$51,'BS-KH26-DongLam'!$A$2:$A$51,'Consol BS-DTRG'!$A109)</f>
        <v>0</v>
      </c>
      <c r="BN109" s="15">
        <f>SUMIFS('BS-KH26-DongLam'!W$2:W$51,'BS-KH26-DongLam'!$A$2:$A$51,'Consol BS-DTRG'!$A109)</f>
        <v>0</v>
      </c>
      <c r="BO109" s="15">
        <f>SUMIFS('BS-KH26-DongLam'!X$2:X$51,'BS-KH26-DongLam'!$A$2:$A$51,'Consol BS-DTRG'!$A109)</f>
        <v>0</v>
      </c>
      <c r="BQ109" s="15">
        <f>SUMIFS('BS-KH26-KhanhNga'!M$2:M$51,'BS-KH26-KhanhNga'!$A$2:$A$51,'Consol BS-DTRG'!$A109)</f>
        <v>0</v>
      </c>
      <c r="BR109" s="15">
        <f>SUMIFS('BS-KH26-KhanhNga'!N$2:N$51,'BS-KH26-KhanhNga'!$A$2:$A$51,'Consol BS-DTRG'!$A109)</f>
        <v>0</v>
      </c>
      <c r="BS109" s="15">
        <f>SUMIFS('BS-KH26-KhanhNga'!O$2:O$51,'BS-KH26-KhanhNga'!$A$2:$A$51,'Consol BS-DTRG'!$A109)</f>
        <v>0</v>
      </c>
      <c r="BT109" s="15">
        <f>SUMIFS('BS-KH26-KhanhNga'!P$2:P$51,'BS-KH26-KhanhNga'!$A$2:$A$51,'Consol BS-DTRG'!$A109)</f>
        <v>0</v>
      </c>
      <c r="BU109" s="15">
        <f>SUMIFS('BS-KH26-KhanhNga'!Q$2:Q$51,'BS-KH26-KhanhNga'!$A$2:$A$51,'Consol BS-DTRG'!$A109)</f>
        <v>0</v>
      </c>
      <c r="BV109" s="15">
        <f>SUMIFS('BS-KH26-KhanhNga'!R$2:R$51,'BS-KH26-KhanhNga'!$A$2:$A$51,'Consol BS-DTRG'!$A109)</f>
        <v>0</v>
      </c>
      <c r="BW109" s="15">
        <f>SUMIFS('BS-KH26-KhanhNga'!S$2:S$51,'BS-KH26-KhanhNga'!$A$2:$A$51,'Consol BS-DTRG'!$A109)</f>
        <v>0</v>
      </c>
      <c r="BX109" s="15">
        <f>SUMIFS('BS-KH26-KhanhNga'!T$2:T$51,'BS-KH26-KhanhNga'!$A$2:$A$51,'Consol BS-DTRG'!$A109)</f>
        <v>0</v>
      </c>
      <c r="BY109" s="15">
        <f>SUMIFS('BS-KH26-KhanhNga'!U$2:U$51,'BS-KH26-KhanhNga'!$A$2:$A$51,'Consol BS-DTRG'!$A109)</f>
        <v>0</v>
      </c>
      <c r="BZ109" s="15">
        <f>SUMIFS('BS-KH26-KhanhNga'!V$2:V$51,'BS-KH26-KhanhNga'!$A$2:$A$51,'Consol BS-DTRG'!$A109)</f>
        <v>0</v>
      </c>
      <c r="CA109" s="15">
        <f>SUMIFS('BS-KH26-KhanhNga'!W$2:W$51,'BS-KH26-KhanhNga'!$A$2:$A$51,'Consol BS-DTRG'!$A109)</f>
        <v>0</v>
      </c>
      <c r="CB109" s="15">
        <f>SUMIFS('BS-KH26-KhanhNga'!X$2:X$51,'BS-KH26-KhanhNga'!$A$2:$A$51,'Consol BS-DTRG'!$A109)</f>
        <v>0</v>
      </c>
      <c r="CD109" s="15">
        <f>SUMIFS('BS-KH26-DaiLoc'!M$2:M$51,'BS-KH26-DaiLoc'!$A$2:$A$51,'Consol BS-DTRG'!$A109)</f>
        <v>0</v>
      </c>
      <c r="CE109" s="15">
        <f>SUMIFS('BS-KH26-DaiLoc'!N$2:N$51,'BS-KH26-DaiLoc'!$A$2:$A$51,'Consol BS-DTRG'!$A109)</f>
        <v>0</v>
      </c>
      <c r="CF109" s="15">
        <f>SUMIFS('BS-KH26-DaiLoc'!O$2:O$51,'BS-KH26-DaiLoc'!$A$2:$A$51,'Consol BS-DTRG'!$A109)</f>
        <v>0</v>
      </c>
      <c r="CG109" s="15">
        <f>SUMIFS('BS-KH26-DaiLoc'!P$2:P$51,'BS-KH26-DaiLoc'!$A$2:$A$51,'Consol BS-DTRG'!$A109)</f>
        <v>0</v>
      </c>
      <c r="CH109" s="15">
        <f>SUMIFS('BS-KH26-DaiLoc'!Q$2:Q$51,'BS-KH26-DaiLoc'!$A$2:$A$51,'Consol BS-DTRG'!$A109)</f>
        <v>0</v>
      </c>
      <c r="CI109" s="15">
        <f>SUMIFS('BS-KH26-DaiLoc'!R$2:R$51,'BS-KH26-DaiLoc'!$A$2:$A$51,'Consol BS-DTRG'!$A109)</f>
        <v>0</v>
      </c>
      <c r="CJ109" s="15">
        <f>SUMIFS('BS-KH26-DaiLoc'!S$2:S$51,'BS-KH26-DaiLoc'!$A$2:$A$51,'Consol BS-DTRG'!$A109)</f>
        <v>0</v>
      </c>
      <c r="CK109" s="15">
        <f>SUMIFS('BS-KH26-DaiLoc'!T$2:T$51,'BS-KH26-DaiLoc'!$A$2:$A$51,'Consol BS-DTRG'!$A109)</f>
        <v>0</v>
      </c>
      <c r="CL109" s="15">
        <f>SUMIFS('BS-KH26-DaiLoc'!U$2:U$51,'BS-KH26-DaiLoc'!$A$2:$A$51,'Consol BS-DTRG'!$A109)</f>
        <v>0</v>
      </c>
      <c r="CM109" s="15">
        <f>SUMIFS('BS-KH26-DaiLoc'!V$2:V$51,'BS-KH26-DaiLoc'!$A$2:$A$51,'Consol BS-DTRG'!$A109)</f>
        <v>0</v>
      </c>
      <c r="CN109" s="15">
        <f>SUMIFS('BS-KH26-DaiLoc'!W$2:W$51,'BS-KH26-DaiLoc'!$A$2:$A$51,'Consol BS-DTRG'!$A109)</f>
        <v>0</v>
      </c>
      <c r="CO109" s="15">
        <f>SUMIFS('BS-KH26-DaiLoc'!X$2:X$51,'BS-KH26-DaiLoc'!$A$2:$A$51,'Consol BS-DTRG'!$A109)</f>
        <v>0</v>
      </c>
      <c r="CQ109" s="15">
        <v>0</v>
      </c>
      <c r="CR109" s="15">
        <f t="shared" si="703"/>
        <v>0</v>
      </c>
      <c r="CS109" s="15">
        <f t="shared" si="703"/>
        <v>0</v>
      </c>
      <c r="CT109" s="15">
        <f t="shared" si="703"/>
        <v>0</v>
      </c>
      <c r="CU109" s="15">
        <f t="shared" si="703"/>
        <v>0</v>
      </c>
      <c r="CV109" s="15">
        <f t="shared" si="703"/>
        <v>0</v>
      </c>
      <c r="CW109" s="15">
        <f t="shared" si="703"/>
        <v>0</v>
      </c>
      <c r="CX109" s="15">
        <f t="shared" si="703"/>
        <v>0</v>
      </c>
      <c r="CY109" s="15">
        <f t="shared" si="703"/>
        <v>0</v>
      </c>
      <c r="CZ109" s="15">
        <f t="shared" si="703"/>
        <v>0</v>
      </c>
      <c r="DA109" s="15">
        <f t="shared" si="703"/>
        <v>0</v>
      </c>
      <c r="DB109" s="15">
        <f t="shared" si="703"/>
        <v>0</v>
      </c>
    </row>
    <row r="110" spans="1:106" hidden="1" outlineLevel="1">
      <c r="A110" s="633">
        <v>107</v>
      </c>
      <c r="B110" s="625" t="s">
        <v>359</v>
      </c>
      <c r="C110" t="s">
        <v>518</v>
      </c>
      <c r="D110" s="15">
        <f t="shared" si="679"/>
        <v>0</v>
      </c>
      <c r="E110" s="15">
        <f t="shared" si="680"/>
        <v>0</v>
      </c>
      <c r="F110" s="15">
        <f t="shared" si="681"/>
        <v>0</v>
      </c>
      <c r="G110" s="15">
        <f t="shared" si="682"/>
        <v>0</v>
      </c>
      <c r="H110" s="15">
        <f t="shared" si="683"/>
        <v>0</v>
      </c>
      <c r="I110" s="15">
        <f t="shared" si="684"/>
        <v>0</v>
      </c>
      <c r="J110" s="15">
        <f t="shared" si="685"/>
        <v>0</v>
      </c>
      <c r="K110" s="15">
        <f t="shared" si="686"/>
        <v>0</v>
      </c>
      <c r="L110" s="15">
        <f t="shared" si="687"/>
        <v>0</v>
      </c>
      <c r="M110" s="15">
        <f t="shared" si="688"/>
        <v>0</v>
      </c>
      <c r="N110" s="15">
        <f t="shared" si="689"/>
        <v>0</v>
      </c>
      <c r="O110" s="15">
        <f t="shared" si="690"/>
        <v>0</v>
      </c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D110" s="646">
        <f t="shared" si="691"/>
        <v>0</v>
      </c>
      <c r="AE110" s="15">
        <f t="shared" si="692"/>
        <v>0</v>
      </c>
      <c r="AF110" s="15">
        <f t="shared" si="693"/>
        <v>0</v>
      </c>
      <c r="AG110" s="15">
        <f t="shared" si="694"/>
        <v>0</v>
      </c>
      <c r="AH110" s="15">
        <f t="shared" si="695"/>
        <v>0</v>
      </c>
      <c r="AI110" s="15">
        <f t="shared" si="696"/>
        <v>0</v>
      </c>
      <c r="AJ110" s="15">
        <f t="shared" si="697"/>
        <v>0</v>
      </c>
      <c r="AK110" s="15">
        <f t="shared" si="698"/>
        <v>0</v>
      </c>
      <c r="AL110" s="15">
        <f t="shared" si="699"/>
        <v>0</v>
      </c>
      <c r="AM110" s="15">
        <f t="shared" si="700"/>
        <v>0</v>
      </c>
      <c r="AN110" s="15">
        <f t="shared" si="701"/>
        <v>0</v>
      </c>
      <c r="AO110" s="647">
        <f t="shared" si="702"/>
        <v>0</v>
      </c>
      <c r="AQ110" s="15">
        <f>SUMIFS('BS-KH26-DTR'!D$2:D$116,'BS-KH26-DTR'!$B$2:$B$116,$A110)</f>
        <v>0</v>
      </c>
      <c r="AR110" s="15">
        <f>SUMIFS('BS-KH26-DTR'!E$2:E$116,'BS-KH26-DTR'!$B$2:$B$116,$A110)</f>
        <v>0</v>
      </c>
      <c r="AS110" s="15">
        <f>SUMIFS('BS-KH26-DTR'!F$2:F$116,'BS-KH26-DTR'!$B$2:$B$116,$A110)</f>
        <v>0</v>
      </c>
      <c r="AT110" s="15">
        <f>SUMIFS('BS-KH26-DTR'!G$2:G$116,'BS-KH26-DTR'!$B$2:$B$116,$A110)</f>
        <v>0</v>
      </c>
      <c r="AU110" s="15">
        <f>SUMIFS('BS-KH26-DTR'!H$2:H$116,'BS-KH26-DTR'!$B$2:$B$116,$A110)</f>
        <v>0</v>
      </c>
      <c r="AV110" s="15">
        <f>SUMIFS('BS-KH26-DTR'!I$2:I$116,'BS-KH26-DTR'!$B$2:$B$116,$A110)</f>
        <v>0</v>
      </c>
      <c r="AW110" s="15">
        <f>SUMIFS('BS-KH26-DTR'!J$2:J$116,'BS-KH26-DTR'!$B$2:$B$116,$A110)</f>
        <v>0</v>
      </c>
      <c r="AX110" s="15">
        <f>SUMIFS('BS-KH26-DTR'!K$2:K$116,'BS-KH26-DTR'!$B$2:$B$116,$A110)</f>
        <v>0</v>
      </c>
      <c r="AY110" s="15">
        <f>SUMIFS('BS-KH26-DTR'!L$2:L$116,'BS-KH26-DTR'!$B$2:$B$116,$A110)</f>
        <v>0</v>
      </c>
      <c r="AZ110" s="15">
        <f>SUMIFS('BS-KH26-DTR'!M$2:M$116,'BS-KH26-DTR'!$B$2:$B$116,$A110)</f>
        <v>0</v>
      </c>
      <c r="BA110" s="15">
        <f>SUMIFS('BS-KH26-DTR'!N$2:N$116,'BS-KH26-DTR'!$B$2:$B$116,$A110)</f>
        <v>0</v>
      </c>
      <c r="BB110" s="15">
        <f>SUMIFS('BS-KH26-DTR'!O$2:O$116,'BS-KH26-DTR'!$B$2:$B$116,$A110)</f>
        <v>0</v>
      </c>
      <c r="BD110" s="15">
        <f>SUMIFS('BS-KH26-DongLam'!M$2:M$51,'BS-KH26-DongLam'!$A$2:$A$51,'Consol BS-DTRG'!$A110)</f>
        <v>0</v>
      </c>
      <c r="BE110" s="15">
        <f>SUMIFS('BS-KH26-DongLam'!N$2:N$51,'BS-KH26-DongLam'!$A$2:$A$51,'Consol BS-DTRG'!$A110)</f>
        <v>0</v>
      </c>
      <c r="BF110" s="15">
        <f>SUMIFS('BS-KH26-DongLam'!O$2:O$51,'BS-KH26-DongLam'!$A$2:$A$51,'Consol BS-DTRG'!$A110)</f>
        <v>0</v>
      </c>
      <c r="BG110" s="15">
        <f>SUMIFS('BS-KH26-DongLam'!P$2:P$51,'BS-KH26-DongLam'!$A$2:$A$51,'Consol BS-DTRG'!$A110)</f>
        <v>0</v>
      </c>
      <c r="BH110" s="15">
        <f>SUMIFS('BS-KH26-DongLam'!Q$2:Q$51,'BS-KH26-DongLam'!$A$2:$A$51,'Consol BS-DTRG'!$A110)</f>
        <v>0</v>
      </c>
      <c r="BI110" s="15">
        <f>SUMIFS('BS-KH26-DongLam'!R$2:R$51,'BS-KH26-DongLam'!$A$2:$A$51,'Consol BS-DTRG'!$A110)</f>
        <v>0</v>
      </c>
      <c r="BJ110" s="15">
        <f>SUMIFS('BS-KH26-DongLam'!S$2:S$51,'BS-KH26-DongLam'!$A$2:$A$51,'Consol BS-DTRG'!$A110)</f>
        <v>0</v>
      </c>
      <c r="BK110" s="15">
        <f>SUMIFS('BS-KH26-DongLam'!T$2:T$51,'BS-KH26-DongLam'!$A$2:$A$51,'Consol BS-DTRG'!$A110)</f>
        <v>0</v>
      </c>
      <c r="BL110" s="15">
        <f>SUMIFS('BS-KH26-DongLam'!U$2:U$51,'BS-KH26-DongLam'!$A$2:$A$51,'Consol BS-DTRG'!$A110)</f>
        <v>0</v>
      </c>
      <c r="BM110" s="15">
        <f>SUMIFS('BS-KH26-DongLam'!V$2:V$51,'BS-KH26-DongLam'!$A$2:$A$51,'Consol BS-DTRG'!$A110)</f>
        <v>0</v>
      </c>
      <c r="BN110" s="15">
        <f>SUMIFS('BS-KH26-DongLam'!W$2:W$51,'BS-KH26-DongLam'!$A$2:$A$51,'Consol BS-DTRG'!$A110)</f>
        <v>0</v>
      </c>
      <c r="BO110" s="15">
        <f>SUMIFS('BS-KH26-DongLam'!X$2:X$51,'BS-KH26-DongLam'!$A$2:$A$51,'Consol BS-DTRG'!$A110)</f>
        <v>0</v>
      </c>
      <c r="BQ110" s="15">
        <f>SUMIFS('BS-KH26-KhanhNga'!M$2:M$51,'BS-KH26-KhanhNga'!$A$2:$A$51,'Consol BS-DTRG'!$A110)</f>
        <v>0</v>
      </c>
      <c r="BR110" s="15">
        <f>SUMIFS('BS-KH26-KhanhNga'!N$2:N$51,'BS-KH26-KhanhNga'!$A$2:$A$51,'Consol BS-DTRG'!$A110)</f>
        <v>0</v>
      </c>
      <c r="BS110" s="15">
        <f>SUMIFS('BS-KH26-KhanhNga'!O$2:O$51,'BS-KH26-KhanhNga'!$A$2:$A$51,'Consol BS-DTRG'!$A110)</f>
        <v>0</v>
      </c>
      <c r="BT110" s="15">
        <f>SUMIFS('BS-KH26-KhanhNga'!P$2:P$51,'BS-KH26-KhanhNga'!$A$2:$A$51,'Consol BS-DTRG'!$A110)</f>
        <v>0</v>
      </c>
      <c r="BU110" s="15">
        <f>SUMIFS('BS-KH26-KhanhNga'!Q$2:Q$51,'BS-KH26-KhanhNga'!$A$2:$A$51,'Consol BS-DTRG'!$A110)</f>
        <v>0</v>
      </c>
      <c r="BV110" s="15">
        <f>SUMIFS('BS-KH26-KhanhNga'!R$2:R$51,'BS-KH26-KhanhNga'!$A$2:$A$51,'Consol BS-DTRG'!$A110)</f>
        <v>0</v>
      </c>
      <c r="BW110" s="15">
        <f>SUMIFS('BS-KH26-KhanhNga'!S$2:S$51,'BS-KH26-KhanhNga'!$A$2:$A$51,'Consol BS-DTRG'!$A110)</f>
        <v>0</v>
      </c>
      <c r="BX110" s="15">
        <f>SUMIFS('BS-KH26-KhanhNga'!T$2:T$51,'BS-KH26-KhanhNga'!$A$2:$A$51,'Consol BS-DTRG'!$A110)</f>
        <v>0</v>
      </c>
      <c r="BY110" s="15">
        <f>SUMIFS('BS-KH26-KhanhNga'!U$2:U$51,'BS-KH26-KhanhNga'!$A$2:$A$51,'Consol BS-DTRG'!$A110)</f>
        <v>0</v>
      </c>
      <c r="BZ110" s="15">
        <f>SUMIFS('BS-KH26-KhanhNga'!V$2:V$51,'BS-KH26-KhanhNga'!$A$2:$A$51,'Consol BS-DTRG'!$A110)</f>
        <v>0</v>
      </c>
      <c r="CA110" s="15">
        <f>SUMIFS('BS-KH26-KhanhNga'!W$2:W$51,'BS-KH26-KhanhNga'!$A$2:$A$51,'Consol BS-DTRG'!$A110)</f>
        <v>0</v>
      </c>
      <c r="CB110" s="15">
        <f>SUMIFS('BS-KH26-KhanhNga'!X$2:X$51,'BS-KH26-KhanhNga'!$A$2:$A$51,'Consol BS-DTRG'!$A110)</f>
        <v>0</v>
      </c>
      <c r="CD110" s="15">
        <f>SUMIFS('BS-KH26-DaiLoc'!M$2:M$51,'BS-KH26-DaiLoc'!$A$2:$A$51,'Consol BS-DTRG'!$A110)</f>
        <v>0</v>
      </c>
      <c r="CE110" s="15">
        <f>SUMIFS('BS-KH26-DaiLoc'!N$2:N$51,'BS-KH26-DaiLoc'!$A$2:$A$51,'Consol BS-DTRG'!$A110)</f>
        <v>0</v>
      </c>
      <c r="CF110" s="15">
        <f>SUMIFS('BS-KH26-DaiLoc'!O$2:O$51,'BS-KH26-DaiLoc'!$A$2:$A$51,'Consol BS-DTRG'!$A110)</f>
        <v>0</v>
      </c>
      <c r="CG110" s="15">
        <f>SUMIFS('BS-KH26-DaiLoc'!P$2:P$51,'BS-KH26-DaiLoc'!$A$2:$A$51,'Consol BS-DTRG'!$A110)</f>
        <v>0</v>
      </c>
      <c r="CH110" s="15">
        <f>SUMIFS('BS-KH26-DaiLoc'!Q$2:Q$51,'BS-KH26-DaiLoc'!$A$2:$A$51,'Consol BS-DTRG'!$A110)</f>
        <v>0</v>
      </c>
      <c r="CI110" s="15">
        <f>SUMIFS('BS-KH26-DaiLoc'!R$2:R$51,'BS-KH26-DaiLoc'!$A$2:$A$51,'Consol BS-DTRG'!$A110)</f>
        <v>0</v>
      </c>
      <c r="CJ110" s="15">
        <f>SUMIFS('BS-KH26-DaiLoc'!S$2:S$51,'BS-KH26-DaiLoc'!$A$2:$A$51,'Consol BS-DTRG'!$A110)</f>
        <v>0</v>
      </c>
      <c r="CK110" s="15">
        <f>SUMIFS('BS-KH26-DaiLoc'!T$2:T$51,'BS-KH26-DaiLoc'!$A$2:$A$51,'Consol BS-DTRG'!$A110)</f>
        <v>0</v>
      </c>
      <c r="CL110" s="15">
        <f>SUMIFS('BS-KH26-DaiLoc'!U$2:U$51,'BS-KH26-DaiLoc'!$A$2:$A$51,'Consol BS-DTRG'!$A110)</f>
        <v>0</v>
      </c>
      <c r="CM110" s="15">
        <f>SUMIFS('BS-KH26-DaiLoc'!V$2:V$51,'BS-KH26-DaiLoc'!$A$2:$A$51,'Consol BS-DTRG'!$A110)</f>
        <v>0</v>
      </c>
      <c r="CN110" s="15">
        <f>SUMIFS('BS-KH26-DaiLoc'!W$2:W$51,'BS-KH26-DaiLoc'!$A$2:$A$51,'Consol BS-DTRG'!$A110)</f>
        <v>0</v>
      </c>
      <c r="CO110" s="15">
        <f>SUMIFS('BS-KH26-DaiLoc'!X$2:X$51,'BS-KH26-DaiLoc'!$A$2:$A$51,'Consol BS-DTRG'!$A110)</f>
        <v>0</v>
      </c>
      <c r="CQ110" s="15">
        <v>0</v>
      </c>
      <c r="CR110" s="15">
        <f t="shared" si="703"/>
        <v>0</v>
      </c>
      <c r="CS110" s="15">
        <f t="shared" si="703"/>
        <v>0</v>
      </c>
      <c r="CT110" s="15">
        <f t="shared" si="703"/>
        <v>0</v>
      </c>
      <c r="CU110" s="15">
        <f t="shared" si="703"/>
        <v>0</v>
      </c>
      <c r="CV110" s="15">
        <f t="shared" si="703"/>
        <v>0</v>
      </c>
      <c r="CW110" s="15">
        <f t="shared" si="703"/>
        <v>0</v>
      </c>
      <c r="CX110" s="15">
        <f t="shared" si="703"/>
        <v>0</v>
      </c>
      <c r="CY110" s="15">
        <f t="shared" si="703"/>
        <v>0</v>
      </c>
      <c r="CZ110" s="15">
        <f t="shared" si="703"/>
        <v>0</v>
      </c>
      <c r="DA110" s="15">
        <f t="shared" si="703"/>
        <v>0</v>
      </c>
      <c r="DB110" s="15">
        <f t="shared" si="703"/>
        <v>0</v>
      </c>
    </row>
    <row r="111" spans="1:106" hidden="1" outlineLevel="1">
      <c r="A111" s="633">
        <v>108</v>
      </c>
      <c r="B111" s="625" t="s">
        <v>360</v>
      </c>
      <c r="C111" t="s">
        <v>518</v>
      </c>
      <c r="D111" s="15">
        <f t="shared" si="679"/>
        <v>0</v>
      </c>
      <c r="E111" s="15">
        <f t="shared" si="680"/>
        <v>0</v>
      </c>
      <c r="F111" s="15">
        <f t="shared" si="681"/>
        <v>0</v>
      </c>
      <c r="G111" s="15">
        <f t="shared" si="682"/>
        <v>0</v>
      </c>
      <c r="H111" s="15">
        <f t="shared" si="683"/>
        <v>0</v>
      </c>
      <c r="I111" s="15">
        <f t="shared" si="684"/>
        <v>0</v>
      </c>
      <c r="J111" s="15">
        <f t="shared" si="685"/>
        <v>0</v>
      </c>
      <c r="K111" s="15">
        <f t="shared" si="686"/>
        <v>0</v>
      </c>
      <c r="L111" s="15">
        <f t="shared" si="687"/>
        <v>0</v>
      </c>
      <c r="M111" s="15">
        <f t="shared" si="688"/>
        <v>0</v>
      </c>
      <c r="N111" s="15">
        <f t="shared" si="689"/>
        <v>0</v>
      </c>
      <c r="O111" s="15">
        <f t="shared" si="690"/>
        <v>0</v>
      </c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D111" s="646">
        <f t="shared" si="691"/>
        <v>0</v>
      </c>
      <c r="AE111" s="15">
        <f t="shared" si="692"/>
        <v>0</v>
      </c>
      <c r="AF111" s="15">
        <f t="shared" si="693"/>
        <v>0</v>
      </c>
      <c r="AG111" s="15">
        <f t="shared" si="694"/>
        <v>0</v>
      </c>
      <c r="AH111" s="15">
        <f t="shared" si="695"/>
        <v>0</v>
      </c>
      <c r="AI111" s="15">
        <f t="shared" si="696"/>
        <v>0</v>
      </c>
      <c r="AJ111" s="15">
        <f t="shared" si="697"/>
        <v>0</v>
      </c>
      <c r="AK111" s="15">
        <f t="shared" si="698"/>
        <v>0</v>
      </c>
      <c r="AL111" s="15">
        <f t="shared" si="699"/>
        <v>0</v>
      </c>
      <c r="AM111" s="15">
        <f t="shared" si="700"/>
        <v>0</v>
      </c>
      <c r="AN111" s="15">
        <f t="shared" si="701"/>
        <v>0</v>
      </c>
      <c r="AO111" s="647">
        <f t="shared" si="702"/>
        <v>0</v>
      </c>
      <c r="AQ111" s="15">
        <f>SUMIFS('BS-KH26-DTR'!D$2:D$116,'BS-KH26-DTR'!$B$2:$B$116,$A111)</f>
        <v>0</v>
      </c>
      <c r="AR111" s="15">
        <f>SUMIFS('BS-KH26-DTR'!E$2:E$116,'BS-KH26-DTR'!$B$2:$B$116,$A111)</f>
        <v>0</v>
      </c>
      <c r="AS111" s="15">
        <f>SUMIFS('BS-KH26-DTR'!F$2:F$116,'BS-KH26-DTR'!$B$2:$B$116,$A111)</f>
        <v>0</v>
      </c>
      <c r="AT111" s="15">
        <f>SUMIFS('BS-KH26-DTR'!G$2:G$116,'BS-KH26-DTR'!$B$2:$B$116,$A111)</f>
        <v>0</v>
      </c>
      <c r="AU111" s="15">
        <f>SUMIFS('BS-KH26-DTR'!H$2:H$116,'BS-KH26-DTR'!$B$2:$B$116,$A111)</f>
        <v>0</v>
      </c>
      <c r="AV111" s="15">
        <f>SUMIFS('BS-KH26-DTR'!I$2:I$116,'BS-KH26-DTR'!$B$2:$B$116,$A111)</f>
        <v>0</v>
      </c>
      <c r="AW111" s="15">
        <f>SUMIFS('BS-KH26-DTR'!J$2:J$116,'BS-KH26-DTR'!$B$2:$B$116,$A111)</f>
        <v>0</v>
      </c>
      <c r="AX111" s="15">
        <f>SUMIFS('BS-KH26-DTR'!K$2:K$116,'BS-KH26-DTR'!$B$2:$B$116,$A111)</f>
        <v>0</v>
      </c>
      <c r="AY111" s="15">
        <f>SUMIFS('BS-KH26-DTR'!L$2:L$116,'BS-KH26-DTR'!$B$2:$B$116,$A111)</f>
        <v>0</v>
      </c>
      <c r="AZ111" s="15">
        <f>SUMIFS('BS-KH26-DTR'!M$2:M$116,'BS-KH26-DTR'!$B$2:$B$116,$A111)</f>
        <v>0</v>
      </c>
      <c r="BA111" s="15">
        <f>SUMIFS('BS-KH26-DTR'!N$2:N$116,'BS-KH26-DTR'!$B$2:$B$116,$A111)</f>
        <v>0</v>
      </c>
      <c r="BB111" s="15">
        <f>SUMIFS('BS-KH26-DTR'!O$2:O$116,'BS-KH26-DTR'!$B$2:$B$116,$A111)</f>
        <v>0</v>
      </c>
      <c r="BD111" s="15">
        <f>SUMIFS('BS-KH26-DongLam'!M$2:M$51,'BS-KH26-DongLam'!$A$2:$A$51,'Consol BS-DTRG'!$A111)</f>
        <v>0</v>
      </c>
      <c r="BE111" s="15">
        <f>SUMIFS('BS-KH26-DongLam'!N$2:N$51,'BS-KH26-DongLam'!$A$2:$A$51,'Consol BS-DTRG'!$A111)</f>
        <v>0</v>
      </c>
      <c r="BF111" s="15">
        <f>SUMIFS('BS-KH26-DongLam'!O$2:O$51,'BS-KH26-DongLam'!$A$2:$A$51,'Consol BS-DTRG'!$A111)</f>
        <v>0</v>
      </c>
      <c r="BG111" s="15">
        <f>SUMIFS('BS-KH26-DongLam'!P$2:P$51,'BS-KH26-DongLam'!$A$2:$A$51,'Consol BS-DTRG'!$A111)</f>
        <v>0</v>
      </c>
      <c r="BH111" s="15">
        <f>SUMIFS('BS-KH26-DongLam'!Q$2:Q$51,'BS-KH26-DongLam'!$A$2:$A$51,'Consol BS-DTRG'!$A111)</f>
        <v>0</v>
      </c>
      <c r="BI111" s="15">
        <f>SUMIFS('BS-KH26-DongLam'!R$2:R$51,'BS-KH26-DongLam'!$A$2:$A$51,'Consol BS-DTRG'!$A111)</f>
        <v>0</v>
      </c>
      <c r="BJ111" s="15">
        <f>SUMIFS('BS-KH26-DongLam'!S$2:S$51,'BS-KH26-DongLam'!$A$2:$A$51,'Consol BS-DTRG'!$A111)</f>
        <v>0</v>
      </c>
      <c r="BK111" s="15">
        <f>SUMIFS('BS-KH26-DongLam'!T$2:T$51,'BS-KH26-DongLam'!$A$2:$A$51,'Consol BS-DTRG'!$A111)</f>
        <v>0</v>
      </c>
      <c r="BL111" s="15">
        <f>SUMIFS('BS-KH26-DongLam'!U$2:U$51,'BS-KH26-DongLam'!$A$2:$A$51,'Consol BS-DTRG'!$A111)</f>
        <v>0</v>
      </c>
      <c r="BM111" s="15">
        <f>SUMIFS('BS-KH26-DongLam'!V$2:V$51,'BS-KH26-DongLam'!$A$2:$A$51,'Consol BS-DTRG'!$A111)</f>
        <v>0</v>
      </c>
      <c r="BN111" s="15">
        <f>SUMIFS('BS-KH26-DongLam'!W$2:W$51,'BS-KH26-DongLam'!$A$2:$A$51,'Consol BS-DTRG'!$A111)</f>
        <v>0</v>
      </c>
      <c r="BO111" s="15">
        <f>SUMIFS('BS-KH26-DongLam'!X$2:X$51,'BS-KH26-DongLam'!$A$2:$A$51,'Consol BS-DTRG'!$A111)</f>
        <v>0</v>
      </c>
      <c r="BQ111" s="15">
        <f>SUMIFS('BS-KH26-KhanhNga'!M$2:M$51,'BS-KH26-KhanhNga'!$A$2:$A$51,'Consol BS-DTRG'!$A111)</f>
        <v>0</v>
      </c>
      <c r="BR111" s="15">
        <f>SUMIFS('BS-KH26-KhanhNga'!N$2:N$51,'BS-KH26-KhanhNga'!$A$2:$A$51,'Consol BS-DTRG'!$A111)</f>
        <v>0</v>
      </c>
      <c r="BS111" s="15">
        <f>SUMIFS('BS-KH26-KhanhNga'!O$2:O$51,'BS-KH26-KhanhNga'!$A$2:$A$51,'Consol BS-DTRG'!$A111)</f>
        <v>0</v>
      </c>
      <c r="BT111" s="15">
        <f>SUMIFS('BS-KH26-KhanhNga'!P$2:P$51,'BS-KH26-KhanhNga'!$A$2:$A$51,'Consol BS-DTRG'!$A111)</f>
        <v>0</v>
      </c>
      <c r="BU111" s="15">
        <f>SUMIFS('BS-KH26-KhanhNga'!Q$2:Q$51,'BS-KH26-KhanhNga'!$A$2:$A$51,'Consol BS-DTRG'!$A111)</f>
        <v>0</v>
      </c>
      <c r="BV111" s="15">
        <f>SUMIFS('BS-KH26-KhanhNga'!R$2:R$51,'BS-KH26-KhanhNga'!$A$2:$A$51,'Consol BS-DTRG'!$A111)</f>
        <v>0</v>
      </c>
      <c r="BW111" s="15">
        <f>SUMIFS('BS-KH26-KhanhNga'!S$2:S$51,'BS-KH26-KhanhNga'!$A$2:$A$51,'Consol BS-DTRG'!$A111)</f>
        <v>0</v>
      </c>
      <c r="BX111" s="15">
        <f>SUMIFS('BS-KH26-KhanhNga'!T$2:T$51,'BS-KH26-KhanhNga'!$A$2:$A$51,'Consol BS-DTRG'!$A111)</f>
        <v>0</v>
      </c>
      <c r="BY111" s="15">
        <f>SUMIFS('BS-KH26-KhanhNga'!U$2:U$51,'BS-KH26-KhanhNga'!$A$2:$A$51,'Consol BS-DTRG'!$A111)</f>
        <v>0</v>
      </c>
      <c r="BZ111" s="15">
        <f>SUMIFS('BS-KH26-KhanhNga'!V$2:V$51,'BS-KH26-KhanhNga'!$A$2:$A$51,'Consol BS-DTRG'!$A111)</f>
        <v>0</v>
      </c>
      <c r="CA111" s="15">
        <f>SUMIFS('BS-KH26-KhanhNga'!W$2:W$51,'BS-KH26-KhanhNga'!$A$2:$A$51,'Consol BS-DTRG'!$A111)</f>
        <v>0</v>
      </c>
      <c r="CB111" s="15">
        <f>SUMIFS('BS-KH26-KhanhNga'!X$2:X$51,'BS-KH26-KhanhNga'!$A$2:$A$51,'Consol BS-DTRG'!$A111)</f>
        <v>0</v>
      </c>
      <c r="CD111" s="15">
        <f>SUMIFS('BS-KH26-DaiLoc'!M$2:M$51,'BS-KH26-DaiLoc'!$A$2:$A$51,'Consol BS-DTRG'!$A111)</f>
        <v>0</v>
      </c>
      <c r="CE111" s="15">
        <f>SUMIFS('BS-KH26-DaiLoc'!N$2:N$51,'BS-KH26-DaiLoc'!$A$2:$A$51,'Consol BS-DTRG'!$A111)</f>
        <v>0</v>
      </c>
      <c r="CF111" s="15">
        <f>SUMIFS('BS-KH26-DaiLoc'!O$2:O$51,'BS-KH26-DaiLoc'!$A$2:$A$51,'Consol BS-DTRG'!$A111)</f>
        <v>0</v>
      </c>
      <c r="CG111" s="15">
        <f>SUMIFS('BS-KH26-DaiLoc'!P$2:P$51,'BS-KH26-DaiLoc'!$A$2:$A$51,'Consol BS-DTRG'!$A111)</f>
        <v>0</v>
      </c>
      <c r="CH111" s="15">
        <f>SUMIFS('BS-KH26-DaiLoc'!Q$2:Q$51,'BS-KH26-DaiLoc'!$A$2:$A$51,'Consol BS-DTRG'!$A111)</f>
        <v>0</v>
      </c>
      <c r="CI111" s="15">
        <f>SUMIFS('BS-KH26-DaiLoc'!R$2:R$51,'BS-KH26-DaiLoc'!$A$2:$A$51,'Consol BS-DTRG'!$A111)</f>
        <v>0</v>
      </c>
      <c r="CJ111" s="15">
        <f>SUMIFS('BS-KH26-DaiLoc'!S$2:S$51,'BS-KH26-DaiLoc'!$A$2:$A$51,'Consol BS-DTRG'!$A111)</f>
        <v>0</v>
      </c>
      <c r="CK111" s="15">
        <f>SUMIFS('BS-KH26-DaiLoc'!T$2:T$51,'BS-KH26-DaiLoc'!$A$2:$A$51,'Consol BS-DTRG'!$A111)</f>
        <v>0</v>
      </c>
      <c r="CL111" s="15">
        <f>SUMIFS('BS-KH26-DaiLoc'!U$2:U$51,'BS-KH26-DaiLoc'!$A$2:$A$51,'Consol BS-DTRG'!$A111)</f>
        <v>0</v>
      </c>
      <c r="CM111" s="15">
        <f>SUMIFS('BS-KH26-DaiLoc'!V$2:V$51,'BS-KH26-DaiLoc'!$A$2:$A$51,'Consol BS-DTRG'!$A111)</f>
        <v>0</v>
      </c>
      <c r="CN111" s="15">
        <f>SUMIFS('BS-KH26-DaiLoc'!W$2:W$51,'BS-KH26-DaiLoc'!$A$2:$A$51,'Consol BS-DTRG'!$A111)</f>
        <v>0</v>
      </c>
      <c r="CO111" s="15">
        <f>SUMIFS('BS-KH26-DaiLoc'!X$2:X$51,'BS-KH26-DaiLoc'!$A$2:$A$51,'Consol BS-DTRG'!$A111)</f>
        <v>0</v>
      </c>
      <c r="CQ111" s="15">
        <v>0</v>
      </c>
      <c r="CR111" s="15">
        <f t="shared" si="703"/>
        <v>0</v>
      </c>
      <c r="CS111" s="15">
        <f t="shared" si="703"/>
        <v>0</v>
      </c>
      <c r="CT111" s="15">
        <f t="shared" si="703"/>
        <v>0</v>
      </c>
      <c r="CU111" s="15">
        <f t="shared" si="703"/>
        <v>0</v>
      </c>
      <c r="CV111" s="15">
        <f t="shared" si="703"/>
        <v>0</v>
      </c>
      <c r="CW111" s="15">
        <f t="shared" si="703"/>
        <v>0</v>
      </c>
      <c r="CX111" s="15">
        <f t="shared" si="703"/>
        <v>0</v>
      </c>
      <c r="CY111" s="15">
        <f t="shared" si="703"/>
        <v>0</v>
      </c>
      <c r="CZ111" s="15">
        <f t="shared" si="703"/>
        <v>0</v>
      </c>
      <c r="DA111" s="15">
        <f t="shared" si="703"/>
        <v>0</v>
      </c>
      <c r="DB111" s="15">
        <f t="shared" si="703"/>
        <v>0</v>
      </c>
    </row>
    <row r="112" spans="1:106" hidden="1" outlineLevel="1">
      <c r="A112" s="633">
        <v>109</v>
      </c>
      <c r="B112" s="625" t="s">
        <v>361</v>
      </c>
      <c r="C112" t="s">
        <v>518</v>
      </c>
      <c r="D112" s="15">
        <f t="shared" si="679"/>
        <v>0</v>
      </c>
      <c r="E112" s="15">
        <f t="shared" si="680"/>
        <v>0</v>
      </c>
      <c r="F112" s="15">
        <f t="shared" si="681"/>
        <v>0</v>
      </c>
      <c r="G112" s="15">
        <f t="shared" si="682"/>
        <v>0</v>
      </c>
      <c r="H112" s="15">
        <f t="shared" si="683"/>
        <v>0</v>
      </c>
      <c r="I112" s="15">
        <f t="shared" si="684"/>
        <v>0</v>
      </c>
      <c r="J112" s="15">
        <f t="shared" si="685"/>
        <v>0</v>
      </c>
      <c r="K112" s="15">
        <f t="shared" si="686"/>
        <v>0</v>
      </c>
      <c r="L112" s="15">
        <f t="shared" si="687"/>
        <v>0</v>
      </c>
      <c r="M112" s="15">
        <f t="shared" si="688"/>
        <v>0</v>
      </c>
      <c r="N112" s="15">
        <f t="shared" si="689"/>
        <v>0</v>
      </c>
      <c r="O112" s="15">
        <f t="shared" si="690"/>
        <v>0</v>
      </c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D112" s="646">
        <f t="shared" si="691"/>
        <v>0</v>
      </c>
      <c r="AE112" s="15">
        <f t="shared" si="692"/>
        <v>0</v>
      </c>
      <c r="AF112" s="15">
        <f t="shared" si="693"/>
        <v>0</v>
      </c>
      <c r="AG112" s="15">
        <f t="shared" si="694"/>
        <v>0</v>
      </c>
      <c r="AH112" s="15">
        <f t="shared" si="695"/>
        <v>0</v>
      </c>
      <c r="AI112" s="15">
        <f t="shared" si="696"/>
        <v>0</v>
      </c>
      <c r="AJ112" s="15">
        <f t="shared" si="697"/>
        <v>0</v>
      </c>
      <c r="AK112" s="15">
        <f t="shared" si="698"/>
        <v>0</v>
      </c>
      <c r="AL112" s="15">
        <f t="shared" si="699"/>
        <v>0</v>
      </c>
      <c r="AM112" s="15">
        <f t="shared" si="700"/>
        <v>0</v>
      </c>
      <c r="AN112" s="15">
        <f t="shared" si="701"/>
        <v>0</v>
      </c>
      <c r="AO112" s="647">
        <f t="shared" si="702"/>
        <v>0</v>
      </c>
      <c r="AQ112" s="15">
        <f>SUMIFS('BS-KH26-DTR'!D$2:D$116,'BS-KH26-DTR'!$B$2:$B$116,$A112)</f>
        <v>0</v>
      </c>
      <c r="AR112" s="15">
        <f>SUMIFS('BS-KH26-DTR'!E$2:E$116,'BS-KH26-DTR'!$B$2:$B$116,$A112)</f>
        <v>0</v>
      </c>
      <c r="AS112" s="15">
        <f>SUMIFS('BS-KH26-DTR'!F$2:F$116,'BS-KH26-DTR'!$B$2:$B$116,$A112)</f>
        <v>0</v>
      </c>
      <c r="AT112" s="15">
        <f>SUMIFS('BS-KH26-DTR'!G$2:G$116,'BS-KH26-DTR'!$B$2:$B$116,$A112)</f>
        <v>0</v>
      </c>
      <c r="AU112" s="15">
        <f>SUMIFS('BS-KH26-DTR'!H$2:H$116,'BS-KH26-DTR'!$B$2:$B$116,$A112)</f>
        <v>0</v>
      </c>
      <c r="AV112" s="15">
        <f>SUMIFS('BS-KH26-DTR'!I$2:I$116,'BS-KH26-DTR'!$B$2:$B$116,$A112)</f>
        <v>0</v>
      </c>
      <c r="AW112" s="15">
        <f>SUMIFS('BS-KH26-DTR'!J$2:J$116,'BS-KH26-DTR'!$B$2:$B$116,$A112)</f>
        <v>0</v>
      </c>
      <c r="AX112" s="15">
        <f>SUMIFS('BS-KH26-DTR'!K$2:K$116,'BS-KH26-DTR'!$B$2:$B$116,$A112)</f>
        <v>0</v>
      </c>
      <c r="AY112" s="15">
        <f>SUMIFS('BS-KH26-DTR'!L$2:L$116,'BS-KH26-DTR'!$B$2:$B$116,$A112)</f>
        <v>0</v>
      </c>
      <c r="AZ112" s="15">
        <f>SUMIFS('BS-KH26-DTR'!M$2:M$116,'BS-KH26-DTR'!$B$2:$B$116,$A112)</f>
        <v>0</v>
      </c>
      <c r="BA112" s="15">
        <f>SUMIFS('BS-KH26-DTR'!N$2:N$116,'BS-KH26-DTR'!$B$2:$B$116,$A112)</f>
        <v>0</v>
      </c>
      <c r="BB112" s="15">
        <f>SUMIFS('BS-KH26-DTR'!O$2:O$116,'BS-KH26-DTR'!$B$2:$B$116,$A112)</f>
        <v>0</v>
      </c>
      <c r="BD112" s="15">
        <f>SUMIFS('BS-KH26-DongLam'!M$2:M$51,'BS-KH26-DongLam'!$A$2:$A$51,'Consol BS-DTRG'!$A112)</f>
        <v>0</v>
      </c>
      <c r="BE112" s="15">
        <f>SUMIFS('BS-KH26-DongLam'!N$2:N$51,'BS-KH26-DongLam'!$A$2:$A$51,'Consol BS-DTRG'!$A112)</f>
        <v>0</v>
      </c>
      <c r="BF112" s="15">
        <f>SUMIFS('BS-KH26-DongLam'!O$2:O$51,'BS-KH26-DongLam'!$A$2:$A$51,'Consol BS-DTRG'!$A112)</f>
        <v>0</v>
      </c>
      <c r="BG112" s="15">
        <f>SUMIFS('BS-KH26-DongLam'!P$2:P$51,'BS-KH26-DongLam'!$A$2:$A$51,'Consol BS-DTRG'!$A112)</f>
        <v>0</v>
      </c>
      <c r="BH112" s="15">
        <f>SUMIFS('BS-KH26-DongLam'!Q$2:Q$51,'BS-KH26-DongLam'!$A$2:$A$51,'Consol BS-DTRG'!$A112)</f>
        <v>0</v>
      </c>
      <c r="BI112" s="15">
        <f>SUMIFS('BS-KH26-DongLam'!R$2:R$51,'BS-KH26-DongLam'!$A$2:$A$51,'Consol BS-DTRG'!$A112)</f>
        <v>0</v>
      </c>
      <c r="BJ112" s="15">
        <f>SUMIFS('BS-KH26-DongLam'!S$2:S$51,'BS-KH26-DongLam'!$A$2:$A$51,'Consol BS-DTRG'!$A112)</f>
        <v>0</v>
      </c>
      <c r="BK112" s="15">
        <f>SUMIFS('BS-KH26-DongLam'!T$2:T$51,'BS-KH26-DongLam'!$A$2:$A$51,'Consol BS-DTRG'!$A112)</f>
        <v>0</v>
      </c>
      <c r="BL112" s="15">
        <f>SUMIFS('BS-KH26-DongLam'!U$2:U$51,'BS-KH26-DongLam'!$A$2:$A$51,'Consol BS-DTRG'!$A112)</f>
        <v>0</v>
      </c>
      <c r="BM112" s="15">
        <f>SUMIFS('BS-KH26-DongLam'!V$2:V$51,'BS-KH26-DongLam'!$A$2:$A$51,'Consol BS-DTRG'!$A112)</f>
        <v>0</v>
      </c>
      <c r="BN112" s="15">
        <f>SUMIFS('BS-KH26-DongLam'!W$2:W$51,'BS-KH26-DongLam'!$A$2:$A$51,'Consol BS-DTRG'!$A112)</f>
        <v>0</v>
      </c>
      <c r="BO112" s="15">
        <f>SUMIFS('BS-KH26-DongLam'!X$2:X$51,'BS-KH26-DongLam'!$A$2:$A$51,'Consol BS-DTRG'!$A112)</f>
        <v>0</v>
      </c>
      <c r="BQ112" s="15">
        <f>SUMIFS('BS-KH26-KhanhNga'!M$2:M$51,'BS-KH26-KhanhNga'!$A$2:$A$51,'Consol BS-DTRG'!$A112)</f>
        <v>0</v>
      </c>
      <c r="BR112" s="15">
        <f>SUMIFS('BS-KH26-KhanhNga'!N$2:N$51,'BS-KH26-KhanhNga'!$A$2:$A$51,'Consol BS-DTRG'!$A112)</f>
        <v>0</v>
      </c>
      <c r="BS112" s="15">
        <f>SUMIFS('BS-KH26-KhanhNga'!O$2:O$51,'BS-KH26-KhanhNga'!$A$2:$A$51,'Consol BS-DTRG'!$A112)</f>
        <v>0</v>
      </c>
      <c r="BT112" s="15">
        <f>SUMIFS('BS-KH26-KhanhNga'!P$2:P$51,'BS-KH26-KhanhNga'!$A$2:$A$51,'Consol BS-DTRG'!$A112)</f>
        <v>0</v>
      </c>
      <c r="BU112" s="15">
        <f>SUMIFS('BS-KH26-KhanhNga'!Q$2:Q$51,'BS-KH26-KhanhNga'!$A$2:$A$51,'Consol BS-DTRG'!$A112)</f>
        <v>0</v>
      </c>
      <c r="BV112" s="15">
        <f>SUMIFS('BS-KH26-KhanhNga'!R$2:R$51,'BS-KH26-KhanhNga'!$A$2:$A$51,'Consol BS-DTRG'!$A112)</f>
        <v>0</v>
      </c>
      <c r="BW112" s="15">
        <f>SUMIFS('BS-KH26-KhanhNga'!S$2:S$51,'BS-KH26-KhanhNga'!$A$2:$A$51,'Consol BS-DTRG'!$A112)</f>
        <v>0</v>
      </c>
      <c r="BX112" s="15">
        <f>SUMIFS('BS-KH26-KhanhNga'!T$2:T$51,'BS-KH26-KhanhNga'!$A$2:$A$51,'Consol BS-DTRG'!$A112)</f>
        <v>0</v>
      </c>
      <c r="BY112" s="15">
        <f>SUMIFS('BS-KH26-KhanhNga'!U$2:U$51,'BS-KH26-KhanhNga'!$A$2:$A$51,'Consol BS-DTRG'!$A112)</f>
        <v>0</v>
      </c>
      <c r="BZ112" s="15">
        <f>SUMIFS('BS-KH26-KhanhNga'!V$2:V$51,'BS-KH26-KhanhNga'!$A$2:$A$51,'Consol BS-DTRG'!$A112)</f>
        <v>0</v>
      </c>
      <c r="CA112" s="15">
        <f>SUMIFS('BS-KH26-KhanhNga'!W$2:W$51,'BS-KH26-KhanhNga'!$A$2:$A$51,'Consol BS-DTRG'!$A112)</f>
        <v>0</v>
      </c>
      <c r="CB112" s="15">
        <f>SUMIFS('BS-KH26-KhanhNga'!X$2:X$51,'BS-KH26-KhanhNga'!$A$2:$A$51,'Consol BS-DTRG'!$A112)</f>
        <v>0</v>
      </c>
      <c r="CD112" s="15">
        <f>SUMIFS('BS-KH26-DaiLoc'!M$2:M$51,'BS-KH26-DaiLoc'!$A$2:$A$51,'Consol BS-DTRG'!$A112)</f>
        <v>0</v>
      </c>
      <c r="CE112" s="15">
        <f>SUMIFS('BS-KH26-DaiLoc'!N$2:N$51,'BS-KH26-DaiLoc'!$A$2:$A$51,'Consol BS-DTRG'!$A112)</f>
        <v>0</v>
      </c>
      <c r="CF112" s="15">
        <f>SUMIFS('BS-KH26-DaiLoc'!O$2:O$51,'BS-KH26-DaiLoc'!$A$2:$A$51,'Consol BS-DTRG'!$A112)</f>
        <v>0</v>
      </c>
      <c r="CG112" s="15">
        <f>SUMIFS('BS-KH26-DaiLoc'!P$2:P$51,'BS-KH26-DaiLoc'!$A$2:$A$51,'Consol BS-DTRG'!$A112)</f>
        <v>0</v>
      </c>
      <c r="CH112" s="15">
        <f>SUMIFS('BS-KH26-DaiLoc'!Q$2:Q$51,'BS-KH26-DaiLoc'!$A$2:$A$51,'Consol BS-DTRG'!$A112)</f>
        <v>0</v>
      </c>
      <c r="CI112" s="15">
        <f>SUMIFS('BS-KH26-DaiLoc'!R$2:R$51,'BS-KH26-DaiLoc'!$A$2:$A$51,'Consol BS-DTRG'!$A112)</f>
        <v>0</v>
      </c>
      <c r="CJ112" s="15">
        <f>SUMIFS('BS-KH26-DaiLoc'!S$2:S$51,'BS-KH26-DaiLoc'!$A$2:$A$51,'Consol BS-DTRG'!$A112)</f>
        <v>0</v>
      </c>
      <c r="CK112" s="15">
        <f>SUMIFS('BS-KH26-DaiLoc'!T$2:T$51,'BS-KH26-DaiLoc'!$A$2:$A$51,'Consol BS-DTRG'!$A112)</f>
        <v>0</v>
      </c>
      <c r="CL112" s="15">
        <f>SUMIFS('BS-KH26-DaiLoc'!U$2:U$51,'BS-KH26-DaiLoc'!$A$2:$A$51,'Consol BS-DTRG'!$A112)</f>
        <v>0</v>
      </c>
      <c r="CM112" s="15">
        <f>SUMIFS('BS-KH26-DaiLoc'!V$2:V$51,'BS-KH26-DaiLoc'!$A$2:$A$51,'Consol BS-DTRG'!$A112)</f>
        <v>0</v>
      </c>
      <c r="CN112" s="15">
        <f>SUMIFS('BS-KH26-DaiLoc'!W$2:W$51,'BS-KH26-DaiLoc'!$A$2:$A$51,'Consol BS-DTRG'!$A112)</f>
        <v>0</v>
      </c>
      <c r="CO112" s="15">
        <f>SUMIFS('BS-KH26-DaiLoc'!X$2:X$51,'BS-KH26-DaiLoc'!$A$2:$A$51,'Consol BS-DTRG'!$A112)</f>
        <v>0</v>
      </c>
      <c r="CQ112" s="15">
        <v>0</v>
      </c>
      <c r="CR112" s="15">
        <f t="shared" si="703"/>
        <v>0</v>
      </c>
      <c r="CS112" s="15">
        <f t="shared" si="703"/>
        <v>0</v>
      </c>
      <c r="CT112" s="15">
        <f t="shared" si="703"/>
        <v>0</v>
      </c>
      <c r="CU112" s="15">
        <f t="shared" si="703"/>
        <v>0</v>
      </c>
      <c r="CV112" s="15">
        <f t="shared" si="703"/>
        <v>0</v>
      </c>
      <c r="CW112" s="15">
        <f t="shared" si="703"/>
        <v>0</v>
      </c>
      <c r="CX112" s="15">
        <f t="shared" si="703"/>
        <v>0</v>
      </c>
      <c r="CY112" s="15">
        <f t="shared" si="703"/>
        <v>0</v>
      </c>
      <c r="CZ112" s="15">
        <f t="shared" si="703"/>
        <v>0</v>
      </c>
      <c r="DA112" s="15">
        <f t="shared" si="703"/>
        <v>0</v>
      </c>
      <c r="DB112" s="15">
        <f t="shared" si="703"/>
        <v>0</v>
      </c>
    </row>
    <row r="113" spans="1:106" hidden="1" outlineLevel="1">
      <c r="A113" s="633">
        <v>110</v>
      </c>
      <c r="B113" s="625" t="s">
        <v>362</v>
      </c>
      <c r="C113" t="s">
        <v>518</v>
      </c>
      <c r="D113" s="15">
        <f t="shared" si="679"/>
        <v>0</v>
      </c>
      <c r="E113" s="15">
        <f t="shared" si="680"/>
        <v>0</v>
      </c>
      <c r="F113" s="15">
        <f t="shared" si="681"/>
        <v>0</v>
      </c>
      <c r="G113" s="15">
        <f t="shared" si="682"/>
        <v>0</v>
      </c>
      <c r="H113" s="15">
        <f t="shared" si="683"/>
        <v>0</v>
      </c>
      <c r="I113" s="15">
        <f t="shared" si="684"/>
        <v>0</v>
      </c>
      <c r="J113" s="15">
        <f t="shared" si="685"/>
        <v>0</v>
      </c>
      <c r="K113" s="15">
        <f t="shared" si="686"/>
        <v>0</v>
      </c>
      <c r="L113" s="15">
        <f t="shared" si="687"/>
        <v>0</v>
      </c>
      <c r="M113" s="15">
        <f t="shared" si="688"/>
        <v>0</v>
      </c>
      <c r="N113" s="15">
        <f t="shared" si="689"/>
        <v>0</v>
      </c>
      <c r="O113" s="15">
        <f t="shared" si="690"/>
        <v>0</v>
      </c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D113" s="646">
        <f t="shared" si="691"/>
        <v>0</v>
      </c>
      <c r="AE113" s="15">
        <f t="shared" si="692"/>
        <v>0</v>
      </c>
      <c r="AF113" s="15">
        <f t="shared" si="693"/>
        <v>0</v>
      </c>
      <c r="AG113" s="15">
        <f t="shared" si="694"/>
        <v>0</v>
      </c>
      <c r="AH113" s="15">
        <f t="shared" si="695"/>
        <v>0</v>
      </c>
      <c r="AI113" s="15">
        <f t="shared" si="696"/>
        <v>0</v>
      </c>
      <c r="AJ113" s="15">
        <f t="shared" si="697"/>
        <v>0</v>
      </c>
      <c r="AK113" s="15">
        <f t="shared" si="698"/>
        <v>0</v>
      </c>
      <c r="AL113" s="15">
        <f t="shared" si="699"/>
        <v>0</v>
      </c>
      <c r="AM113" s="15">
        <f t="shared" si="700"/>
        <v>0</v>
      </c>
      <c r="AN113" s="15">
        <f t="shared" si="701"/>
        <v>0</v>
      </c>
      <c r="AO113" s="647">
        <f t="shared" si="702"/>
        <v>0</v>
      </c>
      <c r="AQ113" s="15">
        <f>SUMIFS('BS-KH26-DTR'!D$2:D$116,'BS-KH26-DTR'!$B$2:$B$116,$A113)</f>
        <v>0</v>
      </c>
      <c r="AR113" s="15">
        <f>SUMIFS('BS-KH26-DTR'!E$2:E$116,'BS-KH26-DTR'!$B$2:$B$116,$A113)</f>
        <v>0</v>
      </c>
      <c r="AS113" s="15">
        <f>SUMIFS('BS-KH26-DTR'!F$2:F$116,'BS-KH26-DTR'!$B$2:$B$116,$A113)</f>
        <v>0</v>
      </c>
      <c r="AT113" s="15">
        <f>SUMIFS('BS-KH26-DTR'!G$2:G$116,'BS-KH26-DTR'!$B$2:$B$116,$A113)</f>
        <v>0</v>
      </c>
      <c r="AU113" s="15">
        <f>SUMIFS('BS-KH26-DTR'!H$2:H$116,'BS-KH26-DTR'!$B$2:$B$116,$A113)</f>
        <v>0</v>
      </c>
      <c r="AV113" s="15">
        <f>SUMIFS('BS-KH26-DTR'!I$2:I$116,'BS-KH26-DTR'!$B$2:$B$116,$A113)</f>
        <v>0</v>
      </c>
      <c r="AW113" s="15">
        <f>SUMIFS('BS-KH26-DTR'!J$2:J$116,'BS-KH26-DTR'!$B$2:$B$116,$A113)</f>
        <v>0</v>
      </c>
      <c r="AX113" s="15">
        <f>SUMIFS('BS-KH26-DTR'!K$2:K$116,'BS-KH26-DTR'!$B$2:$B$116,$A113)</f>
        <v>0</v>
      </c>
      <c r="AY113" s="15">
        <f>SUMIFS('BS-KH26-DTR'!L$2:L$116,'BS-KH26-DTR'!$B$2:$B$116,$A113)</f>
        <v>0</v>
      </c>
      <c r="AZ113" s="15">
        <f>SUMIFS('BS-KH26-DTR'!M$2:M$116,'BS-KH26-DTR'!$B$2:$B$116,$A113)</f>
        <v>0</v>
      </c>
      <c r="BA113" s="15">
        <f>SUMIFS('BS-KH26-DTR'!N$2:N$116,'BS-KH26-DTR'!$B$2:$B$116,$A113)</f>
        <v>0</v>
      </c>
      <c r="BB113" s="15">
        <f>SUMIFS('BS-KH26-DTR'!O$2:O$116,'BS-KH26-DTR'!$B$2:$B$116,$A113)</f>
        <v>0</v>
      </c>
      <c r="BD113" s="15">
        <f>SUMIFS('BS-KH26-DongLam'!M$2:M$51,'BS-KH26-DongLam'!$A$2:$A$51,'Consol BS-DTRG'!$A113)</f>
        <v>0</v>
      </c>
      <c r="BE113" s="15">
        <f>SUMIFS('BS-KH26-DongLam'!N$2:N$51,'BS-KH26-DongLam'!$A$2:$A$51,'Consol BS-DTRG'!$A113)</f>
        <v>0</v>
      </c>
      <c r="BF113" s="15">
        <f>SUMIFS('BS-KH26-DongLam'!O$2:O$51,'BS-KH26-DongLam'!$A$2:$A$51,'Consol BS-DTRG'!$A113)</f>
        <v>0</v>
      </c>
      <c r="BG113" s="15">
        <f>SUMIFS('BS-KH26-DongLam'!P$2:P$51,'BS-KH26-DongLam'!$A$2:$A$51,'Consol BS-DTRG'!$A113)</f>
        <v>0</v>
      </c>
      <c r="BH113" s="15">
        <f>SUMIFS('BS-KH26-DongLam'!Q$2:Q$51,'BS-KH26-DongLam'!$A$2:$A$51,'Consol BS-DTRG'!$A113)</f>
        <v>0</v>
      </c>
      <c r="BI113" s="15">
        <f>SUMIFS('BS-KH26-DongLam'!R$2:R$51,'BS-KH26-DongLam'!$A$2:$A$51,'Consol BS-DTRG'!$A113)</f>
        <v>0</v>
      </c>
      <c r="BJ113" s="15">
        <f>SUMIFS('BS-KH26-DongLam'!S$2:S$51,'BS-KH26-DongLam'!$A$2:$A$51,'Consol BS-DTRG'!$A113)</f>
        <v>0</v>
      </c>
      <c r="BK113" s="15">
        <f>SUMIFS('BS-KH26-DongLam'!T$2:T$51,'BS-KH26-DongLam'!$A$2:$A$51,'Consol BS-DTRG'!$A113)</f>
        <v>0</v>
      </c>
      <c r="BL113" s="15">
        <f>SUMIFS('BS-KH26-DongLam'!U$2:U$51,'BS-KH26-DongLam'!$A$2:$A$51,'Consol BS-DTRG'!$A113)</f>
        <v>0</v>
      </c>
      <c r="BM113" s="15">
        <f>SUMIFS('BS-KH26-DongLam'!V$2:V$51,'BS-KH26-DongLam'!$A$2:$A$51,'Consol BS-DTRG'!$A113)</f>
        <v>0</v>
      </c>
      <c r="BN113" s="15">
        <f>SUMIFS('BS-KH26-DongLam'!W$2:W$51,'BS-KH26-DongLam'!$A$2:$A$51,'Consol BS-DTRG'!$A113)</f>
        <v>0</v>
      </c>
      <c r="BO113" s="15">
        <f>SUMIFS('BS-KH26-DongLam'!X$2:X$51,'BS-KH26-DongLam'!$A$2:$A$51,'Consol BS-DTRG'!$A113)</f>
        <v>0</v>
      </c>
      <c r="BQ113" s="15">
        <f>SUMIFS('BS-KH26-KhanhNga'!M$2:M$51,'BS-KH26-KhanhNga'!$A$2:$A$51,'Consol BS-DTRG'!$A113)</f>
        <v>0</v>
      </c>
      <c r="BR113" s="15">
        <f>SUMIFS('BS-KH26-KhanhNga'!N$2:N$51,'BS-KH26-KhanhNga'!$A$2:$A$51,'Consol BS-DTRG'!$A113)</f>
        <v>0</v>
      </c>
      <c r="BS113" s="15">
        <f>SUMIFS('BS-KH26-KhanhNga'!O$2:O$51,'BS-KH26-KhanhNga'!$A$2:$A$51,'Consol BS-DTRG'!$A113)</f>
        <v>0</v>
      </c>
      <c r="BT113" s="15">
        <f>SUMIFS('BS-KH26-KhanhNga'!P$2:P$51,'BS-KH26-KhanhNga'!$A$2:$A$51,'Consol BS-DTRG'!$A113)</f>
        <v>0</v>
      </c>
      <c r="BU113" s="15">
        <f>SUMIFS('BS-KH26-KhanhNga'!Q$2:Q$51,'BS-KH26-KhanhNga'!$A$2:$A$51,'Consol BS-DTRG'!$A113)</f>
        <v>0</v>
      </c>
      <c r="BV113" s="15">
        <f>SUMIFS('BS-KH26-KhanhNga'!R$2:R$51,'BS-KH26-KhanhNga'!$A$2:$A$51,'Consol BS-DTRG'!$A113)</f>
        <v>0</v>
      </c>
      <c r="BW113" s="15">
        <f>SUMIFS('BS-KH26-KhanhNga'!S$2:S$51,'BS-KH26-KhanhNga'!$A$2:$A$51,'Consol BS-DTRG'!$A113)</f>
        <v>0</v>
      </c>
      <c r="BX113" s="15">
        <f>SUMIFS('BS-KH26-KhanhNga'!T$2:T$51,'BS-KH26-KhanhNga'!$A$2:$A$51,'Consol BS-DTRG'!$A113)</f>
        <v>0</v>
      </c>
      <c r="BY113" s="15">
        <f>SUMIFS('BS-KH26-KhanhNga'!U$2:U$51,'BS-KH26-KhanhNga'!$A$2:$A$51,'Consol BS-DTRG'!$A113)</f>
        <v>0</v>
      </c>
      <c r="BZ113" s="15">
        <f>SUMIFS('BS-KH26-KhanhNga'!V$2:V$51,'BS-KH26-KhanhNga'!$A$2:$A$51,'Consol BS-DTRG'!$A113)</f>
        <v>0</v>
      </c>
      <c r="CA113" s="15">
        <f>SUMIFS('BS-KH26-KhanhNga'!W$2:W$51,'BS-KH26-KhanhNga'!$A$2:$A$51,'Consol BS-DTRG'!$A113)</f>
        <v>0</v>
      </c>
      <c r="CB113" s="15">
        <f>SUMIFS('BS-KH26-KhanhNga'!X$2:X$51,'BS-KH26-KhanhNga'!$A$2:$A$51,'Consol BS-DTRG'!$A113)</f>
        <v>0</v>
      </c>
      <c r="CD113" s="15">
        <f>SUMIFS('BS-KH26-DaiLoc'!M$2:M$51,'BS-KH26-DaiLoc'!$A$2:$A$51,'Consol BS-DTRG'!$A113)</f>
        <v>0</v>
      </c>
      <c r="CE113" s="15">
        <f>SUMIFS('BS-KH26-DaiLoc'!N$2:N$51,'BS-KH26-DaiLoc'!$A$2:$A$51,'Consol BS-DTRG'!$A113)</f>
        <v>0</v>
      </c>
      <c r="CF113" s="15">
        <f>SUMIFS('BS-KH26-DaiLoc'!O$2:O$51,'BS-KH26-DaiLoc'!$A$2:$A$51,'Consol BS-DTRG'!$A113)</f>
        <v>0</v>
      </c>
      <c r="CG113" s="15">
        <f>SUMIFS('BS-KH26-DaiLoc'!P$2:P$51,'BS-KH26-DaiLoc'!$A$2:$A$51,'Consol BS-DTRG'!$A113)</f>
        <v>0</v>
      </c>
      <c r="CH113" s="15">
        <f>SUMIFS('BS-KH26-DaiLoc'!Q$2:Q$51,'BS-KH26-DaiLoc'!$A$2:$A$51,'Consol BS-DTRG'!$A113)</f>
        <v>0</v>
      </c>
      <c r="CI113" s="15">
        <f>SUMIFS('BS-KH26-DaiLoc'!R$2:R$51,'BS-KH26-DaiLoc'!$A$2:$A$51,'Consol BS-DTRG'!$A113)</f>
        <v>0</v>
      </c>
      <c r="CJ113" s="15">
        <f>SUMIFS('BS-KH26-DaiLoc'!S$2:S$51,'BS-KH26-DaiLoc'!$A$2:$A$51,'Consol BS-DTRG'!$A113)</f>
        <v>0</v>
      </c>
      <c r="CK113" s="15">
        <f>SUMIFS('BS-KH26-DaiLoc'!T$2:T$51,'BS-KH26-DaiLoc'!$A$2:$A$51,'Consol BS-DTRG'!$A113)</f>
        <v>0</v>
      </c>
      <c r="CL113" s="15">
        <f>SUMIFS('BS-KH26-DaiLoc'!U$2:U$51,'BS-KH26-DaiLoc'!$A$2:$A$51,'Consol BS-DTRG'!$A113)</f>
        <v>0</v>
      </c>
      <c r="CM113" s="15">
        <f>SUMIFS('BS-KH26-DaiLoc'!V$2:V$51,'BS-KH26-DaiLoc'!$A$2:$A$51,'Consol BS-DTRG'!$A113)</f>
        <v>0</v>
      </c>
      <c r="CN113" s="15">
        <f>SUMIFS('BS-KH26-DaiLoc'!W$2:W$51,'BS-KH26-DaiLoc'!$A$2:$A$51,'Consol BS-DTRG'!$A113)</f>
        <v>0</v>
      </c>
      <c r="CO113" s="15">
        <f>SUMIFS('BS-KH26-DaiLoc'!X$2:X$51,'BS-KH26-DaiLoc'!$A$2:$A$51,'Consol BS-DTRG'!$A113)</f>
        <v>0</v>
      </c>
      <c r="CQ113" s="15">
        <v>0</v>
      </c>
      <c r="CR113" s="15">
        <f t="shared" si="703"/>
        <v>0</v>
      </c>
      <c r="CS113" s="15">
        <f t="shared" si="703"/>
        <v>0</v>
      </c>
      <c r="CT113" s="15">
        <f t="shared" si="703"/>
        <v>0</v>
      </c>
      <c r="CU113" s="15">
        <f t="shared" si="703"/>
        <v>0</v>
      </c>
      <c r="CV113" s="15">
        <f t="shared" si="703"/>
        <v>0</v>
      </c>
      <c r="CW113" s="15">
        <f t="shared" si="703"/>
        <v>0</v>
      </c>
      <c r="CX113" s="15">
        <f t="shared" si="703"/>
        <v>0</v>
      </c>
      <c r="CY113" s="15">
        <f t="shared" si="703"/>
        <v>0</v>
      </c>
      <c r="CZ113" s="15">
        <f t="shared" si="703"/>
        <v>0</v>
      </c>
      <c r="DA113" s="15">
        <f t="shared" si="703"/>
        <v>0</v>
      </c>
      <c r="DB113" s="15">
        <f t="shared" si="703"/>
        <v>0</v>
      </c>
    </row>
    <row r="114" spans="1:106" collapsed="1">
      <c r="A114" s="634">
        <v>111</v>
      </c>
      <c r="B114" s="610" t="s">
        <v>363</v>
      </c>
      <c r="D114" s="639">
        <f t="shared" ref="D114:O114" ca="1" si="704">SUM(D115,D118:D126)</f>
        <v>925967919932.10583</v>
      </c>
      <c r="E114" s="639">
        <f t="shared" ca="1" si="704"/>
        <v>924172789957.42505</v>
      </c>
      <c r="F114" s="639">
        <f t="shared" ca="1" si="704"/>
        <v>927984102743.55774</v>
      </c>
      <c r="G114" s="639">
        <f t="shared" ca="1" si="704"/>
        <v>930827988979.47339</v>
      </c>
      <c r="H114" s="639">
        <f t="shared" ca="1" si="704"/>
        <v>935279995637.25354</v>
      </c>
      <c r="I114" s="639">
        <f t="shared" ca="1" si="704"/>
        <v>937267234353.33435</v>
      </c>
      <c r="J114" s="639">
        <f t="shared" ca="1" si="704"/>
        <v>945819626085.65198</v>
      </c>
      <c r="K114" s="639">
        <f t="shared" ca="1" si="704"/>
        <v>952862090524.98193</v>
      </c>
      <c r="L114" s="639">
        <f t="shared" ca="1" si="704"/>
        <v>959102522152.40527</v>
      </c>
      <c r="M114" s="639">
        <f t="shared" ca="1" si="704"/>
        <v>965891725626.78516</v>
      </c>
      <c r="N114" s="639">
        <f t="shared" ca="1" si="704"/>
        <v>973594468254.16333</v>
      </c>
      <c r="O114" s="639">
        <f t="shared" ca="1" si="704"/>
        <v>979310898727.73352</v>
      </c>
      <c r="Q114" s="639">
        <f t="shared" ref="Q114:AB114" ca="1" si="705">SUM(Q115,Q118:Q126)</f>
        <v>-1081653552.8917923</v>
      </c>
      <c r="R114" s="639">
        <f t="shared" ca="1" si="705"/>
        <v>-206360630.64188004</v>
      </c>
      <c r="S114" s="639">
        <f t="shared" ca="1" si="705"/>
        <v>-1311188694.2388897</v>
      </c>
      <c r="T114" s="639">
        <f t="shared" ca="1" si="705"/>
        <v>-1689504436.190918</v>
      </c>
      <c r="U114" s="639">
        <f t="shared" ca="1" si="705"/>
        <v>-600462545.67515945</v>
      </c>
      <c r="V114" s="639">
        <f t="shared" ca="1" si="705"/>
        <v>-1386793199.9009171</v>
      </c>
      <c r="W114" s="639">
        <f t="shared" ca="1" si="705"/>
        <v>-318276916.1496563</v>
      </c>
      <c r="X114" s="639">
        <f t="shared" ca="1" si="705"/>
        <v>31216146.459789276</v>
      </c>
      <c r="Y114" s="639">
        <f t="shared" ca="1" si="705"/>
        <v>133418850.23434067</v>
      </c>
      <c r="Z114" s="639">
        <f t="shared" ca="1" si="705"/>
        <v>-337062225.32540703</v>
      </c>
      <c r="AA114" s="639">
        <f t="shared" ca="1" si="705"/>
        <v>-153560604.06283951</v>
      </c>
      <c r="AB114" s="639">
        <f t="shared" ca="1" si="705"/>
        <v>-227377208.07666779</v>
      </c>
      <c r="AD114" s="642">
        <f t="shared" ref="AD114" si="706">SUM(AD115,AD118:AD126)</f>
        <v>927049573484.99756</v>
      </c>
      <c r="AE114" s="639">
        <f t="shared" ref="AE114:AO114" si="707">SUM(AE115,AE118:AE126)</f>
        <v>924379150588.06689</v>
      </c>
      <c r="AF114" s="639">
        <f t="shared" si="707"/>
        <v>929295291437.79663</v>
      </c>
      <c r="AG114" s="639">
        <f t="shared" si="707"/>
        <v>932517493415.66431</v>
      </c>
      <c r="AH114" s="639">
        <f t="shared" si="707"/>
        <v>935880458182.92871</v>
      </c>
      <c r="AI114" s="639">
        <f t="shared" si="707"/>
        <v>938654027553.23535</v>
      </c>
      <c r="AJ114" s="639">
        <f t="shared" si="707"/>
        <v>946137903001.80164</v>
      </c>
      <c r="AK114" s="639">
        <f t="shared" si="707"/>
        <v>952830874378.52209</v>
      </c>
      <c r="AL114" s="639">
        <f t="shared" si="707"/>
        <v>958969103302.1709</v>
      </c>
      <c r="AM114" s="639">
        <f t="shared" si="707"/>
        <v>966228787852.1106</v>
      </c>
      <c r="AN114" s="639">
        <f t="shared" si="707"/>
        <v>973748028858.2262</v>
      </c>
      <c r="AO114" s="643">
        <f t="shared" si="707"/>
        <v>979538275935.81018</v>
      </c>
      <c r="AQ114" s="639">
        <f t="shared" ref="AQ114:BB114" si="708">SUM(AQ115,AQ118:AQ126)</f>
        <v>883574676623.76514</v>
      </c>
      <c r="AR114" s="639">
        <f t="shared" si="708"/>
        <v>882249572981.11523</v>
      </c>
      <c r="AS114" s="639">
        <f t="shared" si="708"/>
        <v>887313152793.15259</v>
      </c>
      <c r="AT114" s="639">
        <f t="shared" si="708"/>
        <v>890300940529.20837</v>
      </c>
      <c r="AU114" s="639">
        <f t="shared" si="708"/>
        <v>893431232412.99292</v>
      </c>
      <c r="AV114" s="639">
        <f t="shared" si="708"/>
        <v>896263005053.57776</v>
      </c>
      <c r="AW114" s="639">
        <f t="shared" si="708"/>
        <v>903613307456.76135</v>
      </c>
      <c r="AX114" s="639">
        <f t="shared" si="708"/>
        <v>910335315476.77563</v>
      </c>
      <c r="AY114" s="639">
        <f t="shared" si="708"/>
        <v>916444563761.94971</v>
      </c>
      <c r="AZ114" s="639">
        <f t="shared" si="708"/>
        <v>923110226541.70032</v>
      </c>
      <c r="BA114" s="639">
        <f t="shared" si="708"/>
        <v>930232904471.51611</v>
      </c>
      <c r="BB114" s="639">
        <f t="shared" si="708"/>
        <v>935524353478.9917</v>
      </c>
      <c r="BD114" s="639">
        <f t="shared" ref="BD114:BO114" si="709">SUM(BD115,BD118:BD126)</f>
        <v>35658873313.984406</v>
      </c>
      <c r="BE114" s="639">
        <f t="shared" si="709"/>
        <v>35601139599.114601</v>
      </c>
      <c r="BF114" s="639">
        <f t="shared" si="709"/>
        <v>35889970273.259361</v>
      </c>
      <c r="BG114" s="639">
        <f t="shared" si="709"/>
        <v>36042415094.98336</v>
      </c>
      <c r="BH114" s="639">
        <f t="shared" si="709"/>
        <v>36157313987.558899</v>
      </c>
      <c r="BI114" s="639">
        <f t="shared" si="709"/>
        <v>36223467595.652954</v>
      </c>
      <c r="BJ114" s="639">
        <f t="shared" si="709"/>
        <v>36345897824.224258</v>
      </c>
      <c r="BK114" s="639">
        <f t="shared" si="709"/>
        <v>36359632546.83567</v>
      </c>
      <c r="BL114" s="639">
        <f t="shared" si="709"/>
        <v>36387687916.848633</v>
      </c>
      <c r="BM114" s="639">
        <f t="shared" si="709"/>
        <v>36555176748.883385</v>
      </c>
      <c r="BN114" s="639">
        <f t="shared" si="709"/>
        <v>36599292838.252129</v>
      </c>
      <c r="BO114" s="639">
        <f t="shared" si="709"/>
        <v>36732931307.156761</v>
      </c>
      <c r="BQ114" s="639">
        <f t="shared" ref="BQ114:CB114" si="710">SUM(BQ115,BQ118:BQ126)</f>
        <v>14865164317.186384</v>
      </c>
      <c r="BR114" s="639">
        <f t="shared" si="710"/>
        <v>14516160539.2414</v>
      </c>
      <c r="BS114" s="639">
        <f t="shared" si="710"/>
        <v>14670145956.467871</v>
      </c>
      <c r="BT114" s="639">
        <f t="shared" si="710"/>
        <v>14887776272.937206</v>
      </c>
      <c r="BU114" s="639">
        <f t="shared" si="710"/>
        <v>15143256510.206541</v>
      </c>
      <c r="BV114" s="639">
        <f t="shared" si="710"/>
        <v>15358706265.209209</v>
      </c>
      <c r="BW114" s="639">
        <f t="shared" si="710"/>
        <v>15561248784.345211</v>
      </c>
      <c r="BX114" s="639">
        <f t="shared" si="710"/>
        <v>15747903142.897881</v>
      </c>
      <c r="BY114" s="639">
        <f t="shared" si="710"/>
        <v>15945797839.333881</v>
      </c>
      <c r="BZ114" s="639">
        <f t="shared" si="710"/>
        <v>16205231298.43655</v>
      </c>
      <c r="CA114" s="639">
        <f t="shared" si="710"/>
        <v>16445684138.23922</v>
      </c>
      <c r="CB114" s="639">
        <f t="shared" si="710"/>
        <v>16680591198.241888</v>
      </c>
      <c r="CD114" s="639">
        <f t="shared" ref="CD114:CO114" si="711">SUM(CD115,CD118:CD126)</f>
        <v>-17891722641.049324</v>
      </c>
      <c r="CE114" s="639">
        <f t="shared" si="711"/>
        <v>-18825725213.626625</v>
      </c>
      <c r="CF114" s="639">
        <f t="shared" si="711"/>
        <v>-19411401078.416443</v>
      </c>
      <c r="CG114" s="639">
        <f t="shared" si="711"/>
        <v>-19542082785.909065</v>
      </c>
      <c r="CH114" s="639">
        <f t="shared" si="711"/>
        <v>-19675209843.385178</v>
      </c>
      <c r="CI114" s="639">
        <f t="shared" si="711"/>
        <v>-20010437287.871284</v>
      </c>
      <c r="CJ114" s="639">
        <f t="shared" si="711"/>
        <v>-20197257801.306961</v>
      </c>
      <c r="CK114" s="639">
        <f t="shared" si="711"/>
        <v>-20421704336.875977</v>
      </c>
      <c r="CL114" s="639">
        <f t="shared" si="711"/>
        <v>-20614094575.961227</v>
      </c>
      <c r="CM114" s="639">
        <f t="shared" si="711"/>
        <v>-20442415908.020813</v>
      </c>
      <c r="CN114" s="639">
        <f t="shared" si="711"/>
        <v>-20325442572.003479</v>
      </c>
      <c r="CO114" s="639">
        <f t="shared" si="711"/>
        <v>-20190610841.91349</v>
      </c>
      <c r="CQ114" s="639">
        <f t="shared" ref="CQ114:DB114" si="712">SUM(CQ115,CQ118:CQ126)</f>
        <v>10842581871.111111</v>
      </c>
      <c r="CR114" s="639">
        <f t="shared" si="712"/>
        <v>10838002682.222221</v>
      </c>
      <c r="CS114" s="639">
        <f t="shared" si="712"/>
        <v>10833423493.333332</v>
      </c>
      <c r="CT114" s="639">
        <f t="shared" si="712"/>
        <v>10828444304.444443</v>
      </c>
      <c r="CU114" s="639">
        <f t="shared" si="712"/>
        <v>10823865115.555553</v>
      </c>
      <c r="CV114" s="639">
        <f t="shared" si="712"/>
        <v>10819285926.666664</v>
      </c>
      <c r="CW114" s="639">
        <f t="shared" si="712"/>
        <v>10814706737.777775</v>
      </c>
      <c r="CX114" s="639">
        <f t="shared" si="712"/>
        <v>10809727548.888885</v>
      </c>
      <c r="CY114" s="639">
        <f t="shared" si="712"/>
        <v>10805148359.999996</v>
      </c>
      <c r="CZ114" s="639">
        <f t="shared" si="712"/>
        <v>10800569171.111107</v>
      </c>
      <c r="DA114" s="639">
        <f t="shared" si="712"/>
        <v>10795589982.222218</v>
      </c>
      <c r="DB114" s="639">
        <f t="shared" si="712"/>
        <v>10791010793.333328</v>
      </c>
    </row>
    <row r="115" spans="1:106" outlineLevel="1">
      <c r="A115" s="633">
        <v>112</v>
      </c>
      <c r="B115" s="625" t="s">
        <v>364</v>
      </c>
      <c r="D115" s="15">
        <f t="shared" ref="D115:O115" si="713">SUM(D116:D117)</f>
        <v>772000000000</v>
      </c>
      <c r="E115" s="15">
        <f t="shared" si="713"/>
        <v>772000000000</v>
      </c>
      <c r="F115" s="15">
        <f t="shared" si="713"/>
        <v>772000000000</v>
      </c>
      <c r="G115" s="15">
        <f t="shared" si="713"/>
        <v>772000000000</v>
      </c>
      <c r="H115" s="15">
        <f t="shared" si="713"/>
        <v>772000000000</v>
      </c>
      <c r="I115" s="15">
        <f t="shared" si="713"/>
        <v>772000000000</v>
      </c>
      <c r="J115" s="15">
        <f t="shared" si="713"/>
        <v>772000000000</v>
      </c>
      <c r="K115" s="15">
        <f t="shared" si="713"/>
        <v>772000000000</v>
      </c>
      <c r="L115" s="15">
        <f t="shared" si="713"/>
        <v>772000000000</v>
      </c>
      <c r="M115" s="15">
        <f t="shared" si="713"/>
        <v>772000000000</v>
      </c>
      <c r="N115" s="15">
        <f t="shared" si="713"/>
        <v>772000000000</v>
      </c>
      <c r="O115" s="15">
        <f t="shared" si="713"/>
        <v>772000000000</v>
      </c>
      <c r="Q115" s="15">
        <f t="shared" ref="Q115:AB115" si="714">SUM(Q116:Q117)</f>
        <v>0</v>
      </c>
      <c r="R115" s="15">
        <f t="shared" si="714"/>
        <v>0</v>
      </c>
      <c r="S115" s="15">
        <f t="shared" si="714"/>
        <v>0</v>
      </c>
      <c r="T115" s="15">
        <f t="shared" si="714"/>
        <v>0</v>
      </c>
      <c r="U115" s="15">
        <f t="shared" si="714"/>
        <v>0</v>
      </c>
      <c r="V115" s="15">
        <f t="shared" si="714"/>
        <v>0</v>
      </c>
      <c r="W115" s="15">
        <f t="shared" si="714"/>
        <v>0</v>
      </c>
      <c r="X115" s="15">
        <f t="shared" si="714"/>
        <v>0</v>
      </c>
      <c r="Y115" s="15">
        <f t="shared" si="714"/>
        <v>0</v>
      </c>
      <c r="Z115" s="15">
        <f t="shared" si="714"/>
        <v>0</v>
      </c>
      <c r="AA115" s="15">
        <f t="shared" si="714"/>
        <v>0</v>
      </c>
      <c r="AB115" s="15">
        <f t="shared" si="714"/>
        <v>0</v>
      </c>
      <c r="AD115" s="646">
        <f t="shared" ref="AD115" si="715">SUM(AD116:AD117)</f>
        <v>772000000000</v>
      </c>
      <c r="AE115" s="15">
        <f t="shared" ref="AE115:AO115" si="716">SUM(AE116:AE117)</f>
        <v>772000000000</v>
      </c>
      <c r="AF115" s="15">
        <f t="shared" si="716"/>
        <v>772000000000</v>
      </c>
      <c r="AG115" s="15">
        <f t="shared" si="716"/>
        <v>772000000000</v>
      </c>
      <c r="AH115" s="15">
        <f t="shared" si="716"/>
        <v>772000000000</v>
      </c>
      <c r="AI115" s="15">
        <f t="shared" si="716"/>
        <v>772000000000</v>
      </c>
      <c r="AJ115" s="15">
        <f t="shared" si="716"/>
        <v>772000000000</v>
      </c>
      <c r="AK115" s="15">
        <f t="shared" si="716"/>
        <v>772000000000</v>
      </c>
      <c r="AL115" s="15">
        <f t="shared" si="716"/>
        <v>772000000000</v>
      </c>
      <c r="AM115" s="15">
        <f t="shared" si="716"/>
        <v>772000000000</v>
      </c>
      <c r="AN115" s="15">
        <f t="shared" si="716"/>
        <v>772000000000</v>
      </c>
      <c r="AO115" s="647">
        <f t="shared" si="716"/>
        <v>772000000000</v>
      </c>
      <c r="AQ115" s="15">
        <f t="shared" ref="AQ115:BB115" si="717">SUM(AQ116:AQ117)</f>
        <v>650000000000</v>
      </c>
      <c r="AR115" s="15">
        <f t="shared" si="717"/>
        <v>650000000000</v>
      </c>
      <c r="AS115" s="15">
        <f t="shared" si="717"/>
        <v>650000000000</v>
      </c>
      <c r="AT115" s="15">
        <f t="shared" si="717"/>
        <v>650000000000</v>
      </c>
      <c r="AU115" s="15">
        <f t="shared" si="717"/>
        <v>650000000000</v>
      </c>
      <c r="AV115" s="15">
        <f t="shared" si="717"/>
        <v>650000000000</v>
      </c>
      <c r="AW115" s="15">
        <f t="shared" si="717"/>
        <v>650000000000</v>
      </c>
      <c r="AX115" s="15">
        <f t="shared" si="717"/>
        <v>650000000000</v>
      </c>
      <c r="AY115" s="15">
        <f t="shared" si="717"/>
        <v>650000000000</v>
      </c>
      <c r="AZ115" s="15">
        <f t="shared" si="717"/>
        <v>650000000000</v>
      </c>
      <c r="BA115" s="15">
        <f t="shared" si="717"/>
        <v>650000000000</v>
      </c>
      <c r="BB115" s="15">
        <f t="shared" si="717"/>
        <v>650000000000</v>
      </c>
      <c r="BD115" s="15">
        <f t="shared" ref="BD115:BO115" si="718">SUM(BD116:BD117)</f>
        <v>47000000000</v>
      </c>
      <c r="BE115" s="15">
        <f t="shared" si="718"/>
        <v>47000000000</v>
      </c>
      <c r="BF115" s="15">
        <f t="shared" si="718"/>
        <v>47000000000</v>
      </c>
      <c r="BG115" s="15">
        <f t="shared" si="718"/>
        <v>47000000000</v>
      </c>
      <c r="BH115" s="15">
        <f t="shared" si="718"/>
        <v>47000000000</v>
      </c>
      <c r="BI115" s="15">
        <f t="shared" si="718"/>
        <v>47000000000</v>
      </c>
      <c r="BJ115" s="15">
        <f t="shared" si="718"/>
        <v>47000000000</v>
      </c>
      <c r="BK115" s="15">
        <f t="shared" si="718"/>
        <v>47000000000</v>
      </c>
      <c r="BL115" s="15">
        <f t="shared" si="718"/>
        <v>47000000000</v>
      </c>
      <c r="BM115" s="15">
        <f t="shared" si="718"/>
        <v>47000000000</v>
      </c>
      <c r="BN115" s="15">
        <f t="shared" si="718"/>
        <v>47000000000</v>
      </c>
      <c r="BO115" s="15">
        <f t="shared" si="718"/>
        <v>47000000000</v>
      </c>
      <c r="BQ115" s="15">
        <f t="shared" ref="BQ115:CB115" si="719">SUM(BQ116:BQ117)</f>
        <v>15000000000</v>
      </c>
      <c r="BR115" s="15">
        <f t="shared" si="719"/>
        <v>15000000000</v>
      </c>
      <c r="BS115" s="15">
        <f t="shared" si="719"/>
        <v>15000000000</v>
      </c>
      <c r="BT115" s="15">
        <f t="shared" si="719"/>
        <v>15000000000</v>
      </c>
      <c r="BU115" s="15">
        <f t="shared" si="719"/>
        <v>15000000000</v>
      </c>
      <c r="BV115" s="15">
        <f t="shared" si="719"/>
        <v>15000000000</v>
      </c>
      <c r="BW115" s="15">
        <f t="shared" si="719"/>
        <v>15000000000</v>
      </c>
      <c r="BX115" s="15">
        <f t="shared" si="719"/>
        <v>15000000000</v>
      </c>
      <c r="BY115" s="15">
        <f t="shared" si="719"/>
        <v>15000000000</v>
      </c>
      <c r="BZ115" s="15">
        <f t="shared" si="719"/>
        <v>15000000000</v>
      </c>
      <c r="CA115" s="15">
        <f t="shared" si="719"/>
        <v>15000000000</v>
      </c>
      <c r="CB115" s="15">
        <f t="shared" si="719"/>
        <v>15000000000</v>
      </c>
      <c r="CD115" s="15">
        <f t="shared" ref="CD115:CO115" si="720">SUM(CD116:CD117)</f>
        <v>40000000000</v>
      </c>
      <c r="CE115" s="15">
        <f t="shared" si="720"/>
        <v>40000000000</v>
      </c>
      <c r="CF115" s="15">
        <f t="shared" si="720"/>
        <v>40000000000</v>
      </c>
      <c r="CG115" s="15">
        <f t="shared" si="720"/>
        <v>40000000000</v>
      </c>
      <c r="CH115" s="15">
        <f t="shared" si="720"/>
        <v>40000000000</v>
      </c>
      <c r="CI115" s="15">
        <f t="shared" si="720"/>
        <v>40000000000</v>
      </c>
      <c r="CJ115" s="15">
        <f t="shared" si="720"/>
        <v>40000000000</v>
      </c>
      <c r="CK115" s="15">
        <f t="shared" si="720"/>
        <v>40000000000</v>
      </c>
      <c r="CL115" s="15">
        <f t="shared" si="720"/>
        <v>40000000000</v>
      </c>
      <c r="CM115" s="15">
        <f t="shared" si="720"/>
        <v>40000000000</v>
      </c>
      <c r="CN115" s="15">
        <f t="shared" si="720"/>
        <v>40000000000</v>
      </c>
      <c r="CO115" s="15">
        <f t="shared" si="720"/>
        <v>40000000000</v>
      </c>
      <c r="CQ115" s="15">
        <f t="shared" ref="CQ115:DB115" si="721">SUM(CQ116:CQ117)</f>
        <v>20000000000</v>
      </c>
      <c r="CR115" s="15">
        <f t="shared" si="721"/>
        <v>20000000000</v>
      </c>
      <c r="CS115" s="15">
        <f t="shared" si="721"/>
        <v>20000000000</v>
      </c>
      <c r="CT115" s="15">
        <f t="shared" si="721"/>
        <v>20000000000</v>
      </c>
      <c r="CU115" s="15">
        <f t="shared" si="721"/>
        <v>20000000000</v>
      </c>
      <c r="CV115" s="15">
        <f t="shared" si="721"/>
        <v>20000000000</v>
      </c>
      <c r="CW115" s="15">
        <f t="shared" si="721"/>
        <v>20000000000</v>
      </c>
      <c r="CX115" s="15">
        <f t="shared" si="721"/>
        <v>20000000000</v>
      </c>
      <c r="CY115" s="15">
        <f t="shared" si="721"/>
        <v>20000000000</v>
      </c>
      <c r="CZ115" s="15">
        <f t="shared" si="721"/>
        <v>20000000000</v>
      </c>
      <c r="DA115" s="15">
        <f t="shared" si="721"/>
        <v>20000000000</v>
      </c>
      <c r="DB115" s="15">
        <f t="shared" si="721"/>
        <v>20000000000</v>
      </c>
    </row>
    <row r="116" spans="1:106" outlineLevel="2">
      <c r="A116" s="633">
        <v>113</v>
      </c>
      <c r="B116" s="625" t="s">
        <v>365</v>
      </c>
      <c r="C116" t="s">
        <v>518</v>
      </c>
      <c r="D116" s="15">
        <f t="shared" ref="D116:D125" si="722">AD116+Q116</f>
        <v>772000000000</v>
      </c>
      <c r="E116" s="15">
        <f t="shared" ref="E116:E125" si="723">AE116+R116</f>
        <v>772000000000</v>
      </c>
      <c r="F116" s="15">
        <f t="shared" ref="F116:F125" si="724">AF116+S116</f>
        <v>772000000000</v>
      </c>
      <c r="G116" s="15">
        <f t="shared" ref="G116:G125" si="725">AG116+T116</f>
        <v>772000000000</v>
      </c>
      <c r="H116" s="15">
        <f t="shared" ref="H116:H125" si="726">AH116+U116</f>
        <v>772000000000</v>
      </c>
      <c r="I116" s="15">
        <f t="shared" ref="I116:I125" si="727">AI116+V116</f>
        <v>772000000000</v>
      </c>
      <c r="J116" s="15">
        <f t="shared" ref="J116:J125" si="728">AJ116+W116</f>
        <v>772000000000</v>
      </c>
      <c r="K116" s="15">
        <f t="shared" ref="K116:K125" si="729">AK116+X116</f>
        <v>772000000000</v>
      </c>
      <c r="L116" s="15">
        <f t="shared" ref="L116:L125" si="730">AL116+Y116</f>
        <v>772000000000</v>
      </c>
      <c r="M116" s="15">
        <f t="shared" ref="M116:M125" si="731">AM116+Z116</f>
        <v>772000000000</v>
      </c>
      <c r="N116" s="15">
        <f t="shared" ref="N116:N125" si="732">AN116+AA116</f>
        <v>772000000000</v>
      </c>
      <c r="O116" s="15">
        <f t="shared" ref="O116:O125" si="733">AO116+AB116</f>
        <v>772000000000</v>
      </c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D116" s="646">
        <f t="shared" ref="AD116:AD125" si="734">AQ116+BD116+BQ116+CD116+CQ116</f>
        <v>772000000000</v>
      </c>
      <c r="AE116" s="15">
        <f t="shared" ref="AE116:AE125" si="735">AR116+BE116+BR116+CE116+CR116</f>
        <v>772000000000</v>
      </c>
      <c r="AF116" s="15">
        <f t="shared" ref="AF116:AF125" si="736">AS116+BF116+BS116+CF116+CS116</f>
        <v>772000000000</v>
      </c>
      <c r="AG116" s="15">
        <f t="shared" ref="AG116:AG125" si="737">AT116+BG116+BT116+CG116+CT116</f>
        <v>772000000000</v>
      </c>
      <c r="AH116" s="15">
        <f t="shared" ref="AH116:AH125" si="738">AU116+BH116+BU116+CH116+CU116</f>
        <v>772000000000</v>
      </c>
      <c r="AI116" s="15">
        <f t="shared" ref="AI116:AI125" si="739">AV116+BI116+BV116+CI116+CV116</f>
        <v>772000000000</v>
      </c>
      <c r="AJ116" s="15">
        <f t="shared" ref="AJ116:AJ125" si="740">AW116+BJ116+BW116+CJ116+CW116</f>
        <v>772000000000</v>
      </c>
      <c r="AK116" s="15">
        <f t="shared" ref="AK116:AK125" si="741">AX116+BK116+BX116+CK116+CX116</f>
        <v>772000000000</v>
      </c>
      <c r="AL116" s="15">
        <f t="shared" ref="AL116:AL125" si="742">AY116+BL116+BY116+CL116+CY116</f>
        <v>772000000000</v>
      </c>
      <c r="AM116" s="15">
        <f t="shared" ref="AM116:AM125" si="743">AZ116+BM116+BZ116+CM116+CZ116</f>
        <v>772000000000</v>
      </c>
      <c r="AN116" s="15">
        <f t="shared" ref="AN116:AN125" si="744">BA116+BN116+CA116+CN116+DA116</f>
        <v>772000000000</v>
      </c>
      <c r="AO116" s="647">
        <f t="shared" ref="AO116:AO125" si="745">BB116+BO116+CB116+CO116+DB116</f>
        <v>772000000000</v>
      </c>
      <c r="AQ116" s="15">
        <f>SUMIFS('BS-KH26-DTR'!D$2:D$116,'BS-KH26-DTR'!$B$2:$B$116,$A116)</f>
        <v>650000000000</v>
      </c>
      <c r="AR116" s="15">
        <f>SUMIFS('BS-KH26-DTR'!E$2:E$116,'BS-KH26-DTR'!$B$2:$B$116,$A116)</f>
        <v>650000000000</v>
      </c>
      <c r="AS116" s="15">
        <f>SUMIFS('BS-KH26-DTR'!F$2:F$116,'BS-KH26-DTR'!$B$2:$B$116,$A116)</f>
        <v>650000000000</v>
      </c>
      <c r="AT116" s="15">
        <f>SUMIFS('BS-KH26-DTR'!G$2:G$116,'BS-KH26-DTR'!$B$2:$B$116,$A116)</f>
        <v>650000000000</v>
      </c>
      <c r="AU116" s="15">
        <f>SUMIFS('BS-KH26-DTR'!H$2:H$116,'BS-KH26-DTR'!$B$2:$B$116,$A116)</f>
        <v>650000000000</v>
      </c>
      <c r="AV116" s="15">
        <f>SUMIFS('BS-KH26-DTR'!I$2:I$116,'BS-KH26-DTR'!$B$2:$B$116,$A116)</f>
        <v>650000000000</v>
      </c>
      <c r="AW116" s="15">
        <f>SUMIFS('BS-KH26-DTR'!J$2:J$116,'BS-KH26-DTR'!$B$2:$B$116,$A116)</f>
        <v>650000000000</v>
      </c>
      <c r="AX116" s="15">
        <f>SUMIFS('BS-KH26-DTR'!K$2:K$116,'BS-KH26-DTR'!$B$2:$B$116,$A116)</f>
        <v>650000000000</v>
      </c>
      <c r="AY116" s="15">
        <f>SUMIFS('BS-KH26-DTR'!L$2:L$116,'BS-KH26-DTR'!$B$2:$B$116,$A116)</f>
        <v>650000000000</v>
      </c>
      <c r="AZ116" s="15">
        <f>SUMIFS('BS-KH26-DTR'!M$2:M$116,'BS-KH26-DTR'!$B$2:$B$116,$A116)</f>
        <v>650000000000</v>
      </c>
      <c r="BA116" s="15">
        <f>SUMIFS('BS-KH26-DTR'!N$2:N$116,'BS-KH26-DTR'!$B$2:$B$116,$A116)</f>
        <v>650000000000</v>
      </c>
      <c r="BB116" s="15">
        <f>SUMIFS('BS-KH26-DTR'!O$2:O$116,'BS-KH26-DTR'!$B$2:$B$116,$A116)</f>
        <v>650000000000</v>
      </c>
      <c r="BD116" s="15">
        <f>SUMIFS('BS-KH26-DongLam'!M$2:M$51,'BS-KH26-DongLam'!$A$2:$A$51,'Consol BS-DTRG'!$A116)</f>
        <v>47000000000</v>
      </c>
      <c r="BE116" s="15">
        <f>SUMIFS('BS-KH26-DongLam'!N$2:N$51,'BS-KH26-DongLam'!$A$2:$A$51,'Consol BS-DTRG'!$A116)</f>
        <v>47000000000</v>
      </c>
      <c r="BF116" s="15">
        <f>SUMIFS('BS-KH26-DongLam'!O$2:O$51,'BS-KH26-DongLam'!$A$2:$A$51,'Consol BS-DTRG'!$A116)</f>
        <v>47000000000</v>
      </c>
      <c r="BG116" s="15">
        <f>SUMIFS('BS-KH26-DongLam'!P$2:P$51,'BS-KH26-DongLam'!$A$2:$A$51,'Consol BS-DTRG'!$A116)</f>
        <v>47000000000</v>
      </c>
      <c r="BH116" s="15">
        <f>SUMIFS('BS-KH26-DongLam'!Q$2:Q$51,'BS-KH26-DongLam'!$A$2:$A$51,'Consol BS-DTRG'!$A116)</f>
        <v>47000000000</v>
      </c>
      <c r="BI116" s="15">
        <f>SUMIFS('BS-KH26-DongLam'!R$2:R$51,'BS-KH26-DongLam'!$A$2:$A$51,'Consol BS-DTRG'!$A116)</f>
        <v>47000000000</v>
      </c>
      <c r="BJ116" s="15">
        <f>SUMIFS('BS-KH26-DongLam'!S$2:S$51,'BS-KH26-DongLam'!$A$2:$A$51,'Consol BS-DTRG'!$A116)</f>
        <v>47000000000</v>
      </c>
      <c r="BK116" s="15">
        <f>SUMIFS('BS-KH26-DongLam'!T$2:T$51,'BS-KH26-DongLam'!$A$2:$A$51,'Consol BS-DTRG'!$A116)</f>
        <v>47000000000</v>
      </c>
      <c r="BL116" s="15">
        <f>SUMIFS('BS-KH26-DongLam'!U$2:U$51,'BS-KH26-DongLam'!$A$2:$A$51,'Consol BS-DTRG'!$A116)</f>
        <v>47000000000</v>
      </c>
      <c r="BM116" s="15">
        <f>SUMIFS('BS-KH26-DongLam'!V$2:V$51,'BS-KH26-DongLam'!$A$2:$A$51,'Consol BS-DTRG'!$A116)</f>
        <v>47000000000</v>
      </c>
      <c r="BN116" s="15">
        <f>SUMIFS('BS-KH26-DongLam'!W$2:W$51,'BS-KH26-DongLam'!$A$2:$A$51,'Consol BS-DTRG'!$A116)</f>
        <v>47000000000</v>
      </c>
      <c r="BO116" s="15">
        <f>SUMIFS('BS-KH26-DongLam'!X$2:X$51,'BS-KH26-DongLam'!$A$2:$A$51,'Consol BS-DTRG'!$A116)</f>
        <v>47000000000</v>
      </c>
      <c r="BQ116" s="15">
        <f>SUMIFS('BS-KH26-KhanhNga'!M$2:M$51,'BS-KH26-KhanhNga'!$A$2:$A$51,'Consol BS-DTRG'!$A116)</f>
        <v>15000000000</v>
      </c>
      <c r="BR116" s="15">
        <f>SUMIFS('BS-KH26-KhanhNga'!N$2:N$51,'BS-KH26-KhanhNga'!$A$2:$A$51,'Consol BS-DTRG'!$A116)</f>
        <v>15000000000</v>
      </c>
      <c r="BS116" s="15">
        <f>SUMIFS('BS-KH26-KhanhNga'!O$2:O$51,'BS-KH26-KhanhNga'!$A$2:$A$51,'Consol BS-DTRG'!$A116)</f>
        <v>15000000000</v>
      </c>
      <c r="BT116" s="15">
        <f>SUMIFS('BS-KH26-KhanhNga'!P$2:P$51,'BS-KH26-KhanhNga'!$A$2:$A$51,'Consol BS-DTRG'!$A116)</f>
        <v>15000000000</v>
      </c>
      <c r="BU116" s="15">
        <f>SUMIFS('BS-KH26-KhanhNga'!Q$2:Q$51,'BS-KH26-KhanhNga'!$A$2:$A$51,'Consol BS-DTRG'!$A116)</f>
        <v>15000000000</v>
      </c>
      <c r="BV116" s="15">
        <f>SUMIFS('BS-KH26-KhanhNga'!R$2:R$51,'BS-KH26-KhanhNga'!$A$2:$A$51,'Consol BS-DTRG'!$A116)</f>
        <v>15000000000</v>
      </c>
      <c r="BW116" s="15">
        <f>SUMIFS('BS-KH26-KhanhNga'!S$2:S$51,'BS-KH26-KhanhNga'!$A$2:$A$51,'Consol BS-DTRG'!$A116)</f>
        <v>15000000000</v>
      </c>
      <c r="BX116" s="15">
        <f>SUMIFS('BS-KH26-KhanhNga'!T$2:T$51,'BS-KH26-KhanhNga'!$A$2:$A$51,'Consol BS-DTRG'!$A116)</f>
        <v>15000000000</v>
      </c>
      <c r="BY116" s="15">
        <f>SUMIFS('BS-KH26-KhanhNga'!U$2:U$51,'BS-KH26-KhanhNga'!$A$2:$A$51,'Consol BS-DTRG'!$A116)</f>
        <v>15000000000</v>
      </c>
      <c r="BZ116" s="15">
        <f>SUMIFS('BS-KH26-KhanhNga'!V$2:V$51,'BS-KH26-KhanhNga'!$A$2:$A$51,'Consol BS-DTRG'!$A116)</f>
        <v>15000000000</v>
      </c>
      <c r="CA116" s="15">
        <f>SUMIFS('BS-KH26-KhanhNga'!W$2:W$51,'BS-KH26-KhanhNga'!$A$2:$A$51,'Consol BS-DTRG'!$A116)</f>
        <v>15000000000</v>
      </c>
      <c r="CB116" s="15">
        <f>SUMIFS('BS-KH26-KhanhNga'!X$2:X$51,'BS-KH26-KhanhNga'!$A$2:$A$51,'Consol BS-DTRG'!$A116)</f>
        <v>15000000000</v>
      </c>
      <c r="CD116" s="15">
        <f>SUMIFS('BS-KH26-DaiLoc'!M$2:M$51,'BS-KH26-DaiLoc'!$A$2:$A$51,'Consol BS-DTRG'!$A116)</f>
        <v>40000000000</v>
      </c>
      <c r="CE116" s="15">
        <f>SUMIFS('BS-KH26-DaiLoc'!N$2:N$51,'BS-KH26-DaiLoc'!$A$2:$A$51,'Consol BS-DTRG'!$A116)</f>
        <v>40000000000</v>
      </c>
      <c r="CF116" s="15">
        <f>SUMIFS('BS-KH26-DaiLoc'!O$2:O$51,'BS-KH26-DaiLoc'!$A$2:$A$51,'Consol BS-DTRG'!$A116)</f>
        <v>40000000000</v>
      </c>
      <c r="CG116" s="15">
        <f>SUMIFS('BS-KH26-DaiLoc'!P$2:P$51,'BS-KH26-DaiLoc'!$A$2:$A$51,'Consol BS-DTRG'!$A116)</f>
        <v>40000000000</v>
      </c>
      <c r="CH116" s="15">
        <f>SUMIFS('BS-KH26-DaiLoc'!Q$2:Q$51,'BS-KH26-DaiLoc'!$A$2:$A$51,'Consol BS-DTRG'!$A116)</f>
        <v>40000000000</v>
      </c>
      <c r="CI116" s="15">
        <f>SUMIFS('BS-KH26-DaiLoc'!R$2:R$51,'BS-KH26-DaiLoc'!$A$2:$A$51,'Consol BS-DTRG'!$A116)</f>
        <v>40000000000</v>
      </c>
      <c r="CJ116" s="15">
        <f>SUMIFS('BS-KH26-DaiLoc'!S$2:S$51,'BS-KH26-DaiLoc'!$A$2:$A$51,'Consol BS-DTRG'!$A116)</f>
        <v>40000000000</v>
      </c>
      <c r="CK116" s="15">
        <f>SUMIFS('BS-KH26-DaiLoc'!T$2:T$51,'BS-KH26-DaiLoc'!$A$2:$A$51,'Consol BS-DTRG'!$A116)</f>
        <v>40000000000</v>
      </c>
      <c r="CL116" s="15">
        <f>SUMIFS('BS-KH26-DaiLoc'!U$2:U$51,'BS-KH26-DaiLoc'!$A$2:$A$51,'Consol BS-DTRG'!$A116)</f>
        <v>40000000000</v>
      </c>
      <c r="CM116" s="15">
        <f>SUMIFS('BS-KH26-DaiLoc'!V$2:V$51,'BS-KH26-DaiLoc'!$A$2:$A$51,'Consol BS-DTRG'!$A116)</f>
        <v>40000000000</v>
      </c>
      <c r="CN116" s="15">
        <f>SUMIFS('BS-KH26-DaiLoc'!W$2:W$51,'BS-KH26-DaiLoc'!$A$2:$A$51,'Consol BS-DTRG'!$A116)</f>
        <v>40000000000</v>
      </c>
      <c r="CO116" s="15">
        <f>SUMIFS('BS-KH26-DaiLoc'!X$2:X$51,'BS-KH26-DaiLoc'!$A$2:$A$51,'Consol BS-DTRG'!$A116)</f>
        <v>40000000000</v>
      </c>
      <c r="CQ116" s="15">
        <v>20000000000</v>
      </c>
      <c r="CR116" s="15">
        <f t="shared" ref="CR116:DB125" si="746">CQ116</f>
        <v>20000000000</v>
      </c>
      <c r="CS116" s="15">
        <f t="shared" si="746"/>
        <v>20000000000</v>
      </c>
      <c r="CT116" s="15">
        <f t="shared" si="746"/>
        <v>20000000000</v>
      </c>
      <c r="CU116" s="15">
        <f t="shared" si="746"/>
        <v>20000000000</v>
      </c>
      <c r="CV116" s="15">
        <f t="shared" si="746"/>
        <v>20000000000</v>
      </c>
      <c r="CW116" s="15">
        <f t="shared" si="746"/>
        <v>20000000000</v>
      </c>
      <c r="CX116" s="15">
        <f t="shared" si="746"/>
        <v>20000000000</v>
      </c>
      <c r="CY116" s="15">
        <f t="shared" si="746"/>
        <v>20000000000</v>
      </c>
      <c r="CZ116" s="15">
        <f t="shared" si="746"/>
        <v>20000000000</v>
      </c>
      <c r="DA116" s="15">
        <f t="shared" si="746"/>
        <v>20000000000</v>
      </c>
      <c r="DB116" s="15">
        <f t="shared" si="746"/>
        <v>20000000000</v>
      </c>
    </row>
    <row r="117" spans="1:106" outlineLevel="2">
      <c r="A117" s="633">
        <v>114</v>
      </c>
      <c r="B117" s="625" t="s">
        <v>366</v>
      </c>
      <c r="C117" t="s">
        <v>518</v>
      </c>
      <c r="D117" s="15">
        <f t="shared" si="722"/>
        <v>0</v>
      </c>
      <c r="E117" s="15">
        <f t="shared" si="723"/>
        <v>0</v>
      </c>
      <c r="F117" s="15">
        <f t="shared" si="724"/>
        <v>0</v>
      </c>
      <c r="G117" s="15">
        <f t="shared" si="725"/>
        <v>0</v>
      </c>
      <c r="H117" s="15">
        <f t="shared" si="726"/>
        <v>0</v>
      </c>
      <c r="I117" s="15">
        <f t="shared" si="727"/>
        <v>0</v>
      </c>
      <c r="J117" s="15">
        <f t="shared" si="728"/>
        <v>0</v>
      </c>
      <c r="K117" s="15">
        <f t="shared" si="729"/>
        <v>0</v>
      </c>
      <c r="L117" s="15">
        <f t="shared" si="730"/>
        <v>0</v>
      </c>
      <c r="M117" s="15">
        <f t="shared" si="731"/>
        <v>0</v>
      </c>
      <c r="N117" s="15">
        <f t="shared" si="732"/>
        <v>0</v>
      </c>
      <c r="O117" s="15">
        <f t="shared" si="733"/>
        <v>0</v>
      </c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D117" s="646">
        <f t="shared" si="734"/>
        <v>0</v>
      </c>
      <c r="AE117" s="15">
        <f t="shared" si="735"/>
        <v>0</v>
      </c>
      <c r="AF117" s="15">
        <f t="shared" si="736"/>
        <v>0</v>
      </c>
      <c r="AG117" s="15">
        <f t="shared" si="737"/>
        <v>0</v>
      </c>
      <c r="AH117" s="15">
        <f t="shared" si="738"/>
        <v>0</v>
      </c>
      <c r="AI117" s="15">
        <f t="shared" si="739"/>
        <v>0</v>
      </c>
      <c r="AJ117" s="15">
        <f t="shared" si="740"/>
        <v>0</v>
      </c>
      <c r="AK117" s="15">
        <f t="shared" si="741"/>
        <v>0</v>
      </c>
      <c r="AL117" s="15">
        <f t="shared" si="742"/>
        <v>0</v>
      </c>
      <c r="AM117" s="15">
        <f t="shared" si="743"/>
        <v>0</v>
      </c>
      <c r="AN117" s="15">
        <f t="shared" si="744"/>
        <v>0</v>
      </c>
      <c r="AO117" s="647">
        <f t="shared" si="745"/>
        <v>0</v>
      </c>
      <c r="AQ117" s="15">
        <f>SUMIFS('BS-KH26-DTR'!D$2:D$116,'BS-KH26-DTR'!$B$2:$B$116,$A117)</f>
        <v>0</v>
      </c>
      <c r="AR117" s="15">
        <f>SUMIFS('BS-KH26-DTR'!E$2:E$116,'BS-KH26-DTR'!$B$2:$B$116,$A117)</f>
        <v>0</v>
      </c>
      <c r="AS117" s="15">
        <f>SUMIFS('BS-KH26-DTR'!F$2:F$116,'BS-KH26-DTR'!$B$2:$B$116,$A117)</f>
        <v>0</v>
      </c>
      <c r="AT117" s="15">
        <f>SUMIFS('BS-KH26-DTR'!G$2:G$116,'BS-KH26-DTR'!$B$2:$B$116,$A117)</f>
        <v>0</v>
      </c>
      <c r="AU117" s="15">
        <f>SUMIFS('BS-KH26-DTR'!H$2:H$116,'BS-KH26-DTR'!$B$2:$B$116,$A117)</f>
        <v>0</v>
      </c>
      <c r="AV117" s="15">
        <f>SUMIFS('BS-KH26-DTR'!I$2:I$116,'BS-KH26-DTR'!$B$2:$B$116,$A117)</f>
        <v>0</v>
      </c>
      <c r="AW117" s="15">
        <f>SUMIFS('BS-KH26-DTR'!J$2:J$116,'BS-KH26-DTR'!$B$2:$B$116,$A117)</f>
        <v>0</v>
      </c>
      <c r="AX117" s="15">
        <f>SUMIFS('BS-KH26-DTR'!K$2:K$116,'BS-KH26-DTR'!$B$2:$B$116,$A117)</f>
        <v>0</v>
      </c>
      <c r="AY117" s="15">
        <f>SUMIFS('BS-KH26-DTR'!L$2:L$116,'BS-KH26-DTR'!$B$2:$B$116,$A117)</f>
        <v>0</v>
      </c>
      <c r="AZ117" s="15">
        <f>SUMIFS('BS-KH26-DTR'!M$2:M$116,'BS-KH26-DTR'!$B$2:$B$116,$A117)</f>
        <v>0</v>
      </c>
      <c r="BA117" s="15">
        <f>SUMIFS('BS-KH26-DTR'!N$2:N$116,'BS-KH26-DTR'!$B$2:$B$116,$A117)</f>
        <v>0</v>
      </c>
      <c r="BB117" s="15">
        <f>SUMIFS('BS-KH26-DTR'!O$2:O$116,'BS-KH26-DTR'!$B$2:$B$116,$A117)</f>
        <v>0</v>
      </c>
      <c r="BD117" s="15">
        <f>SUMIFS('BS-KH26-DongLam'!M$2:M$51,'BS-KH26-DongLam'!$A$2:$A$51,'Consol BS-DTRG'!$A117)</f>
        <v>0</v>
      </c>
      <c r="BE117" s="15">
        <f>SUMIFS('BS-KH26-DongLam'!N$2:N$51,'BS-KH26-DongLam'!$A$2:$A$51,'Consol BS-DTRG'!$A117)</f>
        <v>0</v>
      </c>
      <c r="BF117" s="15">
        <f>SUMIFS('BS-KH26-DongLam'!O$2:O$51,'BS-KH26-DongLam'!$A$2:$A$51,'Consol BS-DTRG'!$A117)</f>
        <v>0</v>
      </c>
      <c r="BG117" s="15">
        <f>SUMIFS('BS-KH26-DongLam'!P$2:P$51,'BS-KH26-DongLam'!$A$2:$A$51,'Consol BS-DTRG'!$A117)</f>
        <v>0</v>
      </c>
      <c r="BH117" s="15">
        <f>SUMIFS('BS-KH26-DongLam'!Q$2:Q$51,'BS-KH26-DongLam'!$A$2:$A$51,'Consol BS-DTRG'!$A117)</f>
        <v>0</v>
      </c>
      <c r="BI117" s="15">
        <f>SUMIFS('BS-KH26-DongLam'!R$2:R$51,'BS-KH26-DongLam'!$A$2:$A$51,'Consol BS-DTRG'!$A117)</f>
        <v>0</v>
      </c>
      <c r="BJ117" s="15">
        <f>SUMIFS('BS-KH26-DongLam'!S$2:S$51,'BS-KH26-DongLam'!$A$2:$A$51,'Consol BS-DTRG'!$A117)</f>
        <v>0</v>
      </c>
      <c r="BK117" s="15">
        <f>SUMIFS('BS-KH26-DongLam'!T$2:T$51,'BS-KH26-DongLam'!$A$2:$A$51,'Consol BS-DTRG'!$A117)</f>
        <v>0</v>
      </c>
      <c r="BL117" s="15">
        <f>SUMIFS('BS-KH26-DongLam'!U$2:U$51,'BS-KH26-DongLam'!$A$2:$A$51,'Consol BS-DTRG'!$A117)</f>
        <v>0</v>
      </c>
      <c r="BM117" s="15">
        <f>SUMIFS('BS-KH26-DongLam'!V$2:V$51,'BS-KH26-DongLam'!$A$2:$A$51,'Consol BS-DTRG'!$A117)</f>
        <v>0</v>
      </c>
      <c r="BN117" s="15">
        <f>SUMIFS('BS-KH26-DongLam'!W$2:W$51,'BS-KH26-DongLam'!$A$2:$A$51,'Consol BS-DTRG'!$A117)</f>
        <v>0</v>
      </c>
      <c r="BO117" s="15">
        <f>SUMIFS('BS-KH26-DongLam'!X$2:X$51,'BS-KH26-DongLam'!$A$2:$A$51,'Consol BS-DTRG'!$A117)</f>
        <v>0</v>
      </c>
      <c r="BQ117" s="15">
        <f>SUMIFS('BS-KH26-KhanhNga'!M$2:M$51,'BS-KH26-KhanhNga'!$A$2:$A$51,'Consol BS-DTRG'!$A117)</f>
        <v>0</v>
      </c>
      <c r="BR117" s="15">
        <f>SUMIFS('BS-KH26-KhanhNga'!N$2:N$51,'BS-KH26-KhanhNga'!$A$2:$A$51,'Consol BS-DTRG'!$A117)</f>
        <v>0</v>
      </c>
      <c r="BS117" s="15">
        <f>SUMIFS('BS-KH26-KhanhNga'!O$2:O$51,'BS-KH26-KhanhNga'!$A$2:$A$51,'Consol BS-DTRG'!$A117)</f>
        <v>0</v>
      </c>
      <c r="BT117" s="15">
        <f>SUMIFS('BS-KH26-KhanhNga'!P$2:P$51,'BS-KH26-KhanhNga'!$A$2:$A$51,'Consol BS-DTRG'!$A117)</f>
        <v>0</v>
      </c>
      <c r="BU117" s="15">
        <f>SUMIFS('BS-KH26-KhanhNga'!Q$2:Q$51,'BS-KH26-KhanhNga'!$A$2:$A$51,'Consol BS-DTRG'!$A117)</f>
        <v>0</v>
      </c>
      <c r="BV117" s="15">
        <f>SUMIFS('BS-KH26-KhanhNga'!R$2:R$51,'BS-KH26-KhanhNga'!$A$2:$A$51,'Consol BS-DTRG'!$A117)</f>
        <v>0</v>
      </c>
      <c r="BW117" s="15">
        <f>SUMIFS('BS-KH26-KhanhNga'!S$2:S$51,'BS-KH26-KhanhNga'!$A$2:$A$51,'Consol BS-DTRG'!$A117)</f>
        <v>0</v>
      </c>
      <c r="BX117" s="15">
        <f>SUMIFS('BS-KH26-KhanhNga'!T$2:T$51,'BS-KH26-KhanhNga'!$A$2:$A$51,'Consol BS-DTRG'!$A117)</f>
        <v>0</v>
      </c>
      <c r="BY117" s="15">
        <f>SUMIFS('BS-KH26-KhanhNga'!U$2:U$51,'BS-KH26-KhanhNga'!$A$2:$A$51,'Consol BS-DTRG'!$A117)</f>
        <v>0</v>
      </c>
      <c r="BZ117" s="15">
        <f>SUMIFS('BS-KH26-KhanhNga'!V$2:V$51,'BS-KH26-KhanhNga'!$A$2:$A$51,'Consol BS-DTRG'!$A117)</f>
        <v>0</v>
      </c>
      <c r="CA117" s="15">
        <f>SUMIFS('BS-KH26-KhanhNga'!W$2:W$51,'BS-KH26-KhanhNga'!$A$2:$A$51,'Consol BS-DTRG'!$A117)</f>
        <v>0</v>
      </c>
      <c r="CB117" s="15">
        <f>SUMIFS('BS-KH26-KhanhNga'!X$2:X$51,'BS-KH26-KhanhNga'!$A$2:$A$51,'Consol BS-DTRG'!$A117)</f>
        <v>0</v>
      </c>
      <c r="CD117" s="15">
        <f>SUMIFS('BS-KH26-DaiLoc'!M$2:M$51,'BS-KH26-DaiLoc'!$A$2:$A$51,'Consol BS-DTRG'!$A117)</f>
        <v>0</v>
      </c>
      <c r="CE117" s="15">
        <f>SUMIFS('BS-KH26-DaiLoc'!N$2:N$51,'BS-KH26-DaiLoc'!$A$2:$A$51,'Consol BS-DTRG'!$A117)</f>
        <v>0</v>
      </c>
      <c r="CF117" s="15">
        <f>SUMIFS('BS-KH26-DaiLoc'!O$2:O$51,'BS-KH26-DaiLoc'!$A$2:$A$51,'Consol BS-DTRG'!$A117)</f>
        <v>0</v>
      </c>
      <c r="CG117" s="15">
        <f>SUMIFS('BS-KH26-DaiLoc'!P$2:P$51,'BS-KH26-DaiLoc'!$A$2:$A$51,'Consol BS-DTRG'!$A117)</f>
        <v>0</v>
      </c>
      <c r="CH117" s="15">
        <f>SUMIFS('BS-KH26-DaiLoc'!Q$2:Q$51,'BS-KH26-DaiLoc'!$A$2:$A$51,'Consol BS-DTRG'!$A117)</f>
        <v>0</v>
      </c>
      <c r="CI117" s="15">
        <f>SUMIFS('BS-KH26-DaiLoc'!R$2:R$51,'BS-KH26-DaiLoc'!$A$2:$A$51,'Consol BS-DTRG'!$A117)</f>
        <v>0</v>
      </c>
      <c r="CJ117" s="15">
        <f>SUMIFS('BS-KH26-DaiLoc'!S$2:S$51,'BS-KH26-DaiLoc'!$A$2:$A$51,'Consol BS-DTRG'!$A117)</f>
        <v>0</v>
      </c>
      <c r="CK117" s="15">
        <f>SUMIFS('BS-KH26-DaiLoc'!T$2:T$51,'BS-KH26-DaiLoc'!$A$2:$A$51,'Consol BS-DTRG'!$A117)</f>
        <v>0</v>
      </c>
      <c r="CL117" s="15">
        <f>SUMIFS('BS-KH26-DaiLoc'!U$2:U$51,'BS-KH26-DaiLoc'!$A$2:$A$51,'Consol BS-DTRG'!$A117)</f>
        <v>0</v>
      </c>
      <c r="CM117" s="15">
        <f>SUMIFS('BS-KH26-DaiLoc'!V$2:V$51,'BS-KH26-DaiLoc'!$A$2:$A$51,'Consol BS-DTRG'!$A117)</f>
        <v>0</v>
      </c>
      <c r="CN117" s="15">
        <f>SUMIFS('BS-KH26-DaiLoc'!W$2:W$51,'BS-KH26-DaiLoc'!$A$2:$A$51,'Consol BS-DTRG'!$A117)</f>
        <v>0</v>
      </c>
      <c r="CO117" s="15">
        <f>SUMIFS('BS-KH26-DaiLoc'!X$2:X$51,'BS-KH26-DaiLoc'!$A$2:$A$51,'Consol BS-DTRG'!$A117)</f>
        <v>0</v>
      </c>
      <c r="CQ117" s="15">
        <v>0</v>
      </c>
      <c r="CR117" s="15">
        <f t="shared" si="746"/>
        <v>0</v>
      </c>
      <c r="CS117" s="15">
        <f t="shared" si="746"/>
        <v>0</v>
      </c>
      <c r="CT117" s="15">
        <f t="shared" si="746"/>
        <v>0</v>
      </c>
      <c r="CU117" s="15">
        <f t="shared" si="746"/>
        <v>0</v>
      </c>
      <c r="CV117" s="15">
        <f t="shared" si="746"/>
        <v>0</v>
      </c>
      <c r="CW117" s="15">
        <f t="shared" si="746"/>
        <v>0</v>
      </c>
      <c r="CX117" s="15">
        <f t="shared" si="746"/>
        <v>0</v>
      </c>
      <c r="CY117" s="15">
        <f t="shared" si="746"/>
        <v>0</v>
      </c>
      <c r="CZ117" s="15">
        <f t="shared" si="746"/>
        <v>0</v>
      </c>
      <c r="DA117" s="15">
        <f t="shared" si="746"/>
        <v>0</v>
      </c>
      <c r="DB117" s="15">
        <f t="shared" si="746"/>
        <v>0</v>
      </c>
    </row>
    <row r="118" spans="1:106" outlineLevel="1">
      <c r="A118" s="633">
        <v>115</v>
      </c>
      <c r="B118" s="625" t="s">
        <v>367</v>
      </c>
      <c r="C118" t="s">
        <v>518</v>
      </c>
      <c r="D118" s="15">
        <f t="shared" si="722"/>
        <v>0</v>
      </c>
      <c r="E118" s="15">
        <f t="shared" si="723"/>
        <v>0</v>
      </c>
      <c r="F118" s="15">
        <f t="shared" si="724"/>
        <v>0</v>
      </c>
      <c r="G118" s="15">
        <f t="shared" si="725"/>
        <v>0</v>
      </c>
      <c r="H118" s="15">
        <f t="shared" si="726"/>
        <v>0</v>
      </c>
      <c r="I118" s="15">
        <f t="shared" si="727"/>
        <v>0</v>
      </c>
      <c r="J118" s="15">
        <f t="shared" si="728"/>
        <v>0</v>
      </c>
      <c r="K118" s="15">
        <f t="shared" si="729"/>
        <v>0</v>
      </c>
      <c r="L118" s="15">
        <f t="shared" si="730"/>
        <v>0</v>
      </c>
      <c r="M118" s="15">
        <f t="shared" si="731"/>
        <v>0</v>
      </c>
      <c r="N118" s="15">
        <f t="shared" si="732"/>
        <v>0</v>
      </c>
      <c r="O118" s="15">
        <f t="shared" si="733"/>
        <v>0</v>
      </c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D118" s="646">
        <f t="shared" si="734"/>
        <v>0</v>
      </c>
      <c r="AE118" s="15">
        <f t="shared" si="735"/>
        <v>0</v>
      </c>
      <c r="AF118" s="15">
        <f t="shared" si="736"/>
        <v>0</v>
      </c>
      <c r="AG118" s="15">
        <f t="shared" si="737"/>
        <v>0</v>
      </c>
      <c r="AH118" s="15">
        <f t="shared" si="738"/>
        <v>0</v>
      </c>
      <c r="AI118" s="15">
        <f t="shared" si="739"/>
        <v>0</v>
      </c>
      <c r="AJ118" s="15">
        <f t="shared" si="740"/>
        <v>0</v>
      </c>
      <c r="AK118" s="15">
        <f t="shared" si="741"/>
        <v>0</v>
      </c>
      <c r="AL118" s="15">
        <f t="shared" si="742"/>
        <v>0</v>
      </c>
      <c r="AM118" s="15">
        <f t="shared" si="743"/>
        <v>0</v>
      </c>
      <c r="AN118" s="15">
        <f t="shared" si="744"/>
        <v>0</v>
      </c>
      <c r="AO118" s="647">
        <f t="shared" si="745"/>
        <v>0</v>
      </c>
      <c r="AQ118" s="15">
        <f>SUMIFS('BS-KH26-DTR'!D$2:D$116,'BS-KH26-DTR'!$B$2:$B$116,$A118)</f>
        <v>0</v>
      </c>
      <c r="AR118" s="15">
        <f>SUMIFS('BS-KH26-DTR'!E$2:E$116,'BS-KH26-DTR'!$B$2:$B$116,$A118)</f>
        <v>0</v>
      </c>
      <c r="AS118" s="15">
        <f>SUMIFS('BS-KH26-DTR'!F$2:F$116,'BS-KH26-DTR'!$B$2:$B$116,$A118)</f>
        <v>0</v>
      </c>
      <c r="AT118" s="15">
        <f>SUMIFS('BS-KH26-DTR'!G$2:G$116,'BS-KH26-DTR'!$B$2:$B$116,$A118)</f>
        <v>0</v>
      </c>
      <c r="AU118" s="15">
        <f>SUMIFS('BS-KH26-DTR'!H$2:H$116,'BS-KH26-DTR'!$B$2:$B$116,$A118)</f>
        <v>0</v>
      </c>
      <c r="AV118" s="15">
        <f>SUMIFS('BS-KH26-DTR'!I$2:I$116,'BS-KH26-DTR'!$B$2:$B$116,$A118)</f>
        <v>0</v>
      </c>
      <c r="AW118" s="15">
        <f>SUMIFS('BS-KH26-DTR'!J$2:J$116,'BS-KH26-DTR'!$B$2:$B$116,$A118)</f>
        <v>0</v>
      </c>
      <c r="AX118" s="15">
        <f>SUMIFS('BS-KH26-DTR'!K$2:K$116,'BS-KH26-DTR'!$B$2:$B$116,$A118)</f>
        <v>0</v>
      </c>
      <c r="AY118" s="15">
        <f>SUMIFS('BS-KH26-DTR'!L$2:L$116,'BS-KH26-DTR'!$B$2:$B$116,$A118)</f>
        <v>0</v>
      </c>
      <c r="AZ118" s="15">
        <f>SUMIFS('BS-KH26-DTR'!M$2:M$116,'BS-KH26-DTR'!$B$2:$B$116,$A118)</f>
        <v>0</v>
      </c>
      <c r="BA118" s="15">
        <f>SUMIFS('BS-KH26-DTR'!N$2:N$116,'BS-KH26-DTR'!$B$2:$B$116,$A118)</f>
        <v>0</v>
      </c>
      <c r="BB118" s="15">
        <f>SUMIFS('BS-KH26-DTR'!O$2:O$116,'BS-KH26-DTR'!$B$2:$B$116,$A118)</f>
        <v>0</v>
      </c>
      <c r="BD118" s="15">
        <f>SUMIFS('BS-KH26-DongLam'!M$2:M$51,'BS-KH26-DongLam'!$A$2:$A$51,'Consol BS-DTRG'!$A118)</f>
        <v>0</v>
      </c>
      <c r="BE118" s="15">
        <f>SUMIFS('BS-KH26-DongLam'!N$2:N$51,'BS-KH26-DongLam'!$A$2:$A$51,'Consol BS-DTRG'!$A118)</f>
        <v>0</v>
      </c>
      <c r="BF118" s="15">
        <f>SUMIFS('BS-KH26-DongLam'!O$2:O$51,'BS-KH26-DongLam'!$A$2:$A$51,'Consol BS-DTRG'!$A118)</f>
        <v>0</v>
      </c>
      <c r="BG118" s="15">
        <f>SUMIFS('BS-KH26-DongLam'!P$2:P$51,'BS-KH26-DongLam'!$A$2:$A$51,'Consol BS-DTRG'!$A118)</f>
        <v>0</v>
      </c>
      <c r="BH118" s="15">
        <f>SUMIFS('BS-KH26-DongLam'!Q$2:Q$51,'BS-KH26-DongLam'!$A$2:$A$51,'Consol BS-DTRG'!$A118)</f>
        <v>0</v>
      </c>
      <c r="BI118" s="15">
        <f>SUMIFS('BS-KH26-DongLam'!R$2:R$51,'BS-KH26-DongLam'!$A$2:$A$51,'Consol BS-DTRG'!$A118)</f>
        <v>0</v>
      </c>
      <c r="BJ118" s="15">
        <f>SUMIFS('BS-KH26-DongLam'!S$2:S$51,'BS-KH26-DongLam'!$A$2:$A$51,'Consol BS-DTRG'!$A118)</f>
        <v>0</v>
      </c>
      <c r="BK118" s="15">
        <f>SUMIFS('BS-KH26-DongLam'!T$2:T$51,'BS-KH26-DongLam'!$A$2:$A$51,'Consol BS-DTRG'!$A118)</f>
        <v>0</v>
      </c>
      <c r="BL118" s="15">
        <f>SUMIFS('BS-KH26-DongLam'!U$2:U$51,'BS-KH26-DongLam'!$A$2:$A$51,'Consol BS-DTRG'!$A118)</f>
        <v>0</v>
      </c>
      <c r="BM118" s="15">
        <f>SUMIFS('BS-KH26-DongLam'!V$2:V$51,'BS-KH26-DongLam'!$A$2:$A$51,'Consol BS-DTRG'!$A118)</f>
        <v>0</v>
      </c>
      <c r="BN118" s="15">
        <f>SUMIFS('BS-KH26-DongLam'!W$2:W$51,'BS-KH26-DongLam'!$A$2:$A$51,'Consol BS-DTRG'!$A118)</f>
        <v>0</v>
      </c>
      <c r="BO118" s="15">
        <f>SUMIFS('BS-KH26-DongLam'!X$2:X$51,'BS-KH26-DongLam'!$A$2:$A$51,'Consol BS-DTRG'!$A118)</f>
        <v>0</v>
      </c>
      <c r="BQ118" s="15">
        <f>SUMIFS('BS-KH26-KhanhNga'!M$2:M$51,'BS-KH26-KhanhNga'!$A$2:$A$51,'Consol BS-DTRG'!$A118)</f>
        <v>0</v>
      </c>
      <c r="BR118" s="15">
        <f>SUMIFS('BS-KH26-KhanhNga'!N$2:N$51,'BS-KH26-KhanhNga'!$A$2:$A$51,'Consol BS-DTRG'!$A118)</f>
        <v>0</v>
      </c>
      <c r="BS118" s="15">
        <f>SUMIFS('BS-KH26-KhanhNga'!O$2:O$51,'BS-KH26-KhanhNga'!$A$2:$A$51,'Consol BS-DTRG'!$A118)</f>
        <v>0</v>
      </c>
      <c r="BT118" s="15">
        <f>SUMIFS('BS-KH26-KhanhNga'!P$2:P$51,'BS-KH26-KhanhNga'!$A$2:$A$51,'Consol BS-DTRG'!$A118)</f>
        <v>0</v>
      </c>
      <c r="BU118" s="15">
        <f>SUMIFS('BS-KH26-KhanhNga'!Q$2:Q$51,'BS-KH26-KhanhNga'!$A$2:$A$51,'Consol BS-DTRG'!$A118)</f>
        <v>0</v>
      </c>
      <c r="BV118" s="15">
        <f>SUMIFS('BS-KH26-KhanhNga'!R$2:R$51,'BS-KH26-KhanhNga'!$A$2:$A$51,'Consol BS-DTRG'!$A118)</f>
        <v>0</v>
      </c>
      <c r="BW118" s="15">
        <f>SUMIFS('BS-KH26-KhanhNga'!S$2:S$51,'BS-KH26-KhanhNga'!$A$2:$A$51,'Consol BS-DTRG'!$A118)</f>
        <v>0</v>
      </c>
      <c r="BX118" s="15">
        <f>SUMIFS('BS-KH26-KhanhNga'!T$2:T$51,'BS-KH26-KhanhNga'!$A$2:$A$51,'Consol BS-DTRG'!$A118)</f>
        <v>0</v>
      </c>
      <c r="BY118" s="15">
        <f>SUMIFS('BS-KH26-KhanhNga'!U$2:U$51,'BS-KH26-KhanhNga'!$A$2:$A$51,'Consol BS-DTRG'!$A118)</f>
        <v>0</v>
      </c>
      <c r="BZ118" s="15">
        <f>SUMIFS('BS-KH26-KhanhNga'!V$2:V$51,'BS-KH26-KhanhNga'!$A$2:$A$51,'Consol BS-DTRG'!$A118)</f>
        <v>0</v>
      </c>
      <c r="CA118" s="15">
        <f>SUMIFS('BS-KH26-KhanhNga'!W$2:W$51,'BS-KH26-KhanhNga'!$A$2:$A$51,'Consol BS-DTRG'!$A118)</f>
        <v>0</v>
      </c>
      <c r="CB118" s="15">
        <f>SUMIFS('BS-KH26-KhanhNga'!X$2:X$51,'BS-KH26-KhanhNga'!$A$2:$A$51,'Consol BS-DTRG'!$A118)</f>
        <v>0</v>
      </c>
      <c r="CD118" s="15">
        <f>SUMIFS('BS-KH26-DaiLoc'!M$2:M$51,'BS-KH26-DaiLoc'!$A$2:$A$51,'Consol BS-DTRG'!$A118)</f>
        <v>0</v>
      </c>
      <c r="CE118" s="15">
        <f>SUMIFS('BS-KH26-DaiLoc'!N$2:N$51,'BS-KH26-DaiLoc'!$A$2:$A$51,'Consol BS-DTRG'!$A118)</f>
        <v>0</v>
      </c>
      <c r="CF118" s="15">
        <f>SUMIFS('BS-KH26-DaiLoc'!O$2:O$51,'BS-KH26-DaiLoc'!$A$2:$A$51,'Consol BS-DTRG'!$A118)</f>
        <v>0</v>
      </c>
      <c r="CG118" s="15">
        <f>SUMIFS('BS-KH26-DaiLoc'!P$2:P$51,'BS-KH26-DaiLoc'!$A$2:$A$51,'Consol BS-DTRG'!$A118)</f>
        <v>0</v>
      </c>
      <c r="CH118" s="15">
        <f>SUMIFS('BS-KH26-DaiLoc'!Q$2:Q$51,'BS-KH26-DaiLoc'!$A$2:$A$51,'Consol BS-DTRG'!$A118)</f>
        <v>0</v>
      </c>
      <c r="CI118" s="15">
        <f>SUMIFS('BS-KH26-DaiLoc'!R$2:R$51,'BS-KH26-DaiLoc'!$A$2:$A$51,'Consol BS-DTRG'!$A118)</f>
        <v>0</v>
      </c>
      <c r="CJ118" s="15">
        <f>SUMIFS('BS-KH26-DaiLoc'!S$2:S$51,'BS-KH26-DaiLoc'!$A$2:$A$51,'Consol BS-DTRG'!$A118)</f>
        <v>0</v>
      </c>
      <c r="CK118" s="15">
        <f>SUMIFS('BS-KH26-DaiLoc'!T$2:T$51,'BS-KH26-DaiLoc'!$A$2:$A$51,'Consol BS-DTRG'!$A118)</f>
        <v>0</v>
      </c>
      <c r="CL118" s="15">
        <f>SUMIFS('BS-KH26-DaiLoc'!U$2:U$51,'BS-KH26-DaiLoc'!$A$2:$A$51,'Consol BS-DTRG'!$A118)</f>
        <v>0</v>
      </c>
      <c r="CM118" s="15">
        <f>SUMIFS('BS-KH26-DaiLoc'!V$2:V$51,'BS-KH26-DaiLoc'!$A$2:$A$51,'Consol BS-DTRG'!$A118)</f>
        <v>0</v>
      </c>
      <c r="CN118" s="15">
        <f>SUMIFS('BS-KH26-DaiLoc'!W$2:W$51,'BS-KH26-DaiLoc'!$A$2:$A$51,'Consol BS-DTRG'!$A118)</f>
        <v>0</v>
      </c>
      <c r="CO118" s="15">
        <f>SUMIFS('BS-KH26-DaiLoc'!X$2:X$51,'BS-KH26-DaiLoc'!$A$2:$A$51,'Consol BS-DTRG'!$A118)</f>
        <v>0</v>
      </c>
      <c r="CQ118" s="15">
        <v>0</v>
      </c>
      <c r="CR118" s="15">
        <f t="shared" si="746"/>
        <v>0</v>
      </c>
      <c r="CS118" s="15">
        <f t="shared" si="746"/>
        <v>0</v>
      </c>
      <c r="CT118" s="15">
        <f t="shared" si="746"/>
        <v>0</v>
      </c>
      <c r="CU118" s="15">
        <f t="shared" si="746"/>
        <v>0</v>
      </c>
      <c r="CV118" s="15">
        <f t="shared" si="746"/>
        <v>0</v>
      </c>
      <c r="CW118" s="15">
        <f t="shared" si="746"/>
        <v>0</v>
      </c>
      <c r="CX118" s="15">
        <f t="shared" si="746"/>
        <v>0</v>
      </c>
      <c r="CY118" s="15">
        <f t="shared" si="746"/>
        <v>0</v>
      </c>
      <c r="CZ118" s="15">
        <f t="shared" si="746"/>
        <v>0</v>
      </c>
      <c r="DA118" s="15">
        <f t="shared" si="746"/>
        <v>0</v>
      </c>
      <c r="DB118" s="15">
        <f t="shared" si="746"/>
        <v>0</v>
      </c>
    </row>
    <row r="119" spans="1:106" outlineLevel="1">
      <c r="A119" s="633">
        <v>116</v>
      </c>
      <c r="B119" s="625" t="s">
        <v>368</v>
      </c>
      <c r="C119" t="s">
        <v>518</v>
      </c>
      <c r="D119" s="15">
        <f t="shared" si="722"/>
        <v>0</v>
      </c>
      <c r="E119" s="15">
        <f t="shared" si="723"/>
        <v>0</v>
      </c>
      <c r="F119" s="15">
        <f t="shared" si="724"/>
        <v>0</v>
      </c>
      <c r="G119" s="15">
        <f t="shared" si="725"/>
        <v>0</v>
      </c>
      <c r="H119" s="15">
        <f t="shared" si="726"/>
        <v>0</v>
      </c>
      <c r="I119" s="15">
        <f t="shared" si="727"/>
        <v>0</v>
      </c>
      <c r="J119" s="15">
        <f t="shared" si="728"/>
        <v>0</v>
      </c>
      <c r="K119" s="15">
        <f t="shared" si="729"/>
        <v>0</v>
      </c>
      <c r="L119" s="15">
        <f t="shared" si="730"/>
        <v>0</v>
      </c>
      <c r="M119" s="15">
        <f t="shared" si="731"/>
        <v>0</v>
      </c>
      <c r="N119" s="15">
        <f t="shared" si="732"/>
        <v>0</v>
      </c>
      <c r="O119" s="15">
        <f t="shared" si="733"/>
        <v>0</v>
      </c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D119" s="646">
        <f t="shared" si="734"/>
        <v>0</v>
      </c>
      <c r="AE119" s="15">
        <f t="shared" si="735"/>
        <v>0</v>
      </c>
      <c r="AF119" s="15">
        <f t="shared" si="736"/>
        <v>0</v>
      </c>
      <c r="AG119" s="15">
        <f t="shared" si="737"/>
        <v>0</v>
      </c>
      <c r="AH119" s="15">
        <f t="shared" si="738"/>
        <v>0</v>
      </c>
      <c r="AI119" s="15">
        <f t="shared" si="739"/>
        <v>0</v>
      </c>
      <c r="AJ119" s="15">
        <f t="shared" si="740"/>
        <v>0</v>
      </c>
      <c r="AK119" s="15">
        <f t="shared" si="741"/>
        <v>0</v>
      </c>
      <c r="AL119" s="15">
        <f t="shared" si="742"/>
        <v>0</v>
      </c>
      <c r="AM119" s="15">
        <f t="shared" si="743"/>
        <v>0</v>
      </c>
      <c r="AN119" s="15">
        <f t="shared" si="744"/>
        <v>0</v>
      </c>
      <c r="AO119" s="647">
        <f t="shared" si="745"/>
        <v>0</v>
      </c>
      <c r="AQ119" s="15">
        <f>SUMIFS('BS-KH26-DTR'!D$2:D$116,'BS-KH26-DTR'!$B$2:$B$116,$A119)</f>
        <v>0</v>
      </c>
      <c r="AR119" s="15">
        <f>SUMIFS('BS-KH26-DTR'!E$2:E$116,'BS-KH26-DTR'!$B$2:$B$116,$A119)</f>
        <v>0</v>
      </c>
      <c r="AS119" s="15">
        <f>SUMIFS('BS-KH26-DTR'!F$2:F$116,'BS-KH26-DTR'!$B$2:$B$116,$A119)</f>
        <v>0</v>
      </c>
      <c r="AT119" s="15">
        <f>SUMIFS('BS-KH26-DTR'!G$2:G$116,'BS-KH26-DTR'!$B$2:$B$116,$A119)</f>
        <v>0</v>
      </c>
      <c r="AU119" s="15">
        <f>SUMIFS('BS-KH26-DTR'!H$2:H$116,'BS-KH26-DTR'!$B$2:$B$116,$A119)</f>
        <v>0</v>
      </c>
      <c r="AV119" s="15">
        <f>SUMIFS('BS-KH26-DTR'!I$2:I$116,'BS-KH26-DTR'!$B$2:$B$116,$A119)</f>
        <v>0</v>
      </c>
      <c r="AW119" s="15">
        <f>SUMIFS('BS-KH26-DTR'!J$2:J$116,'BS-KH26-DTR'!$B$2:$B$116,$A119)</f>
        <v>0</v>
      </c>
      <c r="AX119" s="15">
        <f>SUMIFS('BS-KH26-DTR'!K$2:K$116,'BS-KH26-DTR'!$B$2:$B$116,$A119)</f>
        <v>0</v>
      </c>
      <c r="AY119" s="15">
        <f>SUMIFS('BS-KH26-DTR'!L$2:L$116,'BS-KH26-DTR'!$B$2:$B$116,$A119)</f>
        <v>0</v>
      </c>
      <c r="AZ119" s="15">
        <f>SUMIFS('BS-KH26-DTR'!M$2:M$116,'BS-KH26-DTR'!$B$2:$B$116,$A119)</f>
        <v>0</v>
      </c>
      <c r="BA119" s="15">
        <f>SUMIFS('BS-KH26-DTR'!N$2:N$116,'BS-KH26-DTR'!$B$2:$B$116,$A119)</f>
        <v>0</v>
      </c>
      <c r="BB119" s="15">
        <f>SUMIFS('BS-KH26-DTR'!O$2:O$116,'BS-KH26-DTR'!$B$2:$B$116,$A119)</f>
        <v>0</v>
      </c>
      <c r="BD119" s="15">
        <f>SUMIFS('BS-KH26-DongLam'!M$2:M$51,'BS-KH26-DongLam'!$A$2:$A$51,'Consol BS-DTRG'!$A119)</f>
        <v>0</v>
      </c>
      <c r="BE119" s="15">
        <f>SUMIFS('BS-KH26-DongLam'!N$2:N$51,'BS-KH26-DongLam'!$A$2:$A$51,'Consol BS-DTRG'!$A119)</f>
        <v>0</v>
      </c>
      <c r="BF119" s="15">
        <f>SUMIFS('BS-KH26-DongLam'!O$2:O$51,'BS-KH26-DongLam'!$A$2:$A$51,'Consol BS-DTRG'!$A119)</f>
        <v>0</v>
      </c>
      <c r="BG119" s="15">
        <f>SUMIFS('BS-KH26-DongLam'!P$2:P$51,'BS-KH26-DongLam'!$A$2:$A$51,'Consol BS-DTRG'!$A119)</f>
        <v>0</v>
      </c>
      <c r="BH119" s="15">
        <f>SUMIFS('BS-KH26-DongLam'!Q$2:Q$51,'BS-KH26-DongLam'!$A$2:$A$51,'Consol BS-DTRG'!$A119)</f>
        <v>0</v>
      </c>
      <c r="BI119" s="15">
        <f>SUMIFS('BS-KH26-DongLam'!R$2:R$51,'BS-KH26-DongLam'!$A$2:$A$51,'Consol BS-DTRG'!$A119)</f>
        <v>0</v>
      </c>
      <c r="BJ119" s="15">
        <f>SUMIFS('BS-KH26-DongLam'!S$2:S$51,'BS-KH26-DongLam'!$A$2:$A$51,'Consol BS-DTRG'!$A119)</f>
        <v>0</v>
      </c>
      <c r="BK119" s="15">
        <f>SUMIFS('BS-KH26-DongLam'!T$2:T$51,'BS-KH26-DongLam'!$A$2:$A$51,'Consol BS-DTRG'!$A119)</f>
        <v>0</v>
      </c>
      <c r="BL119" s="15">
        <f>SUMIFS('BS-KH26-DongLam'!U$2:U$51,'BS-KH26-DongLam'!$A$2:$A$51,'Consol BS-DTRG'!$A119)</f>
        <v>0</v>
      </c>
      <c r="BM119" s="15">
        <f>SUMIFS('BS-KH26-DongLam'!V$2:V$51,'BS-KH26-DongLam'!$A$2:$A$51,'Consol BS-DTRG'!$A119)</f>
        <v>0</v>
      </c>
      <c r="BN119" s="15">
        <f>SUMIFS('BS-KH26-DongLam'!W$2:W$51,'BS-KH26-DongLam'!$A$2:$A$51,'Consol BS-DTRG'!$A119)</f>
        <v>0</v>
      </c>
      <c r="BO119" s="15">
        <f>SUMIFS('BS-KH26-DongLam'!X$2:X$51,'BS-KH26-DongLam'!$A$2:$A$51,'Consol BS-DTRG'!$A119)</f>
        <v>0</v>
      </c>
      <c r="BQ119" s="15">
        <f>SUMIFS('BS-KH26-KhanhNga'!M$2:M$51,'BS-KH26-KhanhNga'!$A$2:$A$51,'Consol BS-DTRG'!$A119)</f>
        <v>0</v>
      </c>
      <c r="BR119" s="15">
        <f>SUMIFS('BS-KH26-KhanhNga'!N$2:N$51,'BS-KH26-KhanhNga'!$A$2:$A$51,'Consol BS-DTRG'!$A119)</f>
        <v>0</v>
      </c>
      <c r="BS119" s="15">
        <f>SUMIFS('BS-KH26-KhanhNga'!O$2:O$51,'BS-KH26-KhanhNga'!$A$2:$A$51,'Consol BS-DTRG'!$A119)</f>
        <v>0</v>
      </c>
      <c r="BT119" s="15">
        <f>SUMIFS('BS-KH26-KhanhNga'!P$2:P$51,'BS-KH26-KhanhNga'!$A$2:$A$51,'Consol BS-DTRG'!$A119)</f>
        <v>0</v>
      </c>
      <c r="BU119" s="15">
        <f>SUMIFS('BS-KH26-KhanhNga'!Q$2:Q$51,'BS-KH26-KhanhNga'!$A$2:$A$51,'Consol BS-DTRG'!$A119)</f>
        <v>0</v>
      </c>
      <c r="BV119" s="15">
        <f>SUMIFS('BS-KH26-KhanhNga'!R$2:R$51,'BS-KH26-KhanhNga'!$A$2:$A$51,'Consol BS-DTRG'!$A119)</f>
        <v>0</v>
      </c>
      <c r="BW119" s="15">
        <f>SUMIFS('BS-KH26-KhanhNga'!S$2:S$51,'BS-KH26-KhanhNga'!$A$2:$A$51,'Consol BS-DTRG'!$A119)</f>
        <v>0</v>
      </c>
      <c r="BX119" s="15">
        <f>SUMIFS('BS-KH26-KhanhNga'!T$2:T$51,'BS-KH26-KhanhNga'!$A$2:$A$51,'Consol BS-DTRG'!$A119)</f>
        <v>0</v>
      </c>
      <c r="BY119" s="15">
        <f>SUMIFS('BS-KH26-KhanhNga'!U$2:U$51,'BS-KH26-KhanhNga'!$A$2:$A$51,'Consol BS-DTRG'!$A119)</f>
        <v>0</v>
      </c>
      <c r="BZ119" s="15">
        <f>SUMIFS('BS-KH26-KhanhNga'!V$2:V$51,'BS-KH26-KhanhNga'!$A$2:$A$51,'Consol BS-DTRG'!$A119)</f>
        <v>0</v>
      </c>
      <c r="CA119" s="15">
        <f>SUMIFS('BS-KH26-KhanhNga'!W$2:W$51,'BS-KH26-KhanhNga'!$A$2:$A$51,'Consol BS-DTRG'!$A119)</f>
        <v>0</v>
      </c>
      <c r="CB119" s="15">
        <f>SUMIFS('BS-KH26-KhanhNga'!X$2:X$51,'BS-KH26-KhanhNga'!$A$2:$A$51,'Consol BS-DTRG'!$A119)</f>
        <v>0</v>
      </c>
      <c r="CD119" s="15">
        <f>SUMIFS('BS-KH26-DaiLoc'!M$2:M$51,'BS-KH26-DaiLoc'!$A$2:$A$51,'Consol BS-DTRG'!$A119)</f>
        <v>0</v>
      </c>
      <c r="CE119" s="15">
        <f>SUMIFS('BS-KH26-DaiLoc'!N$2:N$51,'BS-KH26-DaiLoc'!$A$2:$A$51,'Consol BS-DTRG'!$A119)</f>
        <v>0</v>
      </c>
      <c r="CF119" s="15">
        <f>SUMIFS('BS-KH26-DaiLoc'!O$2:O$51,'BS-KH26-DaiLoc'!$A$2:$A$51,'Consol BS-DTRG'!$A119)</f>
        <v>0</v>
      </c>
      <c r="CG119" s="15">
        <f>SUMIFS('BS-KH26-DaiLoc'!P$2:P$51,'BS-KH26-DaiLoc'!$A$2:$A$51,'Consol BS-DTRG'!$A119)</f>
        <v>0</v>
      </c>
      <c r="CH119" s="15">
        <f>SUMIFS('BS-KH26-DaiLoc'!Q$2:Q$51,'BS-KH26-DaiLoc'!$A$2:$A$51,'Consol BS-DTRG'!$A119)</f>
        <v>0</v>
      </c>
      <c r="CI119" s="15">
        <f>SUMIFS('BS-KH26-DaiLoc'!R$2:R$51,'BS-KH26-DaiLoc'!$A$2:$A$51,'Consol BS-DTRG'!$A119)</f>
        <v>0</v>
      </c>
      <c r="CJ119" s="15">
        <f>SUMIFS('BS-KH26-DaiLoc'!S$2:S$51,'BS-KH26-DaiLoc'!$A$2:$A$51,'Consol BS-DTRG'!$A119)</f>
        <v>0</v>
      </c>
      <c r="CK119" s="15">
        <f>SUMIFS('BS-KH26-DaiLoc'!T$2:T$51,'BS-KH26-DaiLoc'!$A$2:$A$51,'Consol BS-DTRG'!$A119)</f>
        <v>0</v>
      </c>
      <c r="CL119" s="15">
        <f>SUMIFS('BS-KH26-DaiLoc'!U$2:U$51,'BS-KH26-DaiLoc'!$A$2:$A$51,'Consol BS-DTRG'!$A119)</f>
        <v>0</v>
      </c>
      <c r="CM119" s="15">
        <f>SUMIFS('BS-KH26-DaiLoc'!V$2:V$51,'BS-KH26-DaiLoc'!$A$2:$A$51,'Consol BS-DTRG'!$A119)</f>
        <v>0</v>
      </c>
      <c r="CN119" s="15">
        <f>SUMIFS('BS-KH26-DaiLoc'!W$2:W$51,'BS-KH26-DaiLoc'!$A$2:$A$51,'Consol BS-DTRG'!$A119)</f>
        <v>0</v>
      </c>
      <c r="CO119" s="15">
        <f>SUMIFS('BS-KH26-DaiLoc'!X$2:X$51,'BS-KH26-DaiLoc'!$A$2:$A$51,'Consol BS-DTRG'!$A119)</f>
        <v>0</v>
      </c>
      <c r="CQ119" s="15">
        <v>0</v>
      </c>
      <c r="CR119" s="15">
        <f t="shared" si="746"/>
        <v>0</v>
      </c>
      <c r="CS119" s="15">
        <f t="shared" si="746"/>
        <v>0</v>
      </c>
      <c r="CT119" s="15">
        <f t="shared" si="746"/>
        <v>0</v>
      </c>
      <c r="CU119" s="15">
        <f t="shared" si="746"/>
        <v>0</v>
      </c>
      <c r="CV119" s="15">
        <f t="shared" si="746"/>
        <v>0</v>
      </c>
      <c r="CW119" s="15">
        <f t="shared" si="746"/>
        <v>0</v>
      </c>
      <c r="CX119" s="15">
        <f t="shared" si="746"/>
        <v>0</v>
      </c>
      <c r="CY119" s="15">
        <f t="shared" si="746"/>
        <v>0</v>
      </c>
      <c r="CZ119" s="15">
        <f t="shared" si="746"/>
        <v>0</v>
      </c>
      <c r="DA119" s="15">
        <f t="shared" si="746"/>
        <v>0</v>
      </c>
      <c r="DB119" s="15">
        <f t="shared" si="746"/>
        <v>0</v>
      </c>
    </row>
    <row r="120" spans="1:106" outlineLevel="1">
      <c r="A120" s="633">
        <v>117</v>
      </c>
      <c r="B120" s="625" t="s">
        <v>369</v>
      </c>
      <c r="C120" t="s">
        <v>518</v>
      </c>
      <c r="D120" s="15">
        <f t="shared" si="722"/>
        <v>0</v>
      </c>
      <c r="E120" s="15">
        <f t="shared" si="723"/>
        <v>0</v>
      </c>
      <c r="F120" s="15">
        <f t="shared" si="724"/>
        <v>0</v>
      </c>
      <c r="G120" s="15">
        <f t="shared" si="725"/>
        <v>0</v>
      </c>
      <c r="H120" s="15">
        <f t="shared" si="726"/>
        <v>0</v>
      </c>
      <c r="I120" s="15">
        <f t="shared" si="727"/>
        <v>0</v>
      </c>
      <c r="J120" s="15">
        <f t="shared" si="728"/>
        <v>0</v>
      </c>
      <c r="K120" s="15">
        <f t="shared" si="729"/>
        <v>0</v>
      </c>
      <c r="L120" s="15">
        <f t="shared" si="730"/>
        <v>0</v>
      </c>
      <c r="M120" s="15">
        <f t="shared" si="731"/>
        <v>0</v>
      </c>
      <c r="N120" s="15">
        <f t="shared" si="732"/>
        <v>0</v>
      </c>
      <c r="O120" s="15">
        <f t="shared" si="733"/>
        <v>0</v>
      </c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D120" s="646">
        <f t="shared" si="734"/>
        <v>0</v>
      </c>
      <c r="AE120" s="15">
        <f t="shared" si="735"/>
        <v>0</v>
      </c>
      <c r="AF120" s="15">
        <f t="shared" si="736"/>
        <v>0</v>
      </c>
      <c r="AG120" s="15">
        <f t="shared" si="737"/>
        <v>0</v>
      </c>
      <c r="AH120" s="15">
        <f t="shared" si="738"/>
        <v>0</v>
      </c>
      <c r="AI120" s="15">
        <f t="shared" si="739"/>
        <v>0</v>
      </c>
      <c r="AJ120" s="15">
        <f t="shared" si="740"/>
        <v>0</v>
      </c>
      <c r="AK120" s="15">
        <f t="shared" si="741"/>
        <v>0</v>
      </c>
      <c r="AL120" s="15">
        <f t="shared" si="742"/>
        <v>0</v>
      </c>
      <c r="AM120" s="15">
        <f t="shared" si="743"/>
        <v>0</v>
      </c>
      <c r="AN120" s="15">
        <f t="shared" si="744"/>
        <v>0</v>
      </c>
      <c r="AO120" s="647">
        <f t="shared" si="745"/>
        <v>0</v>
      </c>
      <c r="AQ120" s="15">
        <f>SUMIFS('BS-KH26-DTR'!D$2:D$116,'BS-KH26-DTR'!$B$2:$B$116,$A120)</f>
        <v>0</v>
      </c>
      <c r="AR120" s="15">
        <f>SUMIFS('BS-KH26-DTR'!E$2:E$116,'BS-KH26-DTR'!$B$2:$B$116,$A120)</f>
        <v>0</v>
      </c>
      <c r="AS120" s="15">
        <f>SUMIFS('BS-KH26-DTR'!F$2:F$116,'BS-KH26-DTR'!$B$2:$B$116,$A120)</f>
        <v>0</v>
      </c>
      <c r="AT120" s="15">
        <f>SUMIFS('BS-KH26-DTR'!G$2:G$116,'BS-KH26-DTR'!$B$2:$B$116,$A120)</f>
        <v>0</v>
      </c>
      <c r="AU120" s="15">
        <f>SUMIFS('BS-KH26-DTR'!H$2:H$116,'BS-KH26-DTR'!$B$2:$B$116,$A120)</f>
        <v>0</v>
      </c>
      <c r="AV120" s="15">
        <f>SUMIFS('BS-KH26-DTR'!I$2:I$116,'BS-KH26-DTR'!$B$2:$B$116,$A120)</f>
        <v>0</v>
      </c>
      <c r="AW120" s="15">
        <f>SUMIFS('BS-KH26-DTR'!J$2:J$116,'BS-KH26-DTR'!$B$2:$B$116,$A120)</f>
        <v>0</v>
      </c>
      <c r="AX120" s="15">
        <f>SUMIFS('BS-KH26-DTR'!K$2:K$116,'BS-KH26-DTR'!$B$2:$B$116,$A120)</f>
        <v>0</v>
      </c>
      <c r="AY120" s="15">
        <f>SUMIFS('BS-KH26-DTR'!L$2:L$116,'BS-KH26-DTR'!$B$2:$B$116,$A120)</f>
        <v>0</v>
      </c>
      <c r="AZ120" s="15">
        <f>SUMIFS('BS-KH26-DTR'!M$2:M$116,'BS-KH26-DTR'!$B$2:$B$116,$A120)</f>
        <v>0</v>
      </c>
      <c r="BA120" s="15">
        <f>SUMIFS('BS-KH26-DTR'!N$2:N$116,'BS-KH26-DTR'!$B$2:$B$116,$A120)</f>
        <v>0</v>
      </c>
      <c r="BB120" s="15">
        <f>SUMIFS('BS-KH26-DTR'!O$2:O$116,'BS-KH26-DTR'!$B$2:$B$116,$A120)</f>
        <v>0</v>
      </c>
      <c r="BD120" s="15">
        <f>SUMIFS('BS-KH26-DongLam'!M$2:M$51,'BS-KH26-DongLam'!$A$2:$A$51,'Consol BS-DTRG'!$A120)</f>
        <v>0</v>
      </c>
      <c r="BE120" s="15">
        <f>SUMIFS('BS-KH26-DongLam'!N$2:N$51,'BS-KH26-DongLam'!$A$2:$A$51,'Consol BS-DTRG'!$A120)</f>
        <v>0</v>
      </c>
      <c r="BF120" s="15">
        <f>SUMIFS('BS-KH26-DongLam'!O$2:O$51,'BS-KH26-DongLam'!$A$2:$A$51,'Consol BS-DTRG'!$A120)</f>
        <v>0</v>
      </c>
      <c r="BG120" s="15">
        <f>SUMIFS('BS-KH26-DongLam'!P$2:P$51,'BS-KH26-DongLam'!$A$2:$A$51,'Consol BS-DTRG'!$A120)</f>
        <v>0</v>
      </c>
      <c r="BH120" s="15">
        <f>SUMIFS('BS-KH26-DongLam'!Q$2:Q$51,'BS-KH26-DongLam'!$A$2:$A$51,'Consol BS-DTRG'!$A120)</f>
        <v>0</v>
      </c>
      <c r="BI120" s="15">
        <f>SUMIFS('BS-KH26-DongLam'!R$2:R$51,'BS-KH26-DongLam'!$A$2:$A$51,'Consol BS-DTRG'!$A120)</f>
        <v>0</v>
      </c>
      <c r="BJ120" s="15">
        <f>SUMIFS('BS-KH26-DongLam'!S$2:S$51,'BS-KH26-DongLam'!$A$2:$A$51,'Consol BS-DTRG'!$A120)</f>
        <v>0</v>
      </c>
      <c r="BK120" s="15">
        <f>SUMIFS('BS-KH26-DongLam'!T$2:T$51,'BS-KH26-DongLam'!$A$2:$A$51,'Consol BS-DTRG'!$A120)</f>
        <v>0</v>
      </c>
      <c r="BL120" s="15">
        <f>SUMIFS('BS-KH26-DongLam'!U$2:U$51,'BS-KH26-DongLam'!$A$2:$A$51,'Consol BS-DTRG'!$A120)</f>
        <v>0</v>
      </c>
      <c r="BM120" s="15">
        <f>SUMIFS('BS-KH26-DongLam'!V$2:V$51,'BS-KH26-DongLam'!$A$2:$A$51,'Consol BS-DTRG'!$A120)</f>
        <v>0</v>
      </c>
      <c r="BN120" s="15">
        <f>SUMIFS('BS-KH26-DongLam'!W$2:W$51,'BS-KH26-DongLam'!$A$2:$A$51,'Consol BS-DTRG'!$A120)</f>
        <v>0</v>
      </c>
      <c r="BO120" s="15">
        <f>SUMIFS('BS-KH26-DongLam'!X$2:X$51,'BS-KH26-DongLam'!$A$2:$A$51,'Consol BS-DTRG'!$A120)</f>
        <v>0</v>
      </c>
      <c r="BQ120" s="15">
        <f>SUMIFS('BS-KH26-KhanhNga'!M$2:M$51,'BS-KH26-KhanhNga'!$A$2:$A$51,'Consol BS-DTRG'!$A120)</f>
        <v>0</v>
      </c>
      <c r="BR120" s="15">
        <f>SUMIFS('BS-KH26-KhanhNga'!N$2:N$51,'BS-KH26-KhanhNga'!$A$2:$A$51,'Consol BS-DTRG'!$A120)</f>
        <v>0</v>
      </c>
      <c r="BS120" s="15">
        <f>SUMIFS('BS-KH26-KhanhNga'!O$2:O$51,'BS-KH26-KhanhNga'!$A$2:$A$51,'Consol BS-DTRG'!$A120)</f>
        <v>0</v>
      </c>
      <c r="BT120" s="15">
        <f>SUMIFS('BS-KH26-KhanhNga'!P$2:P$51,'BS-KH26-KhanhNga'!$A$2:$A$51,'Consol BS-DTRG'!$A120)</f>
        <v>0</v>
      </c>
      <c r="BU120" s="15">
        <f>SUMIFS('BS-KH26-KhanhNga'!Q$2:Q$51,'BS-KH26-KhanhNga'!$A$2:$A$51,'Consol BS-DTRG'!$A120)</f>
        <v>0</v>
      </c>
      <c r="BV120" s="15">
        <f>SUMIFS('BS-KH26-KhanhNga'!R$2:R$51,'BS-KH26-KhanhNga'!$A$2:$A$51,'Consol BS-DTRG'!$A120)</f>
        <v>0</v>
      </c>
      <c r="BW120" s="15">
        <f>SUMIFS('BS-KH26-KhanhNga'!S$2:S$51,'BS-KH26-KhanhNga'!$A$2:$A$51,'Consol BS-DTRG'!$A120)</f>
        <v>0</v>
      </c>
      <c r="BX120" s="15">
        <f>SUMIFS('BS-KH26-KhanhNga'!T$2:T$51,'BS-KH26-KhanhNga'!$A$2:$A$51,'Consol BS-DTRG'!$A120)</f>
        <v>0</v>
      </c>
      <c r="BY120" s="15">
        <f>SUMIFS('BS-KH26-KhanhNga'!U$2:U$51,'BS-KH26-KhanhNga'!$A$2:$A$51,'Consol BS-DTRG'!$A120)</f>
        <v>0</v>
      </c>
      <c r="BZ120" s="15">
        <f>SUMIFS('BS-KH26-KhanhNga'!V$2:V$51,'BS-KH26-KhanhNga'!$A$2:$A$51,'Consol BS-DTRG'!$A120)</f>
        <v>0</v>
      </c>
      <c r="CA120" s="15">
        <f>SUMIFS('BS-KH26-KhanhNga'!W$2:W$51,'BS-KH26-KhanhNga'!$A$2:$A$51,'Consol BS-DTRG'!$A120)</f>
        <v>0</v>
      </c>
      <c r="CB120" s="15">
        <f>SUMIFS('BS-KH26-KhanhNga'!X$2:X$51,'BS-KH26-KhanhNga'!$A$2:$A$51,'Consol BS-DTRG'!$A120)</f>
        <v>0</v>
      </c>
      <c r="CD120" s="15">
        <f>SUMIFS('BS-KH26-DaiLoc'!M$2:M$51,'BS-KH26-DaiLoc'!$A$2:$A$51,'Consol BS-DTRG'!$A120)</f>
        <v>0</v>
      </c>
      <c r="CE120" s="15">
        <f>SUMIFS('BS-KH26-DaiLoc'!N$2:N$51,'BS-KH26-DaiLoc'!$A$2:$A$51,'Consol BS-DTRG'!$A120)</f>
        <v>0</v>
      </c>
      <c r="CF120" s="15">
        <f>SUMIFS('BS-KH26-DaiLoc'!O$2:O$51,'BS-KH26-DaiLoc'!$A$2:$A$51,'Consol BS-DTRG'!$A120)</f>
        <v>0</v>
      </c>
      <c r="CG120" s="15">
        <f>SUMIFS('BS-KH26-DaiLoc'!P$2:P$51,'BS-KH26-DaiLoc'!$A$2:$A$51,'Consol BS-DTRG'!$A120)</f>
        <v>0</v>
      </c>
      <c r="CH120" s="15">
        <f>SUMIFS('BS-KH26-DaiLoc'!Q$2:Q$51,'BS-KH26-DaiLoc'!$A$2:$A$51,'Consol BS-DTRG'!$A120)</f>
        <v>0</v>
      </c>
      <c r="CI120" s="15">
        <f>SUMIFS('BS-KH26-DaiLoc'!R$2:R$51,'BS-KH26-DaiLoc'!$A$2:$A$51,'Consol BS-DTRG'!$A120)</f>
        <v>0</v>
      </c>
      <c r="CJ120" s="15">
        <f>SUMIFS('BS-KH26-DaiLoc'!S$2:S$51,'BS-KH26-DaiLoc'!$A$2:$A$51,'Consol BS-DTRG'!$A120)</f>
        <v>0</v>
      </c>
      <c r="CK120" s="15">
        <f>SUMIFS('BS-KH26-DaiLoc'!T$2:T$51,'BS-KH26-DaiLoc'!$A$2:$A$51,'Consol BS-DTRG'!$A120)</f>
        <v>0</v>
      </c>
      <c r="CL120" s="15">
        <f>SUMIFS('BS-KH26-DaiLoc'!U$2:U$51,'BS-KH26-DaiLoc'!$A$2:$A$51,'Consol BS-DTRG'!$A120)</f>
        <v>0</v>
      </c>
      <c r="CM120" s="15">
        <f>SUMIFS('BS-KH26-DaiLoc'!V$2:V$51,'BS-KH26-DaiLoc'!$A$2:$A$51,'Consol BS-DTRG'!$A120)</f>
        <v>0</v>
      </c>
      <c r="CN120" s="15">
        <f>SUMIFS('BS-KH26-DaiLoc'!W$2:W$51,'BS-KH26-DaiLoc'!$A$2:$A$51,'Consol BS-DTRG'!$A120)</f>
        <v>0</v>
      </c>
      <c r="CO120" s="15">
        <f>SUMIFS('BS-KH26-DaiLoc'!X$2:X$51,'BS-KH26-DaiLoc'!$A$2:$A$51,'Consol BS-DTRG'!$A120)</f>
        <v>0</v>
      </c>
      <c r="CQ120" s="15">
        <v>0</v>
      </c>
      <c r="CR120" s="15">
        <f t="shared" si="746"/>
        <v>0</v>
      </c>
      <c r="CS120" s="15">
        <f t="shared" si="746"/>
        <v>0</v>
      </c>
      <c r="CT120" s="15">
        <f t="shared" si="746"/>
        <v>0</v>
      </c>
      <c r="CU120" s="15">
        <f t="shared" si="746"/>
        <v>0</v>
      </c>
      <c r="CV120" s="15">
        <f t="shared" si="746"/>
        <v>0</v>
      </c>
      <c r="CW120" s="15">
        <f t="shared" si="746"/>
        <v>0</v>
      </c>
      <c r="CX120" s="15">
        <f t="shared" si="746"/>
        <v>0</v>
      </c>
      <c r="CY120" s="15">
        <f t="shared" si="746"/>
        <v>0</v>
      </c>
      <c r="CZ120" s="15">
        <f t="shared" si="746"/>
        <v>0</v>
      </c>
      <c r="DA120" s="15">
        <f t="shared" si="746"/>
        <v>0</v>
      </c>
      <c r="DB120" s="15">
        <f t="shared" si="746"/>
        <v>0</v>
      </c>
    </row>
    <row r="121" spans="1:106" outlineLevel="1">
      <c r="A121" s="633">
        <v>118</v>
      </c>
      <c r="B121" s="625" t="s">
        <v>370</v>
      </c>
      <c r="C121" t="s">
        <v>518</v>
      </c>
      <c r="D121" s="15">
        <f t="shared" si="722"/>
        <v>0</v>
      </c>
      <c r="E121" s="15">
        <f t="shared" si="723"/>
        <v>0</v>
      </c>
      <c r="F121" s="15">
        <f t="shared" si="724"/>
        <v>0</v>
      </c>
      <c r="G121" s="15">
        <f t="shared" si="725"/>
        <v>0</v>
      </c>
      <c r="H121" s="15">
        <f t="shared" si="726"/>
        <v>0</v>
      </c>
      <c r="I121" s="15">
        <f t="shared" si="727"/>
        <v>0</v>
      </c>
      <c r="J121" s="15">
        <f t="shared" si="728"/>
        <v>0</v>
      </c>
      <c r="K121" s="15">
        <f t="shared" si="729"/>
        <v>0</v>
      </c>
      <c r="L121" s="15">
        <f t="shared" si="730"/>
        <v>0</v>
      </c>
      <c r="M121" s="15">
        <f t="shared" si="731"/>
        <v>0</v>
      </c>
      <c r="N121" s="15">
        <f t="shared" si="732"/>
        <v>0</v>
      </c>
      <c r="O121" s="15">
        <f t="shared" si="733"/>
        <v>0</v>
      </c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D121" s="646">
        <f t="shared" si="734"/>
        <v>0</v>
      </c>
      <c r="AE121" s="15">
        <f t="shared" si="735"/>
        <v>0</v>
      </c>
      <c r="AF121" s="15">
        <f t="shared" si="736"/>
        <v>0</v>
      </c>
      <c r="AG121" s="15">
        <f t="shared" si="737"/>
        <v>0</v>
      </c>
      <c r="AH121" s="15">
        <f t="shared" si="738"/>
        <v>0</v>
      </c>
      <c r="AI121" s="15">
        <f t="shared" si="739"/>
        <v>0</v>
      </c>
      <c r="AJ121" s="15">
        <f t="shared" si="740"/>
        <v>0</v>
      </c>
      <c r="AK121" s="15">
        <f t="shared" si="741"/>
        <v>0</v>
      </c>
      <c r="AL121" s="15">
        <f t="shared" si="742"/>
        <v>0</v>
      </c>
      <c r="AM121" s="15">
        <f t="shared" si="743"/>
        <v>0</v>
      </c>
      <c r="AN121" s="15">
        <f t="shared" si="744"/>
        <v>0</v>
      </c>
      <c r="AO121" s="647">
        <f t="shared" si="745"/>
        <v>0</v>
      </c>
      <c r="AQ121" s="15">
        <f>SUMIFS('BS-KH26-DTR'!D$2:D$116,'BS-KH26-DTR'!$B$2:$B$116,$A121)</f>
        <v>0</v>
      </c>
      <c r="AR121" s="15">
        <f>SUMIFS('BS-KH26-DTR'!E$2:E$116,'BS-KH26-DTR'!$B$2:$B$116,$A121)</f>
        <v>0</v>
      </c>
      <c r="AS121" s="15">
        <f>SUMIFS('BS-KH26-DTR'!F$2:F$116,'BS-KH26-DTR'!$B$2:$B$116,$A121)</f>
        <v>0</v>
      </c>
      <c r="AT121" s="15">
        <f>SUMIFS('BS-KH26-DTR'!G$2:G$116,'BS-KH26-DTR'!$B$2:$B$116,$A121)</f>
        <v>0</v>
      </c>
      <c r="AU121" s="15">
        <f>SUMIFS('BS-KH26-DTR'!H$2:H$116,'BS-KH26-DTR'!$B$2:$B$116,$A121)</f>
        <v>0</v>
      </c>
      <c r="AV121" s="15">
        <f>SUMIFS('BS-KH26-DTR'!I$2:I$116,'BS-KH26-DTR'!$B$2:$B$116,$A121)</f>
        <v>0</v>
      </c>
      <c r="AW121" s="15">
        <f>SUMIFS('BS-KH26-DTR'!J$2:J$116,'BS-KH26-DTR'!$B$2:$B$116,$A121)</f>
        <v>0</v>
      </c>
      <c r="AX121" s="15">
        <f>SUMIFS('BS-KH26-DTR'!K$2:K$116,'BS-KH26-DTR'!$B$2:$B$116,$A121)</f>
        <v>0</v>
      </c>
      <c r="AY121" s="15">
        <f>SUMIFS('BS-KH26-DTR'!L$2:L$116,'BS-KH26-DTR'!$B$2:$B$116,$A121)</f>
        <v>0</v>
      </c>
      <c r="AZ121" s="15">
        <f>SUMIFS('BS-KH26-DTR'!M$2:M$116,'BS-KH26-DTR'!$B$2:$B$116,$A121)</f>
        <v>0</v>
      </c>
      <c r="BA121" s="15">
        <f>SUMIFS('BS-KH26-DTR'!N$2:N$116,'BS-KH26-DTR'!$B$2:$B$116,$A121)</f>
        <v>0</v>
      </c>
      <c r="BB121" s="15">
        <f>SUMIFS('BS-KH26-DTR'!O$2:O$116,'BS-KH26-DTR'!$B$2:$B$116,$A121)</f>
        <v>0</v>
      </c>
      <c r="BD121" s="15">
        <f>SUMIFS('BS-KH26-DongLam'!M$2:M$51,'BS-KH26-DongLam'!$A$2:$A$51,'Consol BS-DTRG'!$A121)</f>
        <v>0</v>
      </c>
      <c r="BE121" s="15">
        <f>SUMIFS('BS-KH26-DongLam'!N$2:N$51,'BS-KH26-DongLam'!$A$2:$A$51,'Consol BS-DTRG'!$A121)</f>
        <v>0</v>
      </c>
      <c r="BF121" s="15">
        <f>SUMIFS('BS-KH26-DongLam'!O$2:O$51,'BS-KH26-DongLam'!$A$2:$A$51,'Consol BS-DTRG'!$A121)</f>
        <v>0</v>
      </c>
      <c r="BG121" s="15">
        <f>SUMIFS('BS-KH26-DongLam'!P$2:P$51,'BS-KH26-DongLam'!$A$2:$A$51,'Consol BS-DTRG'!$A121)</f>
        <v>0</v>
      </c>
      <c r="BH121" s="15">
        <f>SUMIFS('BS-KH26-DongLam'!Q$2:Q$51,'BS-KH26-DongLam'!$A$2:$A$51,'Consol BS-DTRG'!$A121)</f>
        <v>0</v>
      </c>
      <c r="BI121" s="15">
        <f>SUMIFS('BS-KH26-DongLam'!R$2:R$51,'BS-KH26-DongLam'!$A$2:$A$51,'Consol BS-DTRG'!$A121)</f>
        <v>0</v>
      </c>
      <c r="BJ121" s="15">
        <f>SUMIFS('BS-KH26-DongLam'!S$2:S$51,'BS-KH26-DongLam'!$A$2:$A$51,'Consol BS-DTRG'!$A121)</f>
        <v>0</v>
      </c>
      <c r="BK121" s="15">
        <f>SUMIFS('BS-KH26-DongLam'!T$2:T$51,'BS-KH26-DongLam'!$A$2:$A$51,'Consol BS-DTRG'!$A121)</f>
        <v>0</v>
      </c>
      <c r="BL121" s="15">
        <f>SUMIFS('BS-KH26-DongLam'!U$2:U$51,'BS-KH26-DongLam'!$A$2:$A$51,'Consol BS-DTRG'!$A121)</f>
        <v>0</v>
      </c>
      <c r="BM121" s="15">
        <f>SUMIFS('BS-KH26-DongLam'!V$2:V$51,'BS-KH26-DongLam'!$A$2:$A$51,'Consol BS-DTRG'!$A121)</f>
        <v>0</v>
      </c>
      <c r="BN121" s="15">
        <f>SUMIFS('BS-KH26-DongLam'!W$2:W$51,'BS-KH26-DongLam'!$A$2:$A$51,'Consol BS-DTRG'!$A121)</f>
        <v>0</v>
      </c>
      <c r="BO121" s="15">
        <f>SUMIFS('BS-KH26-DongLam'!X$2:X$51,'BS-KH26-DongLam'!$A$2:$A$51,'Consol BS-DTRG'!$A121)</f>
        <v>0</v>
      </c>
      <c r="BQ121" s="15">
        <f>SUMIFS('BS-KH26-KhanhNga'!M$2:M$51,'BS-KH26-KhanhNga'!$A$2:$A$51,'Consol BS-DTRG'!$A121)</f>
        <v>0</v>
      </c>
      <c r="BR121" s="15">
        <f>SUMIFS('BS-KH26-KhanhNga'!N$2:N$51,'BS-KH26-KhanhNga'!$A$2:$A$51,'Consol BS-DTRG'!$A121)</f>
        <v>0</v>
      </c>
      <c r="BS121" s="15">
        <f>SUMIFS('BS-KH26-KhanhNga'!O$2:O$51,'BS-KH26-KhanhNga'!$A$2:$A$51,'Consol BS-DTRG'!$A121)</f>
        <v>0</v>
      </c>
      <c r="BT121" s="15">
        <f>SUMIFS('BS-KH26-KhanhNga'!P$2:P$51,'BS-KH26-KhanhNga'!$A$2:$A$51,'Consol BS-DTRG'!$A121)</f>
        <v>0</v>
      </c>
      <c r="BU121" s="15">
        <f>SUMIFS('BS-KH26-KhanhNga'!Q$2:Q$51,'BS-KH26-KhanhNga'!$A$2:$A$51,'Consol BS-DTRG'!$A121)</f>
        <v>0</v>
      </c>
      <c r="BV121" s="15">
        <f>SUMIFS('BS-KH26-KhanhNga'!R$2:R$51,'BS-KH26-KhanhNga'!$A$2:$A$51,'Consol BS-DTRG'!$A121)</f>
        <v>0</v>
      </c>
      <c r="BW121" s="15">
        <f>SUMIFS('BS-KH26-KhanhNga'!S$2:S$51,'BS-KH26-KhanhNga'!$A$2:$A$51,'Consol BS-DTRG'!$A121)</f>
        <v>0</v>
      </c>
      <c r="BX121" s="15">
        <f>SUMIFS('BS-KH26-KhanhNga'!T$2:T$51,'BS-KH26-KhanhNga'!$A$2:$A$51,'Consol BS-DTRG'!$A121)</f>
        <v>0</v>
      </c>
      <c r="BY121" s="15">
        <f>SUMIFS('BS-KH26-KhanhNga'!U$2:U$51,'BS-KH26-KhanhNga'!$A$2:$A$51,'Consol BS-DTRG'!$A121)</f>
        <v>0</v>
      </c>
      <c r="BZ121" s="15">
        <f>SUMIFS('BS-KH26-KhanhNga'!V$2:V$51,'BS-KH26-KhanhNga'!$A$2:$A$51,'Consol BS-DTRG'!$A121)</f>
        <v>0</v>
      </c>
      <c r="CA121" s="15">
        <f>SUMIFS('BS-KH26-KhanhNga'!W$2:W$51,'BS-KH26-KhanhNga'!$A$2:$A$51,'Consol BS-DTRG'!$A121)</f>
        <v>0</v>
      </c>
      <c r="CB121" s="15">
        <f>SUMIFS('BS-KH26-KhanhNga'!X$2:X$51,'BS-KH26-KhanhNga'!$A$2:$A$51,'Consol BS-DTRG'!$A121)</f>
        <v>0</v>
      </c>
      <c r="CD121" s="15">
        <f>SUMIFS('BS-KH26-DaiLoc'!M$2:M$51,'BS-KH26-DaiLoc'!$A$2:$A$51,'Consol BS-DTRG'!$A121)</f>
        <v>0</v>
      </c>
      <c r="CE121" s="15">
        <f>SUMIFS('BS-KH26-DaiLoc'!N$2:N$51,'BS-KH26-DaiLoc'!$A$2:$A$51,'Consol BS-DTRG'!$A121)</f>
        <v>0</v>
      </c>
      <c r="CF121" s="15">
        <f>SUMIFS('BS-KH26-DaiLoc'!O$2:O$51,'BS-KH26-DaiLoc'!$A$2:$A$51,'Consol BS-DTRG'!$A121)</f>
        <v>0</v>
      </c>
      <c r="CG121" s="15">
        <f>SUMIFS('BS-KH26-DaiLoc'!P$2:P$51,'BS-KH26-DaiLoc'!$A$2:$A$51,'Consol BS-DTRG'!$A121)</f>
        <v>0</v>
      </c>
      <c r="CH121" s="15">
        <f>SUMIFS('BS-KH26-DaiLoc'!Q$2:Q$51,'BS-KH26-DaiLoc'!$A$2:$A$51,'Consol BS-DTRG'!$A121)</f>
        <v>0</v>
      </c>
      <c r="CI121" s="15">
        <f>SUMIFS('BS-KH26-DaiLoc'!R$2:R$51,'BS-KH26-DaiLoc'!$A$2:$A$51,'Consol BS-DTRG'!$A121)</f>
        <v>0</v>
      </c>
      <c r="CJ121" s="15">
        <f>SUMIFS('BS-KH26-DaiLoc'!S$2:S$51,'BS-KH26-DaiLoc'!$A$2:$A$51,'Consol BS-DTRG'!$A121)</f>
        <v>0</v>
      </c>
      <c r="CK121" s="15">
        <f>SUMIFS('BS-KH26-DaiLoc'!T$2:T$51,'BS-KH26-DaiLoc'!$A$2:$A$51,'Consol BS-DTRG'!$A121)</f>
        <v>0</v>
      </c>
      <c r="CL121" s="15">
        <f>SUMIFS('BS-KH26-DaiLoc'!U$2:U$51,'BS-KH26-DaiLoc'!$A$2:$A$51,'Consol BS-DTRG'!$A121)</f>
        <v>0</v>
      </c>
      <c r="CM121" s="15">
        <f>SUMIFS('BS-KH26-DaiLoc'!V$2:V$51,'BS-KH26-DaiLoc'!$A$2:$A$51,'Consol BS-DTRG'!$A121)</f>
        <v>0</v>
      </c>
      <c r="CN121" s="15">
        <f>SUMIFS('BS-KH26-DaiLoc'!W$2:W$51,'BS-KH26-DaiLoc'!$A$2:$A$51,'Consol BS-DTRG'!$A121)</f>
        <v>0</v>
      </c>
      <c r="CO121" s="15">
        <f>SUMIFS('BS-KH26-DaiLoc'!X$2:X$51,'BS-KH26-DaiLoc'!$A$2:$A$51,'Consol BS-DTRG'!$A121)</f>
        <v>0</v>
      </c>
      <c r="CQ121" s="15">
        <v>0</v>
      </c>
      <c r="CR121" s="15">
        <f t="shared" si="746"/>
        <v>0</v>
      </c>
      <c r="CS121" s="15">
        <f t="shared" si="746"/>
        <v>0</v>
      </c>
      <c r="CT121" s="15">
        <f t="shared" si="746"/>
        <v>0</v>
      </c>
      <c r="CU121" s="15">
        <f t="shared" si="746"/>
        <v>0</v>
      </c>
      <c r="CV121" s="15">
        <f t="shared" si="746"/>
        <v>0</v>
      </c>
      <c r="CW121" s="15">
        <f t="shared" si="746"/>
        <v>0</v>
      </c>
      <c r="CX121" s="15">
        <f t="shared" si="746"/>
        <v>0</v>
      </c>
      <c r="CY121" s="15">
        <f t="shared" si="746"/>
        <v>0</v>
      </c>
      <c r="CZ121" s="15">
        <f t="shared" si="746"/>
        <v>0</v>
      </c>
      <c r="DA121" s="15">
        <f t="shared" si="746"/>
        <v>0</v>
      </c>
      <c r="DB121" s="15">
        <f t="shared" si="746"/>
        <v>0</v>
      </c>
    </row>
    <row r="122" spans="1:106" outlineLevel="1">
      <c r="A122" s="633">
        <v>119</v>
      </c>
      <c r="B122" s="625" t="s">
        <v>371</v>
      </c>
      <c r="C122" t="s">
        <v>518</v>
      </c>
      <c r="D122" s="15">
        <f t="shared" si="722"/>
        <v>0</v>
      </c>
      <c r="E122" s="15">
        <f t="shared" si="723"/>
        <v>0</v>
      </c>
      <c r="F122" s="15">
        <f t="shared" si="724"/>
        <v>0</v>
      </c>
      <c r="G122" s="15">
        <f t="shared" si="725"/>
        <v>0</v>
      </c>
      <c r="H122" s="15">
        <f t="shared" si="726"/>
        <v>0</v>
      </c>
      <c r="I122" s="15">
        <f t="shared" si="727"/>
        <v>0</v>
      </c>
      <c r="J122" s="15">
        <f t="shared" si="728"/>
        <v>0</v>
      </c>
      <c r="K122" s="15">
        <f t="shared" si="729"/>
        <v>0</v>
      </c>
      <c r="L122" s="15">
        <f t="shared" si="730"/>
        <v>0</v>
      </c>
      <c r="M122" s="15">
        <f t="shared" si="731"/>
        <v>0</v>
      </c>
      <c r="N122" s="15">
        <f t="shared" si="732"/>
        <v>0</v>
      </c>
      <c r="O122" s="15">
        <f t="shared" si="733"/>
        <v>0</v>
      </c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D122" s="646">
        <f t="shared" si="734"/>
        <v>0</v>
      </c>
      <c r="AE122" s="15">
        <f t="shared" si="735"/>
        <v>0</v>
      </c>
      <c r="AF122" s="15">
        <f t="shared" si="736"/>
        <v>0</v>
      </c>
      <c r="AG122" s="15">
        <f t="shared" si="737"/>
        <v>0</v>
      </c>
      <c r="AH122" s="15">
        <f t="shared" si="738"/>
        <v>0</v>
      </c>
      <c r="AI122" s="15">
        <f t="shared" si="739"/>
        <v>0</v>
      </c>
      <c r="AJ122" s="15">
        <f t="shared" si="740"/>
        <v>0</v>
      </c>
      <c r="AK122" s="15">
        <f t="shared" si="741"/>
        <v>0</v>
      </c>
      <c r="AL122" s="15">
        <f t="shared" si="742"/>
        <v>0</v>
      </c>
      <c r="AM122" s="15">
        <f t="shared" si="743"/>
        <v>0</v>
      </c>
      <c r="AN122" s="15">
        <f t="shared" si="744"/>
        <v>0</v>
      </c>
      <c r="AO122" s="647">
        <f t="shared" si="745"/>
        <v>0</v>
      </c>
      <c r="AQ122" s="15">
        <f>SUMIFS('BS-KH26-DTR'!D$2:D$116,'BS-KH26-DTR'!$B$2:$B$116,$A122)</f>
        <v>0</v>
      </c>
      <c r="AR122" s="15">
        <f>SUMIFS('BS-KH26-DTR'!E$2:E$116,'BS-KH26-DTR'!$B$2:$B$116,$A122)</f>
        <v>0</v>
      </c>
      <c r="AS122" s="15">
        <f>SUMIFS('BS-KH26-DTR'!F$2:F$116,'BS-KH26-DTR'!$B$2:$B$116,$A122)</f>
        <v>0</v>
      </c>
      <c r="AT122" s="15">
        <f>SUMIFS('BS-KH26-DTR'!G$2:G$116,'BS-KH26-DTR'!$B$2:$B$116,$A122)</f>
        <v>0</v>
      </c>
      <c r="AU122" s="15">
        <f>SUMIFS('BS-KH26-DTR'!H$2:H$116,'BS-KH26-DTR'!$B$2:$B$116,$A122)</f>
        <v>0</v>
      </c>
      <c r="AV122" s="15">
        <f>SUMIFS('BS-KH26-DTR'!I$2:I$116,'BS-KH26-DTR'!$B$2:$B$116,$A122)</f>
        <v>0</v>
      </c>
      <c r="AW122" s="15">
        <f>SUMIFS('BS-KH26-DTR'!J$2:J$116,'BS-KH26-DTR'!$B$2:$B$116,$A122)</f>
        <v>0</v>
      </c>
      <c r="AX122" s="15">
        <f>SUMIFS('BS-KH26-DTR'!K$2:K$116,'BS-KH26-DTR'!$B$2:$B$116,$A122)</f>
        <v>0</v>
      </c>
      <c r="AY122" s="15">
        <f>SUMIFS('BS-KH26-DTR'!L$2:L$116,'BS-KH26-DTR'!$B$2:$B$116,$A122)</f>
        <v>0</v>
      </c>
      <c r="AZ122" s="15">
        <f>SUMIFS('BS-KH26-DTR'!M$2:M$116,'BS-KH26-DTR'!$B$2:$B$116,$A122)</f>
        <v>0</v>
      </c>
      <c r="BA122" s="15">
        <f>SUMIFS('BS-KH26-DTR'!N$2:N$116,'BS-KH26-DTR'!$B$2:$B$116,$A122)</f>
        <v>0</v>
      </c>
      <c r="BB122" s="15">
        <f>SUMIFS('BS-KH26-DTR'!O$2:O$116,'BS-KH26-DTR'!$B$2:$B$116,$A122)</f>
        <v>0</v>
      </c>
      <c r="BD122" s="15">
        <f>SUMIFS('BS-KH26-DongLam'!M$2:M$51,'BS-KH26-DongLam'!$A$2:$A$51,'Consol BS-DTRG'!$A122)</f>
        <v>0</v>
      </c>
      <c r="BE122" s="15">
        <f>SUMIFS('BS-KH26-DongLam'!N$2:N$51,'BS-KH26-DongLam'!$A$2:$A$51,'Consol BS-DTRG'!$A122)</f>
        <v>0</v>
      </c>
      <c r="BF122" s="15">
        <f>SUMIFS('BS-KH26-DongLam'!O$2:O$51,'BS-KH26-DongLam'!$A$2:$A$51,'Consol BS-DTRG'!$A122)</f>
        <v>0</v>
      </c>
      <c r="BG122" s="15">
        <f>SUMIFS('BS-KH26-DongLam'!P$2:P$51,'BS-KH26-DongLam'!$A$2:$A$51,'Consol BS-DTRG'!$A122)</f>
        <v>0</v>
      </c>
      <c r="BH122" s="15">
        <f>SUMIFS('BS-KH26-DongLam'!Q$2:Q$51,'BS-KH26-DongLam'!$A$2:$A$51,'Consol BS-DTRG'!$A122)</f>
        <v>0</v>
      </c>
      <c r="BI122" s="15">
        <f>SUMIFS('BS-KH26-DongLam'!R$2:R$51,'BS-KH26-DongLam'!$A$2:$A$51,'Consol BS-DTRG'!$A122)</f>
        <v>0</v>
      </c>
      <c r="BJ122" s="15">
        <f>SUMIFS('BS-KH26-DongLam'!S$2:S$51,'BS-KH26-DongLam'!$A$2:$A$51,'Consol BS-DTRG'!$A122)</f>
        <v>0</v>
      </c>
      <c r="BK122" s="15">
        <f>SUMIFS('BS-KH26-DongLam'!T$2:T$51,'BS-KH26-DongLam'!$A$2:$A$51,'Consol BS-DTRG'!$A122)</f>
        <v>0</v>
      </c>
      <c r="BL122" s="15">
        <f>SUMIFS('BS-KH26-DongLam'!U$2:U$51,'BS-KH26-DongLam'!$A$2:$A$51,'Consol BS-DTRG'!$A122)</f>
        <v>0</v>
      </c>
      <c r="BM122" s="15">
        <f>SUMIFS('BS-KH26-DongLam'!V$2:V$51,'BS-KH26-DongLam'!$A$2:$A$51,'Consol BS-DTRG'!$A122)</f>
        <v>0</v>
      </c>
      <c r="BN122" s="15">
        <f>SUMIFS('BS-KH26-DongLam'!W$2:W$51,'BS-KH26-DongLam'!$A$2:$A$51,'Consol BS-DTRG'!$A122)</f>
        <v>0</v>
      </c>
      <c r="BO122" s="15">
        <f>SUMIFS('BS-KH26-DongLam'!X$2:X$51,'BS-KH26-DongLam'!$A$2:$A$51,'Consol BS-DTRG'!$A122)</f>
        <v>0</v>
      </c>
      <c r="BQ122" s="15">
        <f>SUMIFS('BS-KH26-KhanhNga'!M$2:M$51,'BS-KH26-KhanhNga'!$A$2:$A$51,'Consol BS-DTRG'!$A122)</f>
        <v>0</v>
      </c>
      <c r="BR122" s="15">
        <f>SUMIFS('BS-KH26-KhanhNga'!N$2:N$51,'BS-KH26-KhanhNga'!$A$2:$A$51,'Consol BS-DTRG'!$A122)</f>
        <v>0</v>
      </c>
      <c r="BS122" s="15">
        <f>SUMIFS('BS-KH26-KhanhNga'!O$2:O$51,'BS-KH26-KhanhNga'!$A$2:$A$51,'Consol BS-DTRG'!$A122)</f>
        <v>0</v>
      </c>
      <c r="BT122" s="15">
        <f>SUMIFS('BS-KH26-KhanhNga'!P$2:P$51,'BS-KH26-KhanhNga'!$A$2:$A$51,'Consol BS-DTRG'!$A122)</f>
        <v>0</v>
      </c>
      <c r="BU122" s="15">
        <f>SUMIFS('BS-KH26-KhanhNga'!Q$2:Q$51,'BS-KH26-KhanhNga'!$A$2:$A$51,'Consol BS-DTRG'!$A122)</f>
        <v>0</v>
      </c>
      <c r="BV122" s="15">
        <f>SUMIFS('BS-KH26-KhanhNga'!R$2:R$51,'BS-KH26-KhanhNga'!$A$2:$A$51,'Consol BS-DTRG'!$A122)</f>
        <v>0</v>
      </c>
      <c r="BW122" s="15">
        <f>SUMIFS('BS-KH26-KhanhNga'!S$2:S$51,'BS-KH26-KhanhNga'!$A$2:$A$51,'Consol BS-DTRG'!$A122)</f>
        <v>0</v>
      </c>
      <c r="BX122" s="15">
        <f>SUMIFS('BS-KH26-KhanhNga'!T$2:T$51,'BS-KH26-KhanhNga'!$A$2:$A$51,'Consol BS-DTRG'!$A122)</f>
        <v>0</v>
      </c>
      <c r="BY122" s="15">
        <f>SUMIFS('BS-KH26-KhanhNga'!U$2:U$51,'BS-KH26-KhanhNga'!$A$2:$A$51,'Consol BS-DTRG'!$A122)</f>
        <v>0</v>
      </c>
      <c r="BZ122" s="15">
        <f>SUMIFS('BS-KH26-KhanhNga'!V$2:V$51,'BS-KH26-KhanhNga'!$A$2:$A$51,'Consol BS-DTRG'!$A122)</f>
        <v>0</v>
      </c>
      <c r="CA122" s="15">
        <f>SUMIFS('BS-KH26-KhanhNga'!W$2:W$51,'BS-KH26-KhanhNga'!$A$2:$A$51,'Consol BS-DTRG'!$A122)</f>
        <v>0</v>
      </c>
      <c r="CB122" s="15">
        <f>SUMIFS('BS-KH26-KhanhNga'!X$2:X$51,'BS-KH26-KhanhNga'!$A$2:$A$51,'Consol BS-DTRG'!$A122)</f>
        <v>0</v>
      </c>
      <c r="CD122" s="15">
        <f>SUMIFS('BS-KH26-DaiLoc'!M$2:M$51,'BS-KH26-DaiLoc'!$A$2:$A$51,'Consol BS-DTRG'!$A122)</f>
        <v>0</v>
      </c>
      <c r="CE122" s="15">
        <f>SUMIFS('BS-KH26-DaiLoc'!N$2:N$51,'BS-KH26-DaiLoc'!$A$2:$A$51,'Consol BS-DTRG'!$A122)</f>
        <v>0</v>
      </c>
      <c r="CF122" s="15">
        <f>SUMIFS('BS-KH26-DaiLoc'!O$2:O$51,'BS-KH26-DaiLoc'!$A$2:$A$51,'Consol BS-DTRG'!$A122)</f>
        <v>0</v>
      </c>
      <c r="CG122" s="15">
        <f>SUMIFS('BS-KH26-DaiLoc'!P$2:P$51,'BS-KH26-DaiLoc'!$A$2:$A$51,'Consol BS-DTRG'!$A122)</f>
        <v>0</v>
      </c>
      <c r="CH122" s="15">
        <f>SUMIFS('BS-KH26-DaiLoc'!Q$2:Q$51,'BS-KH26-DaiLoc'!$A$2:$A$51,'Consol BS-DTRG'!$A122)</f>
        <v>0</v>
      </c>
      <c r="CI122" s="15">
        <f>SUMIFS('BS-KH26-DaiLoc'!R$2:R$51,'BS-KH26-DaiLoc'!$A$2:$A$51,'Consol BS-DTRG'!$A122)</f>
        <v>0</v>
      </c>
      <c r="CJ122" s="15">
        <f>SUMIFS('BS-KH26-DaiLoc'!S$2:S$51,'BS-KH26-DaiLoc'!$A$2:$A$51,'Consol BS-DTRG'!$A122)</f>
        <v>0</v>
      </c>
      <c r="CK122" s="15">
        <f>SUMIFS('BS-KH26-DaiLoc'!T$2:T$51,'BS-KH26-DaiLoc'!$A$2:$A$51,'Consol BS-DTRG'!$A122)</f>
        <v>0</v>
      </c>
      <c r="CL122" s="15">
        <f>SUMIFS('BS-KH26-DaiLoc'!U$2:U$51,'BS-KH26-DaiLoc'!$A$2:$A$51,'Consol BS-DTRG'!$A122)</f>
        <v>0</v>
      </c>
      <c r="CM122" s="15">
        <f>SUMIFS('BS-KH26-DaiLoc'!V$2:V$51,'BS-KH26-DaiLoc'!$A$2:$A$51,'Consol BS-DTRG'!$A122)</f>
        <v>0</v>
      </c>
      <c r="CN122" s="15">
        <f>SUMIFS('BS-KH26-DaiLoc'!W$2:W$51,'BS-KH26-DaiLoc'!$A$2:$A$51,'Consol BS-DTRG'!$A122)</f>
        <v>0</v>
      </c>
      <c r="CO122" s="15">
        <f>SUMIFS('BS-KH26-DaiLoc'!X$2:X$51,'BS-KH26-DaiLoc'!$A$2:$A$51,'Consol BS-DTRG'!$A122)</f>
        <v>0</v>
      </c>
      <c r="CQ122" s="15">
        <v>0</v>
      </c>
      <c r="CR122" s="15">
        <f t="shared" si="746"/>
        <v>0</v>
      </c>
      <c r="CS122" s="15">
        <f t="shared" si="746"/>
        <v>0</v>
      </c>
      <c r="CT122" s="15">
        <f t="shared" si="746"/>
        <v>0</v>
      </c>
      <c r="CU122" s="15">
        <f t="shared" si="746"/>
        <v>0</v>
      </c>
      <c r="CV122" s="15">
        <f t="shared" si="746"/>
        <v>0</v>
      </c>
      <c r="CW122" s="15">
        <f t="shared" si="746"/>
        <v>0</v>
      </c>
      <c r="CX122" s="15">
        <f t="shared" si="746"/>
        <v>0</v>
      </c>
      <c r="CY122" s="15">
        <f t="shared" si="746"/>
        <v>0</v>
      </c>
      <c r="CZ122" s="15">
        <f t="shared" si="746"/>
        <v>0</v>
      </c>
      <c r="DA122" s="15">
        <f t="shared" si="746"/>
        <v>0</v>
      </c>
      <c r="DB122" s="15">
        <f t="shared" si="746"/>
        <v>0</v>
      </c>
    </row>
    <row r="123" spans="1:106" outlineLevel="1">
      <c r="A123" s="633">
        <v>120</v>
      </c>
      <c r="B123" s="625" t="s">
        <v>372</v>
      </c>
      <c r="C123" t="s">
        <v>518</v>
      </c>
      <c r="D123" s="15">
        <f t="shared" si="722"/>
        <v>0</v>
      </c>
      <c r="E123" s="15">
        <f t="shared" si="723"/>
        <v>0</v>
      </c>
      <c r="F123" s="15">
        <f t="shared" si="724"/>
        <v>0</v>
      </c>
      <c r="G123" s="15">
        <f t="shared" si="725"/>
        <v>0</v>
      </c>
      <c r="H123" s="15">
        <f t="shared" si="726"/>
        <v>0</v>
      </c>
      <c r="I123" s="15">
        <f t="shared" si="727"/>
        <v>0</v>
      </c>
      <c r="J123" s="15">
        <f t="shared" si="728"/>
        <v>0</v>
      </c>
      <c r="K123" s="15">
        <f t="shared" si="729"/>
        <v>0</v>
      </c>
      <c r="L123" s="15">
        <f t="shared" si="730"/>
        <v>0</v>
      </c>
      <c r="M123" s="15">
        <f t="shared" si="731"/>
        <v>0</v>
      </c>
      <c r="N123" s="15">
        <f t="shared" si="732"/>
        <v>0</v>
      </c>
      <c r="O123" s="15">
        <f t="shared" si="733"/>
        <v>0</v>
      </c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D123" s="646">
        <f t="shared" si="734"/>
        <v>0</v>
      </c>
      <c r="AE123" s="15">
        <f t="shared" si="735"/>
        <v>0</v>
      </c>
      <c r="AF123" s="15">
        <f t="shared" si="736"/>
        <v>0</v>
      </c>
      <c r="AG123" s="15">
        <f t="shared" si="737"/>
        <v>0</v>
      </c>
      <c r="AH123" s="15">
        <f t="shared" si="738"/>
        <v>0</v>
      </c>
      <c r="AI123" s="15">
        <f t="shared" si="739"/>
        <v>0</v>
      </c>
      <c r="AJ123" s="15">
        <f t="shared" si="740"/>
        <v>0</v>
      </c>
      <c r="AK123" s="15">
        <f t="shared" si="741"/>
        <v>0</v>
      </c>
      <c r="AL123" s="15">
        <f t="shared" si="742"/>
        <v>0</v>
      </c>
      <c r="AM123" s="15">
        <f t="shared" si="743"/>
        <v>0</v>
      </c>
      <c r="AN123" s="15">
        <f t="shared" si="744"/>
        <v>0</v>
      </c>
      <c r="AO123" s="647">
        <f t="shared" si="745"/>
        <v>0</v>
      </c>
      <c r="AQ123" s="15">
        <f>SUMIFS('BS-KH26-DTR'!D$2:D$116,'BS-KH26-DTR'!$B$2:$B$116,$A123)</f>
        <v>0</v>
      </c>
      <c r="AR123" s="15">
        <f>SUMIFS('BS-KH26-DTR'!E$2:E$116,'BS-KH26-DTR'!$B$2:$B$116,$A123)</f>
        <v>0</v>
      </c>
      <c r="AS123" s="15">
        <f>SUMIFS('BS-KH26-DTR'!F$2:F$116,'BS-KH26-DTR'!$B$2:$B$116,$A123)</f>
        <v>0</v>
      </c>
      <c r="AT123" s="15">
        <f>SUMIFS('BS-KH26-DTR'!G$2:G$116,'BS-KH26-DTR'!$B$2:$B$116,$A123)</f>
        <v>0</v>
      </c>
      <c r="AU123" s="15">
        <f>SUMIFS('BS-KH26-DTR'!H$2:H$116,'BS-KH26-DTR'!$B$2:$B$116,$A123)</f>
        <v>0</v>
      </c>
      <c r="AV123" s="15">
        <f>SUMIFS('BS-KH26-DTR'!I$2:I$116,'BS-KH26-DTR'!$B$2:$B$116,$A123)</f>
        <v>0</v>
      </c>
      <c r="AW123" s="15">
        <f>SUMIFS('BS-KH26-DTR'!J$2:J$116,'BS-KH26-DTR'!$B$2:$B$116,$A123)</f>
        <v>0</v>
      </c>
      <c r="AX123" s="15">
        <f>SUMIFS('BS-KH26-DTR'!K$2:K$116,'BS-KH26-DTR'!$B$2:$B$116,$A123)</f>
        <v>0</v>
      </c>
      <c r="AY123" s="15">
        <f>SUMIFS('BS-KH26-DTR'!L$2:L$116,'BS-KH26-DTR'!$B$2:$B$116,$A123)</f>
        <v>0</v>
      </c>
      <c r="AZ123" s="15">
        <f>SUMIFS('BS-KH26-DTR'!M$2:M$116,'BS-KH26-DTR'!$B$2:$B$116,$A123)</f>
        <v>0</v>
      </c>
      <c r="BA123" s="15">
        <f>SUMIFS('BS-KH26-DTR'!N$2:N$116,'BS-KH26-DTR'!$B$2:$B$116,$A123)</f>
        <v>0</v>
      </c>
      <c r="BB123" s="15">
        <f>SUMIFS('BS-KH26-DTR'!O$2:O$116,'BS-KH26-DTR'!$B$2:$B$116,$A123)</f>
        <v>0</v>
      </c>
      <c r="BD123" s="15">
        <f>SUMIFS('BS-KH26-DongLam'!M$2:M$51,'BS-KH26-DongLam'!$A$2:$A$51,'Consol BS-DTRG'!$A123)</f>
        <v>0</v>
      </c>
      <c r="BE123" s="15">
        <f>SUMIFS('BS-KH26-DongLam'!N$2:N$51,'BS-KH26-DongLam'!$A$2:$A$51,'Consol BS-DTRG'!$A123)</f>
        <v>0</v>
      </c>
      <c r="BF123" s="15">
        <f>SUMIFS('BS-KH26-DongLam'!O$2:O$51,'BS-KH26-DongLam'!$A$2:$A$51,'Consol BS-DTRG'!$A123)</f>
        <v>0</v>
      </c>
      <c r="BG123" s="15">
        <f>SUMIFS('BS-KH26-DongLam'!P$2:P$51,'BS-KH26-DongLam'!$A$2:$A$51,'Consol BS-DTRG'!$A123)</f>
        <v>0</v>
      </c>
      <c r="BH123" s="15">
        <f>SUMIFS('BS-KH26-DongLam'!Q$2:Q$51,'BS-KH26-DongLam'!$A$2:$A$51,'Consol BS-DTRG'!$A123)</f>
        <v>0</v>
      </c>
      <c r="BI123" s="15">
        <f>SUMIFS('BS-KH26-DongLam'!R$2:R$51,'BS-KH26-DongLam'!$A$2:$A$51,'Consol BS-DTRG'!$A123)</f>
        <v>0</v>
      </c>
      <c r="BJ123" s="15">
        <f>SUMIFS('BS-KH26-DongLam'!S$2:S$51,'BS-KH26-DongLam'!$A$2:$A$51,'Consol BS-DTRG'!$A123)</f>
        <v>0</v>
      </c>
      <c r="BK123" s="15">
        <f>SUMIFS('BS-KH26-DongLam'!T$2:T$51,'BS-KH26-DongLam'!$A$2:$A$51,'Consol BS-DTRG'!$A123)</f>
        <v>0</v>
      </c>
      <c r="BL123" s="15">
        <f>SUMIFS('BS-KH26-DongLam'!U$2:U$51,'BS-KH26-DongLam'!$A$2:$A$51,'Consol BS-DTRG'!$A123)</f>
        <v>0</v>
      </c>
      <c r="BM123" s="15">
        <f>SUMIFS('BS-KH26-DongLam'!V$2:V$51,'BS-KH26-DongLam'!$A$2:$A$51,'Consol BS-DTRG'!$A123)</f>
        <v>0</v>
      </c>
      <c r="BN123" s="15">
        <f>SUMIFS('BS-KH26-DongLam'!W$2:W$51,'BS-KH26-DongLam'!$A$2:$A$51,'Consol BS-DTRG'!$A123)</f>
        <v>0</v>
      </c>
      <c r="BO123" s="15">
        <f>SUMIFS('BS-KH26-DongLam'!X$2:X$51,'BS-KH26-DongLam'!$A$2:$A$51,'Consol BS-DTRG'!$A123)</f>
        <v>0</v>
      </c>
      <c r="BQ123" s="15">
        <f>SUMIFS('BS-KH26-KhanhNga'!M$2:M$51,'BS-KH26-KhanhNga'!$A$2:$A$51,'Consol BS-DTRG'!$A123)</f>
        <v>0</v>
      </c>
      <c r="BR123" s="15">
        <f>SUMIFS('BS-KH26-KhanhNga'!N$2:N$51,'BS-KH26-KhanhNga'!$A$2:$A$51,'Consol BS-DTRG'!$A123)</f>
        <v>0</v>
      </c>
      <c r="BS123" s="15">
        <f>SUMIFS('BS-KH26-KhanhNga'!O$2:O$51,'BS-KH26-KhanhNga'!$A$2:$A$51,'Consol BS-DTRG'!$A123)</f>
        <v>0</v>
      </c>
      <c r="BT123" s="15">
        <f>SUMIFS('BS-KH26-KhanhNga'!P$2:P$51,'BS-KH26-KhanhNga'!$A$2:$A$51,'Consol BS-DTRG'!$A123)</f>
        <v>0</v>
      </c>
      <c r="BU123" s="15">
        <f>SUMIFS('BS-KH26-KhanhNga'!Q$2:Q$51,'BS-KH26-KhanhNga'!$A$2:$A$51,'Consol BS-DTRG'!$A123)</f>
        <v>0</v>
      </c>
      <c r="BV123" s="15">
        <f>SUMIFS('BS-KH26-KhanhNga'!R$2:R$51,'BS-KH26-KhanhNga'!$A$2:$A$51,'Consol BS-DTRG'!$A123)</f>
        <v>0</v>
      </c>
      <c r="BW123" s="15">
        <f>SUMIFS('BS-KH26-KhanhNga'!S$2:S$51,'BS-KH26-KhanhNga'!$A$2:$A$51,'Consol BS-DTRG'!$A123)</f>
        <v>0</v>
      </c>
      <c r="BX123" s="15">
        <f>SUMIFS('BS-KH26-KhanhNga'!T$2:T$51,'BS-KH26-KhanhNga'!$A$2:$A$51,'Consol BS-DTRG'!$A123)</f>
        <v>0</v>
      </c>
      <c r="BY123" s="15">
        <f>SUMIFS('BS-KH26-KhanhNga'!U$2:U$51,'BS-KH26-KhanhNga'!$A$2:$A$51,'Consol BS-DTRG'!$A123)</f>
        <v>0</v>
      </c>
      <c r="BZ123" s="15">
        <f>SUMIFS('BS-KH26-KhanhNga'!V$2:V$51,'BS-KH26-KhanhNga'!$A$2:$A$51,'Consol BS-DTRG'!$A123)</f>
        <v>0</v>
      </c>
      <c r="CA123" s="15">
        <f>SUMIFS('BS-KH26-KhanhNga'!W$2:W$51,'BS-KH26-KhanhNga'!$A$2:$A$51,'Consol BS-DTRG'!$A123)</f>
        <v>0</v>
      </c>
      <c r="CB123" s="15">
        <f>SUMIFS('BS-KH26-KhanhNga'!X$2:X$51,'BS-KH26-KhanhNga'!$A$2:$A$51,'Consol BS-DTRG'!$A123)</f>
        <v>0</v>
      </c>
      <c r="CD123" s="15">
        <f>SUMIFS('BS-KH26-DaiLoc'!M$2:M$51,'BS-KH26-DaiLoc'!$A$2:$A$51,'Consol BS-DTRG'!$A123)</f>
        <v>0</v>
      </c>
      <c r="CE123" s="15">
        <f>SUMIFS('BS-KH26-DaiLoc'!N$2:N$51,'BS-KH26-DaiLoc'!$A$2:$A$51,'Consol BS-DTRG'!$A123)</f>
        <v>0</v>
      </c>
      <c r="CF123" s="15">
        <f>SUMIFS('BS-KH26-DaiLoc'!O$2:O$51,'BS-KH26-DaiLoc'!$A$2:$A$51,'Consol BS-DTRG'!$A123)</f>
        <v>0</v>
      </c>
      <c r="CG123" s="15">
        <f>SUMIFS('BS-KH26-DaiLoc'!P$2:P$51,'BS-KH26-DaiLoc'!$A$2:$A$51,'Consol BS-DTRG'!$A123)</f>
        <v>0</v>
      </c>
      <c r="CH123" s="15">
        <f>SUMIFS('BS-KH26-DaiLoc'!Q$2:Q$51,'BS-KH26-DaiLoc'!$A$2:$A$51,'Consol BS-DTRG'!$A123)</f>
        <v>0</v>
      </c>
      <c r="CI123" s="15">
        <f>SUMIFS('BS-KH26-DaiLoc'!R$2:R$51,'BS-KH26-DaiLoc'!$A$2:$A$51,'Consol BS-DTRG'!$A123)</f>
        <v>0</v>
      </c>
      <c r="CJ123" s="15">
        <f>SUMIFS('BS-KH26-DaiLoc'!S$2:S$51,'BS-KH26-DaiLoc'!$A$2:$A$51,'Consol BS-DTRG'!$A123)</f>
        <v>0</v>
      </c>
      <c r="CK123" s="15">
        <f>SUMIFS('BS-KH26-DaiLoc'!T$2:T$51,'BS-KH26-DaiLoc'!$A$2:$A$51,'Consol BS-DTRG'!$A123)</f>
        <v>0</v>
      </c>
      <c r="CL123" s="15">
        <f>SUMIFS('BS-KH26-DaiLoc'!U$2:U$51,'BS-KH26-DaiLoc'!$A$2:$A$51,'Consol BS-DTRG'!$A123)</f>
        <v>0</v>
      </c>
      <c r="CM123" s="15">
        <f>SUMIFS('BS-KH26-DaiLoc'!V$2:V$51,'BS-KH26-DaiLoc'!$A$2:$A$51,'Consol BS-DTRG'!$A123)</f>
        <v>0</v>
      </c>
      <c r="CN123" s="15">
        <f>SUMIFS('BS-KH26-DaiLoc'!W$2:W$51,'BS-KH26-DaiLoc'!$A$2:$A$51,'Consol BS-DTRG'!$A123)</f>
        <v>0</v>
      </c>
      <c r="CO123" s="15">
        <f>SUMIFS('BS-KH26-DaiLoc'!X$2:X$51,'BS-KH26-DaiLoc'!$A$2:$A$51,'Consol BS-DTRG'!$A123)</f>
        <v>0</v>
      </c>
      <c r="CQ123" s="15">
        <v>0</v>
      </c>
      <c r="CR123" s="15">
        <f t="shared" si="746"/>
        <v>0</v>
      </c>
      <c r="CS123" s="15">
        <f t="shared" si="746"/>
        <v>0</v>
      </c>
      <c r="CT123" s="15">
        <f t="shared" si="746"/>
        <v>0</v>
      </c>
      <c r="CU123" s="15">
        <f t="shared" si="746"/>
        <v>0</v>
      </c>
      <c r="CV123" s="15">
        <f t="shared" si="746"/>
        <v>0</v>
      </c>
      <c r="CW123" s="15">
        <f t="shared" si="746"/>
        <v>0</v>
      </c>
      <c r="CX123" s="15">
        <f t="shared" si="746"/>
        <v>0</v>
      </c>
      <c r="CY123" s="15">
        <f t="shared" si="746"/>
        <v>0</v>
      </c>
      <c r="CZ123" s="15">
        <f t="shared" si="746"/>
        <v>0</v>
      </c>
      <c r="DA123" s="15">
        <f t="shared" si="746"/>
        <v>0</v>
      </c>
      <c r="DB123" s="15">
        <f t="shared" si="746"/>
        <v>0</v>
      </c>
    </row>
    <row r="124" spans="1:106" outlineLevel="1">
      <c r="A124" s="633">
        <v>121</v>
      </c>
      <c r="B124" s="625" t="s">
        <v>373</v>
      </c>
      <c r="C124" t="s">
        <v>518</v>
      </c>
      <c r="D124" s="15">
        <f t="shared" si="722"/>
        <v>0</v>
      </c>
      <c r="E124" s="15">
        <f t="shared" si="723"/>
        <v>0</v>
      </c>
      <c r="F124" s="15">
        <f t="shared" si="724"/>
        <v>0</v>
      </c>
      <c r="G124" s="15">
        <f t="shared" si="725"/>
        <v>0</v>
      </c>
      <c r="H124" s="15">
        <f t="shared" si="726"/>
        <v>0</v>
      </c>
      <c r="I124" s="15">
        <f t="shared" si="727"/>
        <v>0</v>
      </c>
      <c r="J124" s="15">
        <f t="shared" si="728"/>
        <v>0</v>
      </c>
      <c r="K124" s="15">
        <f t="shared" si="729"/>
        <v>0</v>
      </c>
      <c r="L124" s="15">
        <f t="shared" si="730"/>
        <v>0</v>
      </c>
      <c r="M124" s="15">
        <f t="shared" si="731"/>
        <v>0</v>
      </c>
      <c r="N124" s="15">
        <f t="shared" si="732"/>
        <v>0</v>
      </c>
      <c r="O124" s="15">
        <f t="shared" si="733"/>
        <v>0</v>
      </c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D124" s="646">
        <f t="shared" si="734"/>
        <v>0</v>
      </c>
      <c r="AE124" s="15">
        <f t="shared" si="735"/>
        <v>0</v>
      </c>
      <c r="AF124" s="15">
        <f t="shared" si="736"/>
        <v>0</v>
      </c>
      <c r="AG124" s="15">
        <f t="shared" si="737"/>
        <v>0</v>
      </c>
      <c r="AH124" s="15">
        <f t="shared" si="738"/>
        <v>0</v>
      </c>
      <c r="AI124" s="15">
        <f t="shared" si="739"/>
        <v>0</v>
      </c>
      <c r="AJ124" s="15">
        <f t="shared" si="740"/>
        <v>0</v>
      </c>
      <c r="AK124" s="15">
        <f t="shared" si="741"/>
        <v>0</v>
      </c>
      <c r="AL124" s="15">
        <f t="shared" si="742"/>
        <v>0</v>
      </c>
      <c r="AM124" s="15">
        <f t="shared" si="743"/>
        <v>0</v>
      </c>
      <c r="AN124" s="15">
        <f t="shared" si="744"/>
        <v>0</v>
      </c>
      <c r="AO124" s="647">
        <f t="shared" si="745"/>
        <v>0</v>
      </c>
      <c r="AQ124" s="15">
        <f>SUMIFS('BS-KH26-DTR'!D$2:D$116,'BS-KH26-DTR'!$B$2:$B$116,$A124)</f>
        <v>0</v>
      </c>
      <c r="AR124" s="15">
        <f>SUMIFS('BS-KH26-DTR'!E$2:E$116,'BS-KH26-DTR'!$B$2:$B$116,$A124)</f>
        <v>0</v>
      </c>
      <c r="AS124" s="15">
        <f>SUMIFS('BS-KH26-DTR'!F$2:F$116,'BS-KH26-DTR'!$B$2:$B$116,$A124)</f>
        <v>0</v>
      </c>
      <c r="AT124" s="15">
        <f>SUMIFS('BS-KH26-DTR'!G$2:G$116,'BS-KH26-DTR'!$B$2:$B$116,$A124)</f>
        <v>0</v>
      </c>
      <c r="AU124" s="15">
        <f>SUMIFS('BS-KH26-DTR'!H$2:H$116,'BS-KH26-DTR'!$B$2:$B$116,$A124)</f>
        <v>0</v>
      </c>
      <c r="AV124" s="15">
        <f>SUMIFS('BS-KH26-DTR'!I$2:I$116,'BS-KH26-DTR'!$B$2:$B$116,$A124)</f>
        <v>0</v>
      </c>
      <c r="AW124" s="15">
        <f>SUMIFS('BS-KH26-DTR'!J$2:J$116,'BS-KH26-DTR'!$B$2:$B$116,$A124)</f>
        <v>0</v>
      </c>
      <c r="AX124" s="15">
        <f>SUMIFS('BS-KH26-DTR'!K$2:K$116,'BS-KH26-DTR'!$B$2:$B$116,$A124)</f>
        <v>0</v>
      </c>
      <c r="AY124" s="15">
        <f>SUMIFS('BS-KH26-DTR'!L$2:L$116,'BS-KH26-DTR'!$B$2:$B$116,$A124)</f>
        <v>0</v>
      </c>
      <c r="AZ124" s="15">
        <f>SUMIFS('BS-KH26-DTR'!M$2:M$116,'BS-KH26-DTR'!$B$2:$B$116,$A124)</f>
        <v>0</v>
      </c>
      <c r="BA124" s="15">
        <f>SUMIFS('BS-KH26-DTR'!N$2:N$116,'BS-KH26-DTR'!$B$2:$B$116,$A124)</f>
        <v>0</v>
      </c>
      <c r="BB124" s="15">
        <f>SUMIFS('BS-KH26-DTR'!O$2:O$116,'BS-KH26-DTR'!$B$2:$B$116,$A124)</f>
        <v>0</v>
      </c>
      <c r="BD124" s="15">
        <f>SUMIFS('BS-KH26-DongLam'!M$2:M$51,'BS-KH26-DongLam'!$A$2:$A$51,'Consol BS-DTRG'!$A124)</f>
        <v>0</v>
      </c>
      <c r="BE124" s="15">
        <f>SUMIFS('BS-KH26-DongLam'!N$2:N$51,'BS-KH26-DongLam'!$A$2:$A$51,'Consol BS-DTRG'!$A124)</f>
        <v>0</v>
      </c>
      <c r="BF124" s="15">
        <f>SUMIFS('BS-KH26-DongLam'!O$2:O$51,'BS-KH26-DongLam'!$A$2:$A$51,'Consol BS-DTRG'!$A124)</f>
        <v>0</v>
      </c>
      <c r="BG124" s="15">
        <f>SUMIFS('BS-KH26-DongLam'!P$2:P$51,'BS-KH26-DongLam'!$A$2:$A$51,'Consol BS-DTRG'!$A124)</f>
        <v>0</v>
      </c>
      <c r="BH124" s="15">
        <f>SUMIFS('BS-KH26-DongLam'!Q$2:Q$51,'BS-KH26-DongLam'!$A$2:$A$51,'Consol BS-DTRG'!$A124)</f>
        <v>0</v>
      </c>
      <c r="BI124" s="15">
        <f>SUMIFS('BS-KH26-DongLam'!R$2:R$51,'BS-KH26-DongLam'!$A$2:$A$51,'Consol BS-DTRG'!$A124)</f>
        <v>0</v>
      </c>
      <c r="BJ124" s="15">
        <f>SUMIFS('BS-KH26-DongLam'!S$2:S$51,'BS-KH26-DongLam'!$A$2:$A$51,'Consol BS-DTRG'!$A124)</f>
        <v>0</v>
      </c>
      <c r="BK124" s="15">
        <f>SUMIFS('BS-KH26-DongLam'!T$2:T$51,'BS-KH26-DongLam'!$A$2:$A$51,'Consol BS-DTRG'!$A124)</f>
        <v>0</v>
      </c>
      <c r="BL124" s="15">
        <f>SUMIFS('BS-KH26-DongLam'!U$2:U$51,'BS-KH26-DongLam'!$A$2:$A$51,'Consol BS-DTRG'!$A124)</f>
        <v>0</v>
      </c>
      <c r="BM124" s="15">
        <f>SUMIFS('BS-KH26-DongLam'!V$2:V$51,'BS-KH26-DongLam'!$A$2:$A$51,'Consol BS-DTRG'!$A124)</f>
        <v>0</v>
      </c>
      <c r="BN124" s="15">
        <f>SUMIFS('BS-KH26-DongLam'!W$2:W$51,'BS-KH26-DongLam'!$A$2:$A$51,'Consol BS-DTRG'!$A124)</f>
        <v>0</v>
      </c>
      <c r="BO124" s="15">
        <f>SUMIFS('BS-KH26-DongLam'!X$2:X$51,'BS-KH26-DongLam'!$A$2:$A$51,'Consol BS-DTRG'!$A124)</f>
        <v>0</v>
      </c>
      <c r="BQ124" s="15">
        <f>SUMIFS('BS-KH26-KhanhNga'!M$2:M$51,'BS-KH26-KhanhNga'!$A$2:$A$51,'Consol BS-DTRG'!$A124)</f>
        <v>0</v>
      </c>
      <c r="BR124" s="15">
        <f>SUMIFS('BS-KH26-KhanhNga'!N$2:N$51,'BS-KH26-KhanhNga'!$A$2:$A$51,'Consol BS-DTRG'!$A124)</f>
        <v>0</v>
      </c>
      <c r="BS124" s="15">
        <f>SUMIFS('BS-KH26-KhanhNga'!O$2:O$51,'BS-KH26-KhanhNga'!$A$2:$A$51,'Consol BS-DTRG'!$A124)</f>
        <v>0</v>
      </c>
      <c r="BT124" s="15">
        <f>SUMIFS('BS-KH26-KhanhNga'!P$2:P$51,'BS-KH26-KhanhNga'!$A$2:$A$51,'Consol BS-DTRG'!$A124)</f>
        <v>0</v>
      </c>
      <c r="BU124" s="15">
        <f>SUMIFS('BS-KH26-KhanhNga'!Q$2:Q$51,'BS-KH26-KhanhNga'!$A$2:$A$51,'Consol BS-DTRG'!$A124)</f>
        <v>0</v>
      </c>
      <c r="BV124" s="15">
        <f>SUMIFS('BS-KH26-KhanhNga'!R$2:R$51,'BS-KH26-KhanhNga'!$A$2:$A$51,'Consol BS-DTRG'!$A124)</f>
        <v>0</v>
      </c>
      <c r="BW124" s="15">
        <f>SUMIFS('BS-KH26-KhanhNga'!S$2:S$51,'BS-KH26-KhanhNga'!$A$2:$A$51,'Consol BS-DTRG'!$A124)</f>
        <v>0</v>
      </c>
      <c r="BX124" s="15">
        <f>SUMIFS('BS-KH26-KhanhNga'!T$2:T$51,'BS-KH26-KhanhNga'!$A$2:$A$51,'Consol BS-DTRG'!$A124)</f>
        <v>0</v>
      </c>
      <c r="BY124" s="15">
        <f>SUMIFS('BS-KH26-KhanhNga'!U$2:U$51,'BS-KH26-KhanhNga'!$A$2:$A$51,'Consol BS-DTRG'!$A124)</f>
        <v>0</v>
      </c>
      <c r="BZ124" s="15">
        <f>SUMIFS('BS-KH26-KhanhNga'!V$2:V$51,'BS-KH26-KhanhNga'!$A$2:$A$51,'Consol BS-DTRG'!$A124)</f>
        <v>0</v>
      </c>
      <c r="CA124" s="15">
        <f>SUMIFS('BS-KH26-KhanhNga'!W$2:W$51,'BS-KH26-KhanhNga'!$A$2:$A$51,'Consol BS-DTRG'!$A124)</f>
        <v>0</v>
      </c>
      <c r="CB124" s="15">
        <f>SUMIFS('BS-KH26-KhanhNga'!X$2:X$51,'BS-KH26-KhanhNga'!$A$2:$A$51,'Consol BS-DTRG'!$A124)</f>
        <v>0</v>
      </c>
      <c r="CD124" s="15">
        <f>SUMIFS('BS-KH26-DaiLoc'!M$2:M$51,'BS-KH26-DaiLoc'!$A$2:$A$51,'Consol BS-DTRG'!$A124)</f>
        <v>0</v>
      </c>
      <c r="CE124" s="15">
        <f>SUMIFS('BS-KH26-DaiLoc'!N$2:N$51,'BS-KH26-DaiLoc'!$A$2:$A$51,'Consol BS-DTRG'!$A124)</f>
        <v>0</v>
      </c>
      <c r="CF124" s="15">
        <f>SUMIFS('BS-KH26-DaiLoc'!O$2:O$51,'BS-KH26-DaiLoc'!$A$2:$A$51,'Consol BS-DTRG'!$A124)</f>
        <v>0</v>
      </c>
      <c r="CG124" s="15">
        <f>SUMIFS('BS-KH26-DaiLoc'!P$2:P$51,'BS-KH26-DaiLoc'!$A$2:$A$51,'Consol BS-DTRG'!$A124)</f>
        <v>0</v>
      </c>
      <c r="CH124" s="15">
        <f>SUMIFS('BS-KH26-DaiLoc'!Q$2:Q$51,'BS-KH26-DaiLoc'!$A$2:$A$51,'Consol BS-DTRG'!$A124)</f>
        <v>0</v>
      </c>
      <c r="CI124" s="15">
        <f>SUMIFS('BS-KH26-DaiLoc'!R$2:R$51,'BS-KH26-DaiLoc'!$A$2:$A$51,'Consol BS-DTRG'!$A124)</f>
        <v>0</v>
      </c>
      <c r="CJ124" s="15">
        <f>SUMIFS('BS-KH26-DaiLoc'!S$2:S$51,'BS-KH26-DaiLoc'!$A$2:$A$51,'Consol BS-DTRG'!$A124)</f>
        <v>0</v>
      </c>
      <c r="CK124" s="15">
        <f>SUMIFS('BS-KH26-DaiLoc'!T$2:T$51,'BS-KH26-DaiLoc'!$A$2:$A$51,'Consol BS-DTRG'!$A124)</f>
        <v>0</v>
      </c>
      <c r="CL124" s="15">
        <f>SUMIFS('BS-KH26-DaiLoc'!U$2:U$51,'BS-KH26-DaiLoc'!$A$2:$A$51,'Consol BS-DTRG'!$A124)</f>
        <v>0</v>
      </c>
      <c r="CM124" s="15">
        <f>SUMIFS('BS-KH26-DaiLoc'!V$2:V$51,'BS-KH26-DaiLoc'!$A$2:$A$51,'Consol BS-DTRG'!$A124)</f>
        <v>0</v>
      </c>
      <c r="CN124" s="15">
        <f>SUMIFS('BS-KH26-DaiLoc'!W$2:W$51,'BS-KH26-DaiLoc'!$A$2:$A$51,'Consol BS-DTRG'!$A124)</f>
        <v>0</v>
      </c>
      <c r="CO124" s="15">
        <f>SUMIFS('BS-KH26-DaiLoc'!X$2:X$51,'BS-KH26-DaiLoc'!$A$2:$A$51,'Consol BS-DTRG'!$A124)</f>
        <v>0</v>
      </c>
      <c r="CQ124" s="15">
        <v>0</v>
      </c>
      <c r="CR124" s="15">
        <f t="shared" si="746"/>
        <v>0</v>
      </c>
      <c r="CS124" s="15">
        <f t="shared" si="746"/>
        <v>0</v>
      </c>
      <c r="CT124" s="15">
        <f t="shared" si="746"/>
        <v>0</v>
      </c>
      <c r="CU124" s="15">
        <f t="shared" si="746"/>
        <v>0</v>
      </c>
      <c r="CV124" s="15">
        <f t="shared" si="746"/>
        <v>0</v>
      </c>
      <c r="CW124" s="15">
        <f t="shared" si="746"/>
        <v>0</v>
      </c>
      <c r="CX124" s="15">
        <f t="shared" si="746"/>
        <v>0</v>
      </c>
      <c r="CY124" s="15">
        <f t="shared" si="746"/>
        <v>0</v>
      </c>
      <c r="CZ124" s="15">
        <f t="shared" si="746"/>
        <v>0</v>
      </c>
      <c r="DA124" s="15">
        <f t="shared" si="746"/>
        <v>0</v>
      </c>
      <c r="DB124" s="15">
        <f t="shared" si="746"/>
        <v>0</v>
      </c>
    </row>
    <row r="125" spans="1:106" outlineLevel="1">
      <c r="A125" s="633">
        <v>122</v>
      </c>
      <c r="B125" s="625" t="s">
        <v>374</v>
      </c>
      <c r="C125" t="s">
        <v>518</v>
      </c>
      <c r="D125" s="15">
        <f t="shared" si="722"/>
        <v>0</v>
      </c>
      <c r="E125" s="15">
        <f t="shared" si="723"/>
        <v>0</v>
      </c>
      <c r="F125" s="15">
        <f t="shared" si="724"/>
        <v>0</v>
      </c>
      <c r="G125" s="15">
        <f t="shared" si="725"/>
        <v>0</v>
      </c>
      <c r="H125" s="15">
        <f t="shared" si="726"/>
        <v>0</v>
      </c>
      <c r="I125" s="15">
        <f t="shared" si="727"/>
        <v>0</v>
      </c>
      <c r="J125" s="15">
        <f t="shared" si="728"/>
        <v>0</v>
      </c>
      <c r="K125" s="15">
        <f t="shared" si="729"/>
        <v>0</v>
      </c>
      <c r="L125" s="15">
        <f t="shared" si="730"/>
        <v>0</v>
      </c>
      <c r="M125" s="15">
        <f t="shared" si="731"/>
        <v>0</v>
      </c>
      <c r="N125" s="15">
        <f t="shared" si="732"/>
        <v>0</v>
      </c>
      <c r="O125" s="15">
        <f t="shared" si="733"/>
        <v>0</v>
      </c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D125" s="646">
        <f t="shared" si="734"/>
        <v>0</v>
      </c>
      <c r="AE125" s="15">
        <f t="shared" si="735"/>
        <v>0</v>
      </c>
      <c r="AF125" s="15">
        <f t="shared" si="736"/>
        <v>0</v>
      </c>
      <c r="AG125" s="15">
        <f t="shared" si="737"/>
        <v>0</v>
      </c>
      <c r="AH125" s="15">
        <f t="shared" si="738"/>
        <v>0</v>
      </c>
      <c r="AI125" s="15">
        <f t="shared" si="739"/>
        <v>0</v>
      </c>
      <c r="AJ125" s="15">
        <f t="shared" si="740"/>
        <v>0</v>
      </c>
      <c r="AK125" s="15">
        <f t="shared" si="741"/>
        <v>0</v>
      </c>
      <c r="AL125" s="15">
        <f t="shared" si="742"/>
        <v>0</v>
      </c>
      <c r="AM125" s="15">
        <f t="shared" si="743"/>
        <v>0</v>
      </c>
      <c r="AN125" s="15">
        <f t="shared" si="744"/>
        <v>0</v>
      </c>
      <c r="AO125" s="647">
        <f t="shared" si="745"/>
        <v>0</v>
      </c>
      <c r="AQ125" s="15">
        <f>SUMIFS('BS-KH26-DTR'!D$2:D$116,'BS-KH26-DTR'!$B$2:$B$116,$A125)</f>
        <v>0</v>
      </c>
      <c r="AR125" s="15">
        <f>SUMIFS('BS-KH26-DTR'!E$2:E$116,'BS-KH26-DTR'!$B$2:$B$116,$A125)</f>
        <v>0</v>
      </c>
      <c r="AS125" s="15">
        <f>SUMIFS('BS-KH26-DTR'!F$2:F$116,'BS-KH26-DTR'!$B$2:$B$116,$A125)</f>
        <v>0</v>
      </c>
      <c r="AT125" s="15">
        <f>SUMIFS('BS-KH26-DTR'!G$2:G$116,'BS-KH26-DTR'!$B$2:$B$116,$A125)</f>
        <v>0</v>
      </c>
      <c r="AU125" s="15">
        <f>SUMIFS('BS-KH26-DTR'!H$2:H$116,'BS-KH26-DTR'!$B$2:$B$116,$A125)</f>
        <v>0</v>
      </c>
      <c r="AV125" s="15">
        <f>SUMIFS('BS-KH26-DTR'!I$2:I$116,'BS-KH26-DTR'!$B$2:$B$116,$A125)</f>
        <v>0</v>
      </c>
      <c r="AW125" s="15">
        <f>SUMIFS('BS-KH26-DTR'!J$2:J$116,'BS-KH26-DTR'!$B$2:$B$116,$A125)</f>
        <v>0</v>
      </c>
      <c r="AX125" s="15">
        <f>SUMIFS('BS-KH26-DTR'!K$2:K$116,'BS-KH26-DTR'!$B$2:$B$116,$A125)</f>
        <v>0</v>
      </c>
      <c r="AY125" s="15">
        <f>SUMIFS('BS-KH26-DTR'!L$2:L$116,'BS-KH26-DTR'!$B$2:$B$116,$A125)</f>
        <v>0</v>
      </c>
      <c r="AZ125" s="15">
        <f>SUMIFS('BS-KH26-DTR'!M$2:M$116,'BS-KH26-DTR'!$B$2:$B$116,$A125)</f>
        <v>0</v>
      </c>
      <c r="BA125" s="15">
        <f>SUMIFS('BS-KH26-DTR'!N$2:N$116,'BS-KH26-DTR'!$B$2:$B$116,$A125)</f>
        <v>0</v>
      </c>
      <c r="BB125" s="15">
        <f>SUMIFS('BS-KH26-DTR'!O$2:O$116,'BS-KH26-DTR'!$B$2:$B$116,$A125)</f>
        <v>0</v>
      </c>
      <c r="BD125" s="15">
        <f>SUMIFS('BS-KH26-DongLam'!M$2:M$51,'BS-KH26-DongLam'!$A$2:$A$51,'Consol BS-DTRG'!$A125)</f>
        <v>0</v>
      </c>
      <c r="BE125" s="15">
        <f>SUMIFS('BS-KH26-DongLam'!N$2:N$51,'BS-KH26-DongLam'!$A$2:$A$51,'Consol BS-DTRG'!$A125)</f>
        <v>0</v>
      </c>
      <c r="BF125" s="15">
        <f>SUMIFS('BS-KH26-DongLam'!O$2:O$51,'BS-KH26-DongLam'!$A$2:$A$51,'Consol BS-DTRG'!$A125)</f>
        <v>0</v>
      </c>
      <c r="BG125" s="15">
        <f>SUMIFS('BS-KH26-DongLam'!P$2:P$51,'BS-KH26-DongLam'!$A$2:$A$51,'Consol BS-DTRG'!$A125)</f>
        <v>0</v>
      </c>
      <c r="BH125" s="15">
        <f>SUMIFS('BS-KH26-DongLam'!Q$2:Q$51,'BS-KH26-DongLam'!$A$2:$A$51,'Consol BS-DTRG'!$A125)</f>
        <v>0</v>
      </c>
      <c r="BI125" s="15">
        <f>SUMIFS('BS-KH26-DongLam'!R$2:R$51,'BS-KH26-DongLam'!$A$2:$A$51,'Consol BS-DTRG'!$A125)</f>
        <v>0</v>
      </c>
      <c r="BJ125" s="15">
        <f>SUMIFS('BS-KH26-DongLam'!S$2:S$51,'BS-KH26-DongLam'!$A$2:$A$51,'Consol BS-DTRG'!$A125)</f>
        <v>0</v>
      </c>
      <c r="BK125" s="15">
        <f>SUMIFS('BS-KH26-DongLam'!T$2:T$51,'BS-KH26-DongLam'!$A$2:$A$51,'Consol BS-DTRG'!$A125)</f>
        <v>0</v>
      </c>
      <c r="BL125" s="15">
        <f>SUMIFS('BS-KH26-DongLam'!U$2:U$51,'BS-KH26-DongLam'!$A$2:$A$51,'Consol BS-DTRG'!$A125)</f>
        <v>0</v>
      </c>
      <c r="BM125" s="15">
        <f>SUMIFS('BS-KH26-DongLam'!V$2:V$51,'BS-KH26-DongLam'!$A$2:$A$51,'Consol BS-DTRG'!$A125)</f>
        <v>0</v>
      </c>
      <c r="BN125" s="15">
        <f>SUMIFS('BS-KH26-DongLam'!W$2:W$51,'BS-KH26-DongLam'!$A$2:$A$51,'Consol BS-DTRG'!$A125)</f>
        <v>0</v>
      </c>
      <c r="BO125" s="15">
        <f>SUMIFS('BS-KH26-DongLam'!X$2:X$51,'BS-KH26-DongLam'!$A$2:$A$51,'Consol BS-DTRG'!$A125)</f>
        <v>0</v>
      </c>
      <c r="BQ125" s="15">
        <f>SUMIFS('BS-KH26-KhanhNga'!M$2:M$51,'BS-KH26-KhanhNga'!$A$2:$A$51,'Consol BS-DTRG'!$A125)</f>
        <v>0</v>
      </c>
      <c r="BR125" s="15">
        <f>SUMIFS('BS-KH26-KhanhNga'!N$2:N$51,'BS-KH26-KhanhNga'!$A$2:$A$51,'Consol BS-DTRG'!$A125)</f>
        <v>0</v>
      </c>
      <c r="BS125" s="15">
        <f>SUMIFS('BS-KH26-KhanhNga'!O$2:O$51,'BS-KH26-KhanhNga'!$A$2:$A$51,'Consol BS-DTRG'!$A125)</f>
        <v>0</v>
      </c>
      <c r="BT125" s="15">
        <f>SUMIFS('BS-KH26-KhanhNga'!P$2:P$51,'BS-KH26-KhanhNga'!$A$2:$A$51,'Consol BS-DTRG'!$A125)</f>
        <v>0</v>
      </c>
      <c r="BU125" s="15">
        <f>SUMIFS('BS-KH26-KhanhNga'!Q$2:Q$51,'BS-KH26-KhanhNga'!$A$2:$A$51,'Consol BS-DTRG'!$A125)</f>
        <v>0</v>
      </c>
      <c r="BV125" s="15">
        <f>SUMIFS('BS-KH26-KhanhNga'!R$2:R$51,'BS-KH26-KhanhNga'!$A$2:$A$51,'Consol BS-DTRG'!$A125)</f>
        <v>0</v>
      </c>
      <c r="BW125" s="15">
        <f>SUMIFS('BS-KH26-KhanhNga'!S$2:S$51,'BS-KH26-KhanhNga'!$A$2:$A$51,'Consol BS-DTRG'!$A125)</f>
        <v>0</v>
      </c>
      <c r="BX125" s="15">
        <f>SUMIFS('BS-KH26-KhanhNga'!T$2:T$51,'BS-KH26-KhanhNga'!$A$2:$A$51,'Consol BS-DTRG'!$A125)</f>
        <v>0</v>
      </c>
      <c r="BY125" s="15">
        <f>SUMIFS('BS-KH26-KhanhNga'!U$2:U$51,'BS-KH26-KhanhNga'!$A$2:$A$51,'Consol BS-DTRG'!$A125)</f>
        <v>0</v>
      </c>
      <c r="BZ125" s="15">
        <f>SUMIFS('BS-KH26-KhanhNga'!V$2:V$51,'BS-KH26-KhanhNga'!$A$2:$A$51,'Consol BS-DTRG'!$A125)</f>
        <v>0</v>
      </c>
      <c r="CA125" s="15">
        <f>SUMIFS('BS-KH26-KhanhNga'!W$2:W$51,'BS-KH26-KhanhNga'!$A$2:$A$51,'Consol BS-DTRG'!$A125)</f>
        <v>0</v>
      </c>
      <c r="CB125" s="15">
        <f>SUMIFS('BS-KH26-KhanhNga'!X$2:X$51,'BS-KH26-KhanhNga'!$A$2:$A$51,'Consol BS-DTRG'!$A125)</f>
        <v>0</v>
      </c>
      <c r="CD125" s="15">
        <f>SUMIFS('BS-KH26-DaiLoc'!M$2:M$51,'BS-KH26-DaiLoc'!$A$2:$A$51,'Consol BS-DTRG'!$A125)</f>
        <v>0</v>
      </c>
      <c r="CE125" s="15">
        <f>SUMIFS('BS-KH26-DaiLoc'!N$2:N$51,'BS-KH26-DaiLoc'!$A$2:$A$51,'Consol BS-DTRG'!$A125)</f>
        <v>0</v>
      </c>
      <c r="CF125" s="15">
        <f>SUMIFS('BS-KH26-DaiLoc'!O$2:O$51,'BS-KH26-DaiLoc'!$A$2:$A$51,'Consol BS-DTRG'!$A125)</f>
        <v>0</v>
      </c>
      <c r="CG125" s="15">
        <f>SUMIFS('BS-KH26-DaiLoc'!P$2:P$51,'BS-KH26-DaiLoc'!$A$2:$A$51,'Consol BS-DTRG'!$A125)</f>
        <v>0</v>
      </c>
      <c r="CH125" s="15">
        <f>SUMIFS('BS-KH26-DaiLoc'!Q$2:Q$51,'BS-KH26-DaiLoc'!$A$2:$A$51,'Consol BS-DTRG'!$A125)</f>
        <v>0</v>
      </c>
      <c r="CI125" s="15">
        <f>SUMIFS('BS-KH26-DaiLoc'!R$2:R$51,'BS-KH26-DaiLoc'!$A$2:$A$51,'Consol BS-DTRG'!$A125)</f>
        <v>0</v>
      </c>
      <c r="CJ125" s="15">
        <f>SUMIFS('BS-KH26-DaiLoc'!S$2:S$51,'BS-KH26-DaiLoc'!$A$2:$A$51,'Consol BS-DTRG'!$A125)</f>
        <v>0</v>
      </c>
      <c r="CK125" s="15">
        <f>SUMIFS('BS-KH26-DaiLoc'!T$2:T$51,'BS-KH26-DaiLoc'!$A$2:$A$51,'Consol BS-DTRG'!$A125)</f>
        <v>0</v>
      </c>
      <c r="CL125" s="15">
        <f>SUMIFS('BS-KH26-DaiLoc'!U$2:U$51,'BS-KH26-DaiLoc'!$A$2:$A$51,'Consol BS-DTRG'!$A125)</f>
        <v>0</v>
      </c>
      <c r="CM125" s="15">
        <f>SUMIFS('BS-KH26-DaiLoc'!V$2:V$51,'BS-KH26-DaiLoc'!$A$2:$A$51,'Consol BS-DTRG'!$A125)</f>
        <v>0</v>
      </c>
      <c r="CN125" s="15">
        <f>SUMIFS('BS-KH26-DaiLoc'!W$2:W$51,'BS-KH26-DaiLoc'!$A$2:$A$51,'Consol BS-DTRG'!$A125)</f>
        <v>0</v>
      </c>
      <c r="CO125" s="15">
        <f>SUMIFS('BS-KH26-DaiLoc'!X$2:X$51,'BS-KH26-DaiLoc'!$A$2:$A$51,'Consol BS-DTRG'!$A125)</f>
        <v>0</v>
      </c>
      <c r="CQ125" s="15">
        <v>0</v>
      </c>
      <c r="CR125" s="15">
        <f t="shared" si="746"/>
        <v>0</v>
      </c>
      <c r="CS125" s="15">
        <f t="shared" si="746"/>
        <v>0</v>
      </c>
      <c r="CT125" s="15">
        <f t="shared" si="746"/>
        <v>0</v>
      </c>
      <c r="CU125" s="15">
        <f t="shared" si="746"/>
        <v>0</v>
      </c>
      <c r="CV125" s="15">
        <f t="shared" si="746"/>
        <v>0</v>
      </c>
      <c r="CW125" s="15">
        <f t="shared" si="746"/>
        <v>0</v>
      </c>
      <c r="CX125" s="15">
        <f t="shared" si="746"/>
        <v>0</v>
      </c>
      <c r="CY125" s="15">
        <f t="shared" si="746"/>
        <v>0</v>
      </c>
      <c r="CZ125" s="15">
        <f t="shared" si="746"/>
        <v>0</v>
      </c>
      <c r="DA125" s="15">
        <f t="shared" si="746"/>
        <v>0</v>
      </c>
      <c r="DB125" s="15">
        <f t="shared" si="746"/>
        <v>0</v>
      </c>
    </row>
    <row r="126" spans="1:106" outlineLevel="1">
      <c r="A126" s="636">
        <v>123</v>
      </c>
      <c r="B126" s="627" t="s">
        <v>375</v>
      </c>
      <c r="D126" s="15">
        <f t="shared" ref="D126:O126" ca="1" si="747">SUM(D127:D128)</f>
        <v>153967919932.10583</v>
      </c>
      <c r="E126" s="15">
        <f t="shared" ca="1" si="747"/>
        <v>152172789957.42502</v>
      </c>
      <c r="F126" s="15">
        <f t="shared" ca="1" si="747"/>
        <v>155984102743.55777</v>
      </c>
      <c r="G126" s="15">
        <f t="shared" ca="1" si="747"/>
        <v>158827988979.47339</v>
      </c>
      <c r="H126" s="15">
        <f t="shared" ca="1" si="747"/>
        <v>163279995637.25354</v>
      </c>
      <c r="I126" s="15">
        <f t="shared" ca="1" si="747"/>
        <v>165267234353.33435</v>
      </c>
      <c r="J126" s="15">
        <f t="shared" ca="1" si="747"/>
        <v>173819626085.65198</v>
      </c>
      <c r="K126" s="15">
        <f t="shared" ca="1" si="747"/>
        <v>180862090524.9819</v>
      </c>
      <c r="L126" s="15">
        <f t="shared" ca="1" si="747"/>
        <v>187102522152.40527</v>
      </c>
      <c r="M126" s="15">
        <f t="shared" ca="1" si="747"/>
        <v>193891725626.78516</v>
      </c>
      <c r="N126" s="15">
        <f t="shared" ca="1" si="747"/>
        <v>201594468254.16333</v>
      </c>
      <c r="O126" s="15">
        <f t="shared" ca="1" si="747"/>
        <v>207310898727.73349</v>
      </c>
      <c r="Q126" s="15">
        <f t="shared" ref="Q126:AB126" ca="1" si="748">SUM(Q127:Q128)</f>
        <v>-1081653552.8917923</v>
      </c>
      <c r="R126" s="15">
        <f t="shared" ca="1" si="748"/>
        <v>-206360630.64188004</v>
      </c>
      <c r="S126" s="15">
        <f t="shared" ca="1" si="748"/>
        <v>-1311188694.2388897</v>
      </c>
      <c r="T126" s="15">
        <f t="shared" ca="1" si="748"/>
        <v>-1689504436.190918</v>
      </c>
      <c r="U126" s="15">
        <f t="shared" ca="1" si="748"/>
        <v>-600462545.67515945</v>
      </c>
      <c r="V126" s="15">
        <f t="shared" ca="1" si="748"/>
        <v>-1386793199.9009171</v>
      </c>
      <c r="W126" s="15">
        <f t="shared" ca="1" si="748"/>
        <v>-318276916.1496563</v>
      </c>
      <c r="X126" s="15">
        <f t="shared" ca="1" si="748"/>
        <v>31216146.459789276</v>
      </c>
      <c r="Y126" s="15">
        <f t="shared" ca="1" si="748"/>
        <v>133418850.23434067</v>
      </c>
      <c r="Z126" s="15">
        <f t="shared" ca="1" si="748"/>
        <v>-337062225.32540703</v>
      </c>
      <c r="AA126" s="15">
        <f t="shared" ca="1" si="748"/>
        <v>-153560604.06283951</v>
      </c>
      <c r="AB126" s="15">
        <f t="shared" ca="1" si="748"/>
        <v>-227377208.07666779</v>
      </c>
      <c r="AD126" s="646">
        <f t="shared" ref="AD126" si="749">SUM(AD127:AD128)</f>
        <v>155049573484.99762</v>
      </c>
      <c r="AE126" s="15">
        <f t="shared" ref="AE126:AO126" si="750">SUM(AE127:AE128)</f>
        <v>152379150588.06689</v>
      </c>
      <c r="AF126" s="15">
        <f t="shared" si="750"/>
        <v>157295291437.79666</v>
      </c>
      <c r="AG126" s="15">
        <f t="shared" si="750"/>
        <v>160517493415.66431</v>
      </c>
      <c r="AH126" s="15">
        <f t="shared" si="750"/>
        <v>163880458182.92868</v>
      </c>
      <c r="AI126" s="15">
        <f t="shared" si="750"/>
        <v>166654027553.23529</v>
      </c>
      <c r="AJ126" s="15">
        <f t="shared" si="750"/>
        <v>174137903001.80164</v>
      </c>
      <c r="AK126" s="15">
        <f t="shared" si="750"/>
        <v>180830874378.52209</v>
      </c>
      <c r="AL126" s="15">
        <f t="shared" si="750"/>
        <v>186969103302.17096</v>
      </c>
      <c r="AM126" s="15">
        <f t="shared" si="750"/>
        <v>194228787852.11057</v>
      </c>
      <c r="AN126" s="15">
        <f t="shared" si="750"/>
        <v>201748028858.22617</v>
      </c>
      <c r="AO126" s="647">
        <f t="shared" si="750"/>
        <v>207538275935.81015</v>
      </c>
      <c r="AQ126" s="15">
        <f t="shared" ref="AQ126:BB126" si="751">SUM(AQ127:AQ128)</f>
        <v>233574676623.76508</v>
      </c>
      <c r="AR126" s="15">
        <f t="shared" si="751"/>
        <v>232249572981.1153</v>
      </c>
      <c r="AS126" s="15">
        <f t="shared" si="751"/>
        <v>237313152793.15253</v>
      </c>
      <c r="AT126" s="15">
        <f t="shared" si="751"/>
        <v>240300940529.20834</v>
      </c>
      <c r="AU126" s="15">
        <f t="shared" si="751"/>
        <v>243431232412.99286</v>
      </c>
      <c r="AV126" s="15">
        <f t="shared" si="751"/>
        <v>246263005053.57776</v>
      </c>
      <c r="AW126" s="15">
        <f t="shared" si="751"/>
        <v>253613307456.76138</v>
      </c>
      <c r="AX126" s="15">
        <f t="shared" si="751"/>
        <v>260335315476.7756</v>
      </c>
      <c r="AY126" s="15">
        <f t="shared" si="751"/>
        <v>266444563761.94965</v>
      </c>
      <c r="AZ126" s="15">
        <f t="shared" si="751"/>
        <v>273110226541.70032</v>
      </c>
      <c r="BA126" s="15">
        <f t="shared" si="751"/>
        <v>280232904471.51605</v>
      </c>
      <c r="BB126" s="15">
        <f t="shared" si="751"/>
        <v>285524353478.99164</v>
      </c>
      <c r="BD126" s="15">
        <f t="shared" ref="BD126:BO126" si="752">SUM(BD127:BD128)</f>
        <v>-11341126686.015598</v>
      </c>
      <c r="BE126" s="15">
        <f t="shared" si="752"/>
        <v>-11398860400.885401</v>
      </c>
      <c r="BF126" s="15">
        <f t="shared" si="752"/>
        <v>-11110029726.740637</v>
      </c>
      <c r="BG126" s="15">
        <f t="shared" si="752"/>
        <v>-10957584905.016642</v>
      </c>
      <c r="BH126" s="15">
        <f t="shared" si="752"/>
        <v>-10842686012.441101</v>
      </c>
      <c r="BI126" s="15">
        <f t="shared" si="752"/>
        <v>-10776532404.347042</v>
      </c>
      <c r="BJ126" s="15">
        <f t="shared" si="752"/>
        <v>-10654102175.77574</v>
      </c>
      <c r="BK126" s="15">
        <f t="shared" si="752"/>
        <v>-10640367453.16433</v>
      </c>
      <c r="BL126" s="15">
        <f t="shared" si="752"/>
        <v>-10612312083.151365</v>
      </c>
      <c r="BM126" s="15">
        <f t="shared" si="752"/>
        <v>-10444823251.116615</v>
      </c>
      <c r="BN126" s="15">
        <f t="shared" si="752"/>
        <v>-10400707161.747873</v>
      </c>
      <c r="BO126" s="15">
        <f t="shared" si="752"/>
        <v>-10267068692.843239</v>
      </c>
      <c r="BQ126" s="15">
        <f t="shared" ref="BQ126:CB126" si="753">SUM(BQ127:BQ128)</f>
        <v>-134835682.81361496</v>
      </c>
      <c r="BR126" s="15">
        <f t="shared" si="753"/>
        <v>-483839460.75860047</v>
      </c>
      <c r="BS126" s="15">
        <f t="shared" si="753"/>
        <v>-329854043.5321297</v>
      </c>
      <c r="BT126" s="15">
        <f t="shared" si="753"/>
        <v>-112223727.06279439</v>
      </c>
      <c r="BU126" s="15">
        <f t="shared" si="753"/>
        <v>143256510.20654088</v>
      </c>
      <c r="BV126" s="15">
        <f t="shared" si="753"/>
        <v>358706265.2092095</v>
      </c>
      <c r="BW126" s="15">
        <f t="shared" si="753"/>
        <v>561248784.34521151</v>
      </c>
      <c r="BX126" s="15">
        <f t="shared" si="753"/>
        <v>747903142.8978802</v>
      </c>
      <c r="BY126" s="15">
        <f t="shared" si="753"/>
        <v>945797839.33388221</v>
      </c>
      <c r="BZ126" s="15">
        <f t="shared" si="753"/>
        <v>1205231298.4365509</v>
      </c>
      <c r="CA126" s="15">
        <f t="shared" si="753"/>
        <v>1445684138.2392197</v>
      </c>
      <c r="CB126" s="15">
        <f t="shared" si="753"/>
        <v>1680591198.2418883</v>
      </c>
      <c r="CD126" s="15">
        <f t="shared" ref="CD126:CO126" si="754">SUM(CD127:CD128)</f>
        <v>-57891722641.049324</v>
      </c>
      <c r="CE126" s="15">
        <f t="shared" si="754"/>
        <v>-58825725213.626625</v>
      </c>
      <c r="CF126" s="15">
        <f t="shared" si="754"/>
        <v>-59411401078.416443</v>
      </c>
      <c r="CG126" s="15">
        <f t="shared" si="754"/>
        <v>-59542082785.909065</v>
      </c>
      <c r="CH126" s="15">
        <f t="shared" si="754"/>
        <v>-59675209843.385178</v>
      </c>
      <c r="CI126" s="15">
        <f t="shared" si="754"/>
        <v>-60010437287.871284</v>
      </c>
      <c r="CJ126" s="15">
        <f t="shared" si="754"/>
        <v>-60197257801.306961</v>
      </c>
      <c r="CK126" s="15">
        <f t="shared" si="754"/>
        <v>-60421704336.875977</v>
      </c>
      <c r="CL126" s="15">
        <f t="shared" si="754"/>
        <v>-60614094575.961227</v>
      </c>
      <c r="CM126" s="15">
        <f t="shared" si="754"/>
        <v>-60442415908.020813</v>
      </c>
      <c r="CN126" s="15">
        <f t="shared" si="754"/>
        <v>-60325442572.003479</v>
      </c>
      <c r="CO126" s="15">
        <f t="shared" si="754"/>
        <v>-60190610841.91349</v>
      </c>
      <c r="CQ126" s="15">
        <f t="shared" ref="CQ126:DB126" si="755">SUM(CQ127:CQ128)</f>
        <v>-9157418128.8888893</v>
      </c>
      <c r="CR126" s="15">
        <f t="shared" si="755"/>
        <v>-9161997317.7777786</v>
      </c>
      <c r="CS126" s="15">
        <f t="shared" si="755"/>
        <v>-9166576506.6666679</v>
      </c>
      <c r="CT126" s="15">
        <f t="shared" si="755"/>
        <v>-9171555695.5555573</v>
      </c>
      <c r="CU126" s="15">
        <f t="shared" si="755"/>
        <v>-9176134884.4444466</v>
      </c>
      <c r="CV126" s="15">
        <f t="shared" si="755"/>
        <v>-9180714073.3333359</v>
      </c>
      <c r="CW126" s="15">
        <f t="shared" si="755"/>
        <v>-9185293262.2222252</v>
      </c>
      <c r="CX126" s="15">
        <f t="shared" si="755"/>
        <v>-9190272451.1111145</v>
      </c>
      <c r="CY126" s="15">
        <f t="shared" si="755"/>
        <v>-9194851640.0000038</v>
      </c>
      <c r="CZ126" s="15">
        <f t="shared" si="755"/>
        <v>-9199430828.8888931</v>
      </c>
      <c r="DA126" s="15">
        <f t="shared" si="755"/>
        <v>-9204410017.7777824</v>
      </c>
      <c r="DB126" s="15">
        <f t="shared" si="755"/>
        <v>-9208989206.6666718</v>
      </c>
    </row>
    <row r="127" spans="1:106" outlineLevel="1">
      <c r="A127" s="633">
        <v>124</v>
      </c>
      <c r="B127" s="628" t="s">
        <v>376</v>
      </c>
      <c r="C127" t="s">
        <v>518</v>
      </c>
      <c r="D127" s="15">
        <f t="shared" ref="D127:D128" si="756">AD127+Q127</f>
        <v>153900723481.1611</v>
      </c>
      <c r="E127" s="15">
        <f t="shared" ref="E127:E128" si="757">AE127+R127</f>
        <v>155049573484.99765</v>
      </c>
      <c r="F127" s="15">
        <f t="shared" ref="F127:F128" si="758">AF127+S127</f>
        <v>152379150588.06689</v>
      </c>
      <c r="G127" s="15">
        <f t="shared" ref="G127:G128" si="759">AG127+T127</f>
        <v>157295291437.79666</v>
      </c>
      <c r="H127" s="15">
        <f t="shared" ref="H127:H128" si="760">AH127+U127</f>
        <v>160517493415.66431</v>
      </c>
      <c r="I127" s="15">
        <f t="shared" ref="I127:I128" si="761">AI127+V127</f>
        <v>163880458182.92865</v>
      </c>
      <c r="J127" s="15">
        <f t="shared" ref="J127:J128" si="762">AJ127+W127</f>
        <v>166654027553.23529</v>
      </c>
      <c r="K127" s="15">
        <f t="shared" ref="K127:K128" si="763">AK127+X127</f>
        <v>174137903001.8017</v>
      </c>
      <c r="L127" s="15">
        <f t="shared" ref="L127:L128" si="764">AL127+Y127</f>
        <v>180830874378.52206</v>
      </c>
      <c r="M127" s="15">
        <f t="shared" ref="M127:M128" si="765">AM127+Z127</f>
        <v>186969103302.17096</v>
      </c>
      <c r="N127" s="15">
        <f t="shared" ref="N127:N128" si="766">AN127+AA127</f>
        <v>194228787852.11057</v>
      </c>
      <c r="O127" s="15">
        <f t="shared" ref="O127:O128" si="767">AO127+AB127</f>
        <v>201748028858.22617</v>
      </c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D127" s="646">
        <f t="shared" ref="AD127:AD128" si="768">AQ127+BD127+BQ127+CD127+CQ127</f>
        <v>153900723481.1611</v>
      </c>
      <c r="AE127" s="15">
        <f t="shared" ref="AE127:AE128" si="769">AR127+BE127+BR127+CE127+CR127</f>
        <v>155049573484.99765</v>
      </c>
      <c r="AF127" s="15">
        <f t="shared" ref="AF127:AF128" si="770">AS127+BF127+BS127+CF127+CS127</f>
        <v>152379150588.06689</v>
      </c>
      <c r="AG127" s="15">
        <f t="shared" ref="AG127:AG128" si="771">AT127+BG127+BT127+CG127+CT127</f>
        <v>157295291437.79666</v>
      </c>
      <c r="AH127" s="15">
        <f t="shared" ref="AH127:AH128" si="772">AU127+BH127+BU127+CH127+CU127</f>
        <v>160517493415.66431</v>
      </c>
      <c r="AI127" s="15">
        <f t="shared" ref="AI127:AI128" si="773">AV127+BI127+BV127+CI127+CV127</f>
        <v>163880458182.92865</v>
      </c>
      <c r="AJ127" s="15">
        <f t="shared" ref="AJ127:AJ128" si="774">AW127+BJ127+BW127+CJ127+CW127</f>
        <v>166654027553.23529</v>
      </c>
      <c r="AK127" s="15">
        <f t="shared" ref="AK127:AK128" si="775">AX127+BK127+BX127+CK127+CX127</f>
        <v>174137903001.8017</v>
      </c>
      <c r="AL127" s="15">
        <f t="shared" ref="AL127:AL128" si="776">AY127+BL127+BY127+CL127+CY127</f>
        <v>180830874378.52206</v>
      </c>
      <c r="AM127" s="15">
        <f t="shared" ref="AM127:AM128" si="777">AZ127+BM127+BZ127+CM127+CZ127</f>
        <v>186969103302.17096</v>
      </c>
      <c r="AN127" s="15">
        <f t="shared" ref="AN127:AN128" si="778">BA127+BN127+CA127+CN127+DA127</f>
        <v>194228787852.11057</v>
      </c>
      <c r="AO127" s="647">
        <f t="shared" ref="AO127:AO128" si="779">BB127+BO127+CB127+CO127+DB127</f>
        <v>201748028858.22617</v>
      </c>
      <c r="AQ127" s="15">
        <f>SUMIFS('BS-KH26-DTR'!D$2:D$116,'BS-KH26-DTR'!$B$2:$B$116,$A127)</f>
        <v>232053581124</v>
      </c>
      <c r="AR127" s="15">
        <f>SUMIFS('BS-KH26-DTR'!E$2:E$116,'BS-KH26-DTR'!$B$2:$B$116,$A127)</f>
        <v>233574676623.76508</v>
      </c>
      <c r="AS127" s="15">
        <f>SUMIFS('BS-KH26-DTR'!F$2:F$116,'BS-KH26-DTR'!$B$2:$B$116,$A127)</f>
        <v>232249572981.1153</v>
      </c>
      <c r="AT127" s="15">
        <f>SUMIFS('BS-KH26-DTR'!G$2:G$116,'BS-KH26-DTR'!$B$2:$B$116,$A127)</f>
        <v>237313152793.15253</v>
      </c>
      <c r="AU127" s="15">
        <f>SUMIFS('BS-KH26-DTR'!H$2:H$116,'BS-KH26-DTR'!$B$2:$B$116,$A127)</f>
        <v>240300940529.20834</v>
      </c>
      <c r="AV127" s="15">
        <f>SUMIFS('BS-KH26-DTR'!I$2:I$116,'BS-KH26-DTR'!$B$2:$B$116,$A127)</f>
        <v>243431232412.99286</v>
      </c>
      <c r="AW127" s="15">
        <f>SUMIFS('BS-KH26-DTR'!J$2:J$116,'BS-KH26-DTR'!$B$2:$B$116,$A127)</f>
        <v>246263005053.57776</v>
      </c>
      <c r="AX127" s="15">
        <f>SUMIFS('BS-KH26-DTR'!K$2:K$116,'BS-KH26-DTR'!$B$2:$B$116,$A127)</f>
        <v>253613307456.76138</v>
      </c>
      <c r="AY127" s="15">
        <f>SUMIFS('BS-KH26-DTR'!L$2:L$116,'BS-KH26-DTR'!$B$2:$B$116,$A127)</f>
        <v>260335315476.7756</v>
      </c>
      <c r="AZ127" s="15">
        <f>SUMIFS('BS-KH26-DTR'!M$2:M$116,'BS-KH26-DTR'!$B$2:$B$116,$A127)</f>
        <v>266444563761.94965</v>
      </c>
      <c r="BA127" s="15">
        <f>SUMIFS('BS-KH26-DTR'!N$2:N$116,'BS-KH26-DTR'!$B$2:$B$116,$A127)</f>
        <v>273110226541.70032</v>
      </c>
      <c r="BB127" s="15">
        <f>SUMIFS('BS-KH26-DTR'!O$2:O$116,'BS-KH26-DTR'!$B$2:$B$116,$A127)</f>
        <v>280232904471.51605</v>
      </c>
      <c r="BD127" s="702">
        <f>'BS-KH26-DongLam'!J49</f>
        <v>-11766775373</v>
      </c>
      <c r="BE127" s="702">
        <f>BD127+BD128</f>
        <v>-11341126686.015598</v>
      </c>
      <c r="BF127" s="702">
        <f t="shared" ref="BF127:BO127" si="780">BE127+BE128</f>
        <v>-11398860400.885401</v>
      </c>
      <c r="BG127" s="702">
        <f t="shared" si="780"/>
        <v>-11110029726.740637</v>
      </c>
      <c r="BH127" s="702">
        <f t="shared" si="780"/>
        <v>-10957584905.016642</v>
      </c>
      <c r="BI127" s="702">
        <f t="shared" si="780"/>
        <v>-10842686012.441101</v>
      </c>
      <c r="BJ127" s="702">
        <f t="shared" si="780"/>
        <v>-10776532404.347042</v>
      </c>
      <c r="BK127" s="702">
        <f t="shared" si="780"/>
        <v>-10654102175.77574</v>
      </c>
      <c r="BL127" s="702">
        <f t="shared" si="780"/>
        <v>-10640367453.16433</v>
      </c>
      <c r="BM127" s="702">
        <f t="shared" si="780"/>
        <v>-10612312083.151365</v>
      </c>
      <c r="BN127" s="702">
        <f t="shared" si="780"/>
        <v>-10444823251.116615</v>
      </c>
      <c r="BO127" s="702">
        <f t="shared" si="780"/>
        <v>-10400707161.747873</v>
      </c>
      <c r="BQ127" s="702">
        <f>'BS-KH26-KhanhNga'!J49</f>
        <v>-121348145</v>
      </c>
      <c r="BR127" s="702">
        <f t="shared" ref="BR127:CB127" si="781">BQ127+BQ128</f>
        <v>-134835682.81361496</v>
      </c>
      <c r="BS127" s="702">
        <f t="shared" si="781"/>
        <v>-483839460.75860047</v>
      </c>
      <c r="BT127" s="702">
        <f t="shared" si="781"/>
        <v>-329854043.5321297</v>
      </c>
      <c r="BU127" s="702">
        <f t="shared" si="781"/>
        <v>-112223727.06279439</v>
      </c>
      <c r="BV127" s="702">
        <f t="shared" si="781"/>
        <v>143256510.20654088</v>
      </c>
      <c r="BW127" s="702">
        <f t="shared" si="781"/>
        <v>358706265.2092095</v>
      </c>
      <c r="BX127" s="702">
        <f t="shared" si="781"/>
        <v>561248784.34521151</v>
      </c>
      <c r="BY127" s="702">
        <f t="shared" si="781"/>
        <v>747903142.8978802</v>
      </c>
      <c r="BZ127" s="702">
        <f t="shared" si="781"/>
        <v>945797839.33388221</v>
      </c>
      <c r="CA127" s="702">
        <f t="shared" si="781"/>
        <v>1205231298.4365509</v>
      </c>
      <c r="CB127" s="702">
        <f t="shared" si="781"/>
        <v>1445684138.2392197</v>
      </c>
      <c r="CD127" s="703">
        <v>-57112295184.83889</v>
      </c>
      <c r="CE127" s="702">
        <f t="shared" ref="CE127:CO127" si="782">CD127+CD128</f>
        <v>-57891722641.049324</v>
      </c>
      <c r="CF127" s="702">
        <f t="shared" si="782"/>
        <v>-58825725213.626625</v>
      </c>
      <c r="CG127" s="702">
        <f t="shared" si="782"/>
        <v>-59411401078.416443</v>
      </c>
      <c r="CH127" s="702">
        <f t="shared" si="782"/>
        <v>-59542082785.909065</v>
      </c>
      <c r="CI127" s="702">
        <f t="shared" si="782"/>
        <v>-59675209843.385178</v>
      </c>
      <c r="CJ127" s="702">
        <f t="shared" si="782"/>
        <v>-60010437287.871284</v>
      </c>
      <c r="CK127" s="702">
        <f t="shared" si="782"/>
        <v>-60197257801.306961</v>
      </c>
      <c r="CL127" s="702">
        <f t="shared" si="782"/>
        <v>-60421704336.875977</v>
      </c>
      <c r="CM127" s="702">
        <f t="shared" si="782"/>
        <v>-60614094575.961227</v>
      </c>
      <c r="CN127" s="702">
        <f t="shared" si="782"/>
        <v>-60442415908.020813</v>
      </c>
      <c r="CO127" s="702">
        <f t="shared" si="782"/>
        <v>-60325442572.003479</v>
      </c>
      <c r="CQ127" s="15">
        <v>-9152438940</v>
      </c>
      <c r="CR127" s="15">
        <f>CQ127+CQ128</f>
        <v>-9157418128.8888893</v>
      </c>
      <c r="CS127" s="15">
        <f t="shared" ref="CS127:DB127" si="783">CR127+CR128</f>
        <v>-9161997317.7777786</v>
      </c>
      <c r="CT127" s="15">
        <f t="shared" si="783"/>
        <v>-9166576506.6666679</v>
      </c>
      <c r="CU127" s="15">
        <f t="shared" si="783"/>
        <v>-9171555695.5555573</v>
      </c>
      <c r="CV127" s="15">
        <f t="shared" si="783"/>
        <v>-9176134884.4444466</v>
      </c>
      <c r="CW127" s="15">
        <f t="shared" si="783"/>
        <v>-9180714073.3333359</v>
      </c>
      <c r="CX127" s="15">
        <f t="shared" si="783"/>
        <v>-9185293262.2222252</v>
      </c>
      <c r="CY127" s="15">
        <f t="shared" si="783"/>
        <v>-9190272451.1111145</v>
      </c>
      <c r="CZ127" s="15">
        <f t="shared" si="783"/>
        <v>-9194851640.0000038</v>
      </c>
      <c r="DA127" s="15">
        <f t="shared" si="783"/>
        <v>-9199430828.8888931</v>
      </c>
      <c r="DB127" s="15">
        <f t="shared" si="783"/>
        <v>-9204410017.7777824</v>
      </c>
    </row>
    <row r="128" spans="1:106" outlineLevel="1">
      <c r="A128" s="633">
        <v>125</v>
      </c>
      <c r="B128" s="628" t="s">
        <v>377</v>
      </c>
      <c r="C128" t="s">
        <v>518</v>
      </c>
      <c r="D128" s="15">
        <f t="shared" ca="1" si="756"/>
        <v>67196450.944738626</v>
      </c>
      <c r="E128" s="15">
        <f t="shared" ca="1" si="757"/>
        <v>-2876783527.5726385</v>
      </c>
      <c r="F128" s="15">
        <f t="shared" ca="1" si="758"/>
        <v>3604952155.4908791</v>
      </c>
      <c r="G128" s="15">
        <f t="shared" ca="1" si="759"/>
        <v>1532697541.6767359</v>
      </c>
      <c r="H128" s="15">
        <f t="shared" ca="1" si="760"/>
        <v>2762502221.5892277</v>
      </c>
      <c r="I128" s="15">
        <f t="shared" ca="1" si="761"/>
        <v>1386776170.4057136</v>
      </c>
      <c r="J128" s="15">
        <f t="shared" ca="1" si="762"/>
        <v>7165598532.4166956</v>
      </c>
      <c r="K128" s="15">
        <f t="shared" ca="1" si="763"/>
        <v>6724187523.1802006</v>
      </c>
      <c r="L128" s="15">
        <f t="shared" ca="1" si="764"/>
        <v>6271647773.8832245</v>
      </c>
      <c r="M128" s="15">
        <f t="shared" ca="1" si="765"/>
        <v>6922622324.6142025</v>
      </c>
      <c r="N128" s="15">
        <f t="shared" ca="1" si="766"/>
        <v>7365680402.0527582</v>
      </c>
      <c r="O128" s="15">
        <f t="shared" ca="1" si="767"/>
        <v>5562869869.5073128</v>
      </c>
      <c r="Q128" s="15">
        <f ca="1">-('Consol PL-DTRG'!Q26-'Consol PL-DTRG'!Q25)</f>
        <v>-1081653552.8917923</v>
      </c>
      <c r="R128" s="15">
        <f ca="1">-('Consol PL-DTRG'!R26-'Consol PL-DTRG'!R25)</f>
        <v>-206360630.64188004</v>
      </c>
      <c r="S128" s="15">
        <f ca="1">-('Consol PL-DTRG'!S26-'Consol PL-DTRG'!S25)</f>
        <v>-1311188694.2388897</v>
      </c>
      <c r="T128" s="15">
        <f ca="1">-('Consol PL-DTRG'!T26-'Consol PL-DTRG'!T25)</f>
        <v>-1689504436.190918</v>
      </c>
      <c r="U128" s="15">
        <f ca="1">-('Consol PL-DTRG'!U26-'Consol PL-DTRG'!U25)</f>
        <v>-600462545.67515945</v>
      </c>
      <c r="V128" s="15">
        <f ca="1">-('Consol PL-DTRG'!V26-'Consol PL-DTRG'!V25)</f>
        <v>-1386793199.9009171</v>
      </c>
      <c r="W128" s="15">
        <f ca="1">-('Consol PL-DTRG'!W26-'Consol PL-DTRG'!W25)</f>
        <v>-318276916.1496563</v>
      </c>
      <c r="X128" s="15">
        <f ca="1">-('Consol PL-DTRG'!X26-'Consol PL-DTRG'!X25)</f>
        <v>31216146.459789276</v>
      </c>
      <c r="Y128" s="15">
        <f ca="1">-('Consol PL-DTRG'!Y26-'Consol PL-DTRG'!Y25)</f>
        <v>133418850.23434067</v>
      </c>
      <c r="Z128" s="15">
        <f ca="1">-('Consol PL-DTRG'!Z26-'Consol PL-DTRG'!Z25)</f>
        <v>-337062225.32540703</v>
      </c>
      <c r="AA128" s="15">
        <f ca="1">-('Consol PL-DTRG'!AA26-'Consol PL-DTRG'!AA25)</f>
        <v>-153560604.06283951</v>
      </c>
      <c r="AB128" s="15">
        <f ca="1">-('Consol PL-DTRG'!AB26-'Consol PL-DTRG'!AB25)</f>
        <v>-227377208.07666779</v>
      </c>
      <c r="AD128" s="646">
        <f t="shared" si="768"/>
        <v>1148850003.8365309</v>
      </c>
      <c r="AE128" s="15">
        <f t="shared" si="769"/>
        <v>-2670422896.9307585</v>
      </c>
      <c r="AF128" s="15">
        <f t="shared" si="770"/>
        <v>4916140849.7297688</v>
      </c>
      <c r="AG128" s="15">
        <f t="shared" si="771"/>
        <v>3222201977.8676538</v>
      </c>
      <c r="AH128" s="15">
        <f t="shared" si="772"/>
        <v>3362964767.2643871</v>
      </c>
      <c r="AI128" s="15">
        <f t="shared" si="773"/>
        <v>2773569370.3066306</v>
      </c>
      <c r="AJ128" s="15">
        <f t="shared" si="774"/>
        <v>7483875448.5663519</v>
      </c>
      <c r="AK128" s="15">
        <f t="shared" si="775"/>
        <v>6692971376.7204113</v>
      </c>
      <c r="AL128" s="15">
        <f t="shared" si="776"/>
        <v>6138228923.6488838</v>
      </c>
      <c r="AM128" s="15">
        <f t="shared" si="777"/>
        <v>7259684549.9396095</v>
      </c>
      <c r="AN128" s="15">
        <f t="shared" si="778"/>
        <v>7519241006.1155977</v>
      </c>
      <c r="AO128" s="647">
        <f t="shared" si="779"/>
        <v>5790247077.5839806</v>
      </c>
      <c r="AQ128" s="15">
        <f>SUMIFS('BS-KH26-DTR'!D$2:D$116,'BS-KH26-DTR'!$B$2:$B$116,$A128)</f>
        <v>1521095499.7650661</v>
      </c>
      <c r="AR128" s="15">
        <f>SUMIFS('BS-KH26-DTR'!E$2:E$116,'BS-KH26-DTR'!$B$2:$B$116,$A128)</f>
        <v>-1325103642.6497841</v>
      </c>
      <c r="AS128" s="15">
        <f>SUMIFS('BS-KH26-DTR'!F$2:F$116,'BS-KH26-DTR'!$B$2:$B$116,$A128)</f>
        <v>5063579812.0372438</v>
      </c>
      <c r="AT128" s="15">
        <f>SUMIFS('BS-KH26-DTR'!G$2:G$116,'BS-KH26-DTR'!$B$2:$B$116,$A128)</f>
        <v>2987787736.05583</v>
      </c>
      <c r="AU128" s="15">
        <f>SUMIFS('BS-KH26-DTR'!H$2:H$116,'BS-KH26-DTR'!$B$2:$B$116,$A128)</f>
        <v>3130291883.7845154</v>
      </c>
      <c r="AV128" s="15">
        <f>SUMIFS('BS-KH26-DTR'!I$2:I$116,'BS-KH26-DTR'!$B$2:$B$116,$A128)</f>
        <v>2831772640.584898</v>
      </c>
      <c r="AW128" s="15">
        <f>SUMIFS('BS-KH26-DTR'!J$2:J$116,'BS-KH26-DTR'!$B$2:$B$116,$A128)</f>
        <v>7350302403.1836166</v>
      </c>
      <c r="AX128" s="15">
        <f>SUMIFS('BS-KH26-DTR'!K$2:K$116,'BS-KH26-DTR'!$B$2:$B$116,$A128)</f>
        <v>6722008020.0142345</v>
      </c>
      <c r="AY128" s="15">
        <f>SUMIFS('BS-KH26-DTR'!L$2:L$116,'BS-KH26-DTR'!$B$2:$B$116,$A128)</f>
        <v>6109248285.174057</v>
      </c>
      <c r="AZ128" s="15">
        <f>SUMIFS('BS-KH26-DTR'!M$2:M$116,'BS-KH26-DTR'!$B$2:$B$116,$A128)</f>
        <v>6665662779.7506657</v>
      </c>
      <c r="BA128" s="15">
        <f>SUMIFS('BS-KH26-DTR'!N$2:N$116,'BS-KH26-DTR'!$B$2:$B$116,$A128)</f>
        <v>7122677929.8157387</v>
      </c>
      <c r="BB128" s="15">
        <f>SUMIFS('BS-KH26-DTR'!O$2:O$116,'BS-KH26-DTR'!$B$2:$B$116,$A128)</f>
        <v>5291449007.4755802</v>
      </c>
      <c r="BD128" s="702">
        <f>'PL-KH26-DongLam'!G50</f>
        <v>425648686.98440242</v>
      </c>
      <c r="BE128" s="702">
        <f>'PL-KH26-DongLam'!H50</f>
        <v>-57733714.869802803</v>
      </c>
      <c r="BF128" s="702">
        <f>'PL-KH26-DongLam'!I50</f>
        <v>288830674.14476383</v>
      </c>
      <c r="BG128" s="702">
        <f>'PL-KH26-DongLam'!J50</f>
        <v>152444821.72399592</v>
      </c>
      <c r="BH128" s="702">
        <f>'PL-KH26-DongLam'!K50</f>
        <v>114898892.57554054</v>
      </c>
      <c r="BI128" s="702">
        <f>'PL-KH26-DongLam'!L50</f>
        <v>66153608.09405911</v>
      </c>
      <c r="BJ128" s="702">
        <f>'PL-KH26-DongLam'!M50</f>
        <v>122430228.57130182</v>
      </c>
      <c r="BK128" s="702">
        <f>'PL-KH26-DongLam'!N50</f>
        <v>13734722.611409545</v>
      </c>
      <c r="BL128" s="702">
        <f>'PL-KH26-DongLam'!O50</f>
        <v>28055370.012964845</v>
      </c>
      <c r="BM128" s="702">
        <f>'PL-KH26-DongLam'!P50</f>
        <v>167488832.03475058</v>
      </c>
      <c r="BN128" s="702">
        <f>'PL-KH26-DongLam'!Q50</f>
        <v>44116089.368742585</v>
      </c>
      <c r="BO128" s="702">
        <f>'PL-KH26-DongLam'!R50</f>
        <v>133638468.90463507</v>
      </c>
      <c r="BQ128" s="702">
        <f>'PL-KH26-KhanhNga'!G49</f>
        <v>-13487537.813614964</v>
      </c>
      <c r="BR128" s="702">
        <f>'PL-KH26-KhanhNga'!H49</f>
        <v>-349003777.94498551</v>
      </c>
      <c r="BS128" s="702">
        <f>'PL-KH26-KhanhNga'!I49</f>
        <v>153985417.22647077</v>
      </c>
      <c r="BT128" s="702">
        <f>'PL-KH26-KhanhNga'!J49</f>
        <v>217630316.46933532</v>
      </c>
      <c r="BU128" s="702">
        <f>'PL-KH26-KhanhNga'!K49</f>
        <v>255480237.26933527</v>
      </c>
      <c r="BV128" s="702">
        <f>'PL-KH26-KhanhNga'!L49</f>
        <v>215449755.00266862</v>
      </c>
      <c r="BW128" s="702">
        <f>'PL-KH26-KhanhNga'!M49</f>
        <v>202542519.13600194</v>
      </c>
      <c r="BX128" s="702">
        <f>'PL-KH26-KhanhNga'!N49</f>
        <v>186654358.55266869</v>
      </c>
      <c r="BY128" s="702">
        <f>'PL-KH26-KhanhNga'!O49</f>
        <v>197894696.43600202</v>
      </c>
      <c r="BZ128" s="702">
        <f>'PL-KH26-KhanhNga'!P49</f>
        <v>259433459.10266864</v>
      </c>
      <c r="CA128" s="702">
        <f>'PL-KH26-KhanhNga'!Q49</f>
        <v>240452839.80266869</v>
      </c>
      <c r="CB128" s="702">
        <f>'PL-KH26-KhanhNga'!R49</f>
        <v>234907060.00266862</v>
      </c>
      <c r="CD128" s="702">
        <f>'PL-KH26-DaiLoc'!F49</f>
        <v>-779427456.21043372</v>
      </c>
      <c r="CE128" s="702">
        <f>'PL-KH26-DaiLoc'!G49</f>
        <v>-934002572.57729733</v>
      </c>
      <c r="CF128" s="702">
        <f>'PL-KH26-DaiLoc'!H49</f>
        <v>-585675864.78982115</v>
      </c>
      <c r="CG128" s="702">
        <f>'PL-KH26-DaiLoc'!I49</f>
        <v>-130681707.49261886</v>
      </c>
      <c r="CH128" s="702">
        <f>'PL-KH26-DaiLoc'!J49</f>
        <v>-133127057.47611505</v>
      </c>
      <c r="CI128" s="702">
        <f>'PL-KH26-DaiLoc'!K49</f>
        <v>-335227444.48610574</v>
      </c>
      <c r="CJ128" s="702">
        <f>'PL-KH26-DaiLoc'!L49</f>
        <v>-186820513.43567848</v>
      </c>
      <c r="CK128" s="702">
        <f>'PL-KH26-DaiLoc'!M49</f>
        <v>-224446535.56901175</v>
      </c>
      <c r="CL128" s="702">
        <f>'PL-KH26-DaiLoc'!N49</f>
        <v>-192390239.08525109</v>
      </c>
      <c r="CM128" s="702">
        <f>'PL-KH26-DaiLoc'!O49</f>
        <v>171678667.94041348</v>
      </c>
      <c r="CN128" s="702">
        <f>'PL-KH26-DaiLoc'!P49</f>
        <v>116973336.01733685</v>
      </c>
      <c r="CO128" s="702">
        <f>'PL-KH26-DaiLoc'!Q49</f>
        <v>134831730.08998632</v>
      </c>
      <c r="CQ128" s="15">
        <f>'PL-KH26-TanDaiPhat'!B22</f>
        <v>-4979188.888888889</v>
      </c>
      <c r="CR128" s="15">
        <f>'PL-KH26-TanDaiPhat'!C22</f>
        <v>-4579188.888888889</v>
      </c>
      <c r="CS128" s="15">
        <f>'PL-KH26-TanDaiPhat'!D22</f>
        <v>-4579188.888888889</v>
      </c>
      <c r="CT128" s="15">
        <f>'PL-KH26-TanDaiPhat'!E22</f>
        <v>-4979188.888888889</v>
      </c>
      <c r="CU128" s="15">
        <f>'PL-KH26-TanDaiPhat'!F22</f>
        <v>-4579188.888888889</v>
      </c>
      <c r="CV128" s="15">
        <f>'PL-KH26-TanDaiPhat'!G22</f>
        <v>-4579188.888888889</v>
      </c>
      <c r="CW128" s="15">
        <f>'PL-KH26-TanDaiPhat'!H22</f>
        <v>-4579188.888888889</v>
      </c>
      <c r="CX128" s="15">
        <f>'PL-KH26-TanDaiPhat'!I22</f>
        <v>-4979188.888888889</v>
      </c>
      <c r="CY128" s="15">
        <f>'PL-KH26-TanDaiPhat'!J22</f>
        <v>-4579188.888888889</v>
      </c>
      <c r="CZ128" s="15">
        <f>'PL-KH26-TanDaiPhat'!K22</f>
        <v>-4579188.888888889</v>
      </c>
      <c r="DA128" s="15">
        <f>'PL-KH26-TanDaiPhat'!L22</f>
        <v>-4979188.888888889</v>
      </c>
      <c r="DB128" s="15">
        <f>'PL-KH26-TanDaiPhat'!M22</f>
        <v>-4579188.888888889</v>
      </c>
    </row>
    <row r="129" spans="1:106" ht="15">
      <c r="A129" s="637">
        <v>126</v>
      </c>
      <c r="B129" s="629" t="s">
        <v>378</v>
      </c>
      <c r="D129" s="641">
        <f t="shared" ref="D129:O129" ca="1" si="784">D82+D114</f>
        <v>1810816141397.0234</v>
      </c>
      <c r="E129" s="641">
        <f t="shared" ca="1" si="784"/>
        <v>1842447864634.5618</v>
      </c>
      <c r="F129" s="641">
        <f t="shared" ca="1" si="784"/>
        <v>1890868633879.2178</v>
      </c>
      <c r="G129" s="641">
        <f t="shared" ca="1" si="784"/>
        <v>1953742363135.3999</v>
      </c>
      <c r="H129" s="641">
        <f t="shared" ca="1" si="784"/>
        <v>1956704958853.917</v>
      </c>
      <c r="I129" s="641">
        <f t="shared" ca="1" si="784"/>
        <v>1981896714037.1035</v>
      </c>
      <c r="J129" s="641">
        <f t="shared" ca="1" si="784"/>
        <v>1967198638154.7424</v>
      </c>
      <c r="K129" s="641">
        <f t="shared" ca="1" si="784"/>
        <v>1966393282426.0898</v>
      </c>
      <c r="L129" s="641">
        <f t="shared" ca="1" si="784"/>
        <v>1964037519799.605</v>
      </c>
      <c r="M129" s="641">
        <f t="shared" ca="1" si="784"/>
        <v>1966798056851.2046</v>
      </c>
      <c r="N129" s="641">
        <f t="shared" ca="1" si="784"/>
        <v>1953300177767.29</v>
      </c>
      <c r="O129" s="641">
        <f t="shared" ca="1" si="784"/>
        <v>1995648251694.6133</v>
      </c>
      <c r="Q129" s="641">
        <f t="shared" ref="Q129:AB129" ca="1" si="785">Q82+Q114</f>
        <v>-1081653552.8917923</v>
      </c>
      <c r="R129" s="641">
        <f t="shared" ca="1" si="785"/>
        <v>-206360630.64188004</v>
      </c>
      <c r="S129" s="641">
        <f t="shared" ca="1" si="785"/>
        <v>-1311188694.2388897</v>
      </c>
      <c r="T129" s="641">
        <f t="shared" ca="1" si="785"/>
        <v>-1689504436.190918</v>
      </c>
      <c r="U129" s="641">
        <f t="shared" ca="1" si="785"/>
        <v>-600462545.67515945</v>
      </c>
      <c r="V129" s="641">
        <f t="shared" ca="1" si="785"/>
        <v>-1386793199.9009171</v>
      </c>
      <c r="W129" s="641">
        <f t="shared" ca="1" si="785"/>
        <v>-318276916.1496563</v>
      </c>
      <c r="X129" s="641">
        <f t="shared" ca="1" si="785"/>
        <v>31216146.459789276</v>
      </c>
      <c r="Y129" s="641">
        <f t="shared" ca="1" si="785"/>
        <v>133418850.23434067</v>
      </c>
      <c r="Z129" s="641">
        <f t="shared" ca="1" si="785"/>
        <v>-337062225.32540703</v>
      </c>
      <c r="AA129" s="641">
        <f t="shared" ca="1" si="785"/>
        <v>-153560604.06283951</v>
      </c>
      <c r="AB129" s="641">
        <f t="shared" ca="1" si="785"/>
        <v>-227377208.07666779</v>
      </c>
      <c r="AD129" s="652">
        <f t="shared" ref="AD129" si="786">AD82+AD114</f>
        <v>1811897794949.915</v>
      </c>
      <c r="AE129" s="641">
        <f t="shared" ref="AE129:AO129" si="787">AE82+AE114</f>
        <v>1842654225265.2036</v>
      </c>
      <c r="AF129" s="641">
        <f t="shared" si="787"/>
        <v>1892179822573.4565</v>
      </c>
      <c r="AG129" s="641">
        <f t="shared" si="787"/>
        <v>1955431867571.5908</v>
      </c>
      <c r="AH129" s="641">
        <f t="shared" si="787"/>
        <v>1957305421399.5923</v>
      </c>
      <c r="AI129" s="641">
        <f t="shared" si="787"/>
        <v>1983283507237.0046</v>
      </c>
      <c r="AJ129" s="641">
        <f t="shared" si="787"/>
        <v>1967516915070.8921</v>
      </c>
      <c r="AK129" s="641">
        <f t="shared" si="787"/>
        <v>1966362066279.6301</v>
      </c>
      <c r="AL129" s="641">
        <f t="shared" si="787"/>
        <v>1963904100949.3706</v>
      </c>
      <c r="AM129" s="641">
        <f t="shared" si="787"/>
        <v>1967135119076.53</v>
      </c>
      <c r="AN129" s="641">
        <f t="shared" si="787"/>
        <v>1953453738371.353</v>
      </c>
      <c r="AO129" s="653">
        <f t="shared" si="787"/>
        <v>1995875628902.6899</v>
      </c>
      <c r="AQ129" s="641">
        <f t="shared" ref="AQ129:BB129" si="788">AQ82+AQ114</f>
        <v>1692902345387.626</v>
      </c>
      <c r="AR129" s="641">
        <f t="shared" si="788"/>
        <v>1726732325359.6299</v>
      </c>
      <c r="AS129" s="641">
        <f t="shared" si="788"/>
        <v>1773762196188.2754</v>
      </c>
      <c r="AT129" s="641">
        <f t="shared" si="788"/>
        <v>1834884037276.8306</v>
      </c>
      <c r="AU129" s="641">
        <f t="shared" si="788"/>
        <v>1836468389137.5723</v>
      </c>
      <c r="AV129" s="641">
        <f t="shared" si="788"/>
        <v>1862475803298.3635</v>
      </c>
      <c r="AW129" s="641">
        <f t="shared" si="788"/>
        <v>1846519846994.686</v>
      </c>
      <c r="AX129" s="641">
        <f t="shared" si="788"/>
        <v>1845391146354.748</v>
      </c>
      <c r="AY129" s="641">
        <f t="shared" si="788"/>
        <v>1842944966164.4766</v>
      </c>
      <c r="AZ129" s="641">
        <f t="shared" si="788"/>
        <v>1844942220443.7808</v>
      </c>
      <c r="BA129" s="641">
        <f t="shared" si="788"/>
        <v>1830875045261.2856</v>
      </c>
      <c r="BB129" s="641">
        <f t="shared" si="788"/>
        <v>1872766834052.7402</v>
      </c>
      <c r="BD129" s="641">
        <f t="shared" ref="BD129:BO129" si="789">BD82+BD114</f>
        <v>36241883812.102112</v>
      </c>
      <c r="BE129" s="641">
        <f t="shared" si="789"/>
        <v>35960868990.222588</v>
      </c>
      <c r="BF129" s="641">
        <f t="shared" si="789"/>
        <v>36682275397.233047</v>
      </c>
      <c r="BG129" s="641">
        <f t="shared" si="789"/>
        <v>37061488385.185097</v>
      </c>
      <c r="BH129" s="641">
        <f t="shared" si="789"/>
        <v>37223131578.50386</v>
      </c>
      <c r="BI129" s="641">
        <f t="shared" si="789"/>
        <v>37291616757.686806</v>
      </c>
      <c r="BJ129" s="641">
        <f t="shared" si="789"/>
        <v>37452876298.15963</v>
      </c>
      <c r="BK129" s="641">
        <f t="shared" si="789"/>
        <v>37463980056.36837</v>
      </c>
      <c r="BL129" s="641">
        <f t="shared" si="789"/>
        <v>37458491228.221222</v>
      </c>
      <c r="BM129" s="641">
        <f t="shared" si="789"/>
        <v>37660942797.787857</v>
      </c>
      <c r="BN129" s="641">
        <f t="shared" si="789"/>
        <v>37669650538.534332</v>
      </c>
      <c r="BO129" s="641">
        <f t="shared" si="789"/>
        <v>37839225528.069908</v>
      </c>
      <c r="BQ129" s="641">
        <f t="shared" ref="BQ129:CB129" si="790">BQ82+BQ114</f>
        <v>23825391743.980152</v>
      </c>
      <c r="BR129" s="641">
        <f t="shared" si="790"/>
        <v>23374369430.590412</v>
      </c>
      <c r="BS129" s="641">
        <f t="shared" si="790"/>
        <v>23662425613.538788</v>
      </c>
      <c r="BT129" s="641">
        <f t="shared" si="790"/>
        <v>23917198030.191933</v>
      </c>
      <c r="BU129" s="641">
        <f t="shared" si="790"/>
        <v>24169910863.007935</v>
      </c>
      <c r="BV129" s="641">
        <f t="shared" si="790"/>
        <v>24388315905.36171</v>
      </c>
      <c r="BW129" s="641">
        <f t="shared" si="790"/>
        <v>24591728246.088821</v>
      </c>
      <c r="BX129" s="641">
        <f t="shared" si="790"/>
        <v>24779551447.61372</v>
      </c>
      <c r="BY129" s="641">
        <f t="shared" si="790"/>
        <v>24976672462.657494</v>
      </c>
      <c r="BZ129" s="641">
        <f t="shared" si="790"/>
        <v>25232189093.982384</v>
      </c>
      <c r="CA129" s="641">
        <f t="shared" si="790"/>
        <v>25473780518.671722</v>
      </c>
      <c r="CB129" s="641">
        <f t="shared" si="790"/>
        <v>25708587358.86105</v>
      </c>
      <c r="CD129" s="641">
        <f t="shared" ref="CD129:CO129" si="791">CD82+CD114</f>
        <v>37185592135.095772</v>
      </c>
      <c r="CE129" s="641">
        <f t="shared" si="791"/>
        <v>34848658802.538597</v>
      </c>
      <c r="CF129" s="641">
        <f t="shared" si="791"/>
        <v>36339501881.076294</v>
      </c>
      <c r="CG129" s="641">
        <f t="shared" si="791"/>
        <v>37840699574.938683</v>
      </c>
      <c r="CH129" s="641">
        <f t="shared" si="791"/>
        <v>37720124704.952667</v>
      </c>
      <c r="CI129" s="641">
        <f t="shared" si="791"/>
        <v>37408485348.925888</v>
      </c>
      <c r="CJ129" s="641">
        <f t="shared" si="791"/>
        <v>37237756794.179955</v>
      </c>
      <c r="CK129" s="641">
        <f t="shared" si="791"/>
        <v>37017660872.010941</v>
      </c>
      <c r="CL129" s="641">
        <f t="shared" si="791"/>
        <v>36818822734.015427</v>
      </c>
      <c r="CM129" s="641">
        <f t="shared" si="791"/>
        <v>37599197569.867722</v>
      </c>
      <c r="CN129" s="641">
        <f t="shared" si="791"/>
        <v>37739672070.638901</v>
      </c>
      <c r="CO129" s="641">
        <f t="shared" si="791"/>
        <v>37869971169.685295</v>
      </c>
      <c r="CQ129" s="641">
        <f t="shared" ref="CQ129:DB129" si="792">CQ82+CQ114</f>
        <v>21742581871.111111</v>
      </c>
      <c r="CR129" s="641">
        <f t="shared" si="792"/>
        <v>21738002682.222221</v>
      </c>
      <c r="CS129" s="641">
        <f t="shared" si="792"/>
        <v>21733423493.333332</v>
      </c>
      <c r="CT129" s="641">
        <f t="shared" si="792"/>
        <v>21728444304.444443</v>
      </c>
      <c r="CU129" s="641">
        <f t="shared" si="792"/>
        <v>21723865115.555553</v>
      </c>
      <c r="CV129" s="641">
        <f t="shared" si="792"/>
        <v>21719285926.666664</v>
      </c>
      <c r="CW129" s="641">
        <f t="shared" si="792"/>
        <v>21714706737.777775</v>
      </c>
      <c r="CX129" s="641">
        <f t="shared" si="792"/>
        <v>21709727548.888885</v>
      </c>
      <c r="CY129" s="641">
        <f t="shared" si="792"/>
        <v>21705148359.999996</v>
      </c>
      <c r="CZ129" s="641">
        <f t="shared" si="792"/>
        <v>21700569171.111107</v>
      </c>
      <c r="DA129" s="641">
        <f t="shared" si="792"/>
        <v>21695589982.222218</v>
      </c>
      <c r="DB129" s="641">
        <f t="shared" si="792"/>
        <v>21691010793.333328</v>
      </c>
    </row>
    <row r="130" spans="1:106" ht="15" thickBot="1">
      <c r="AD130" s="654"/>
      <c r="AE130" s="655"/>
      <c r="AF130" s="655"/>
      <c r="AG130" s="655"/>
      <c r="AH130" s="655"/>
      <c r="AI130" s="655"/>
      <c r="AJ130" s="655"/>
      <c r="AK130" s="655"/>
      <c r="AL130" s="655"/>
      <c r="AM130" s="655"/>
      <c r="AN130" s="655"/>
      <c r="AO130" s="656"/>
    </row>
    <row r="131" spans="1:106" ht="15" thickTop="1"/>
    <row r="132" spans="1:106" s="728" customFormat="1">
      <c r="B132" s="728" t="s">
        <v>18</v>
      </c>
      <c r="D132" s="729">
        <f ca="1">D81-D129</f>
        <v>0</v>
      </c>
      <c r="E132" s="729">
        <f t="shared" ref="E132:O132" ca="1" si="793">E81-E129</f>
        <v>0</v>
      </c>
      <c r="F132" s="729">
        <f t="shared" ca="1" si="793"/>
        <v>0</v>
      </c>
      <c r="G132" s="729">
        <f t="shared" ca="1" si="793"/>
        <v>0</v>
      </c>
      <c r="H132" s="729">
        <f t="shared" ca="1" si="793"/>
        <v>0</v>
      </c>
      <c r="I132" s="729">
        <f t="shared" ca="1" si="793"/>
        <v>0</v>
      </c>
      <c r="J132" s="729">
        <f t="shared" ca="1" si="793"/>
        <v>0</v>
      </c>
      <c r="K132" s="729">
        <f t="shared" ca="1" si="793"/>
        <v>0</v>
      </c>
      <c r="L132" s="729">
        <f t="shared" ca="1" si="793"/>
        <v>0</v>
      </c>
      <c r="M132" s="729">
        <f t="shared" ca="1" si="793"/>
        <v>0</v>
      </c>
      <c r="N132" s="729">
        <f t="shared" ca="1" si="793"/>
        <v>0</v>
      </c>
      <c r="O132" s="729">
        <f t="shared" ca="1" si="793"/>
        <v>0</v>
      </c>
      <c r="Q132" s="729">
        <f ca="1">Q81-Q129</f>
        <v>0</v>
      </c>
      <c r="R132" s="729">
        <f t="shared" ref="R132:AB132" ca="1" si="794">R81-R129</f>
        <v>0</v>
      </c>
      <c r="S132" s="729">
        <f t="shared" ca="1" si="794"/>
        <v>0</v>
      </c>
      <c r="T132" s="729">
        <f t="shared" ca="1" si="794"/>
        <v>0</v>
      </c>
      <c r="U132" s="729">
        <f t="shared" ca="1" si="794"/>
        <v>0</v>
      </c>
      <c r="V132" s="729">
        <f t="shared" ca="1" si="794"/>
        <v>0</v>
      </c>
      <c r="W132" s="729">
        <f t="shared" ca="1" si="794"/>
        <v>0</v>
      </c>
      <c r="X132" s="729">
        <f t="shared" ca="1" si="794"/>
        <v>0</v>
      </c>
      <c r="Y132" s="729">
        <f t="shared" ca="1" si="794"/>
        <v>0</v>
      </c>
      <c r="Z132" s="729">
        <f t="shared" ca="1" si="794"/>
        <v>0</v>
      </c>
      <c r="AA132" s="729">
        <f t="shared" ca="1" si="794"/>
        <v>0</v>
      </c>
      <c r="AB132" s="729">
        <f t="shared" ca="1" si="794"/>
        <v>0</v>
      </c>
      <c r="AD132" s="729">
        <f>AD81-AD129</f>
        <v>0</v>
      </c>
      <c r="AE132" s="729">
        <f t="shared" ref="AE132:AO132" si="795">AE81-AE129</f>
        <v>0</v>
      </c>
      <c r="AF132" s="729">
        <f t="shared" si="795"/>
        <v>0</v>
      </c>
      <c r="AG132" s="729">
        <f t="shared" si="795"/>
        <v>0</v>
      </c>
      <c r="AH132" s="729">
        <f t="shared" si="795"/>
        <v>0</v>
      </c>
      <c r="AI132" s="729">
        <f t="shared" si="795"/>
        <v>0</v>
      </c>
      <c r="AJ132" s="729">
        <f t="shared" si="795"/>
        <v>0</v>
      </c>
      <c r="AK132" s="729">
        <f t="shared" si="795"/>
        <v>0</v>
      </c>
      <c r="AL132" s="729">
        <f t="shared" si="795"/>
        <v>0</v>
      </c>
      <c r="AM132" s="729">
        <f t="shared" si="795"/>
        <v>0</v>
      </c>
      <c r="AN132" s="729">
        <f t="shared" si="795"/>
        <v>0</v>
      </c>
      <c r="AO132" s="729">
        <f t="shared" si="795"/>
        <v>0</v>
      </c>
      <c r="AQ132" s="729">
        <f>AQ81-AQ129</f>
        <v>0</v>
      </c>
      <c r="AR132" s="729">
        <f t="shared" ref="AR132:BB132" si="796">AR81-AR129</f>
        <v>0</v>
      </c>
      <c r="AS132" s="729">
        <f t="shared" si="796"/>
        <v>0</v>
      </c>
      <c r="AT132" s="729">
        <f t="shared" si="796"/>
        <v>0</v>
      </c>
      <c r="AU132" s="729">
        <f t="shared" si="796"/>
        <v>0</v>
      </c>
      <c r="AV132" s="729">
        <f t="shared" si="796"/>
        <v>0</v>
      </c>
      <c r="AW132" s="729">
        <f t="shared" si="796"/>
        <v>0</v>
      </c>
      <c r="AX132" s="729">
        <f t="shared" si="796"/>
        <v>0</v>
      </c>
      <c r="AY132" s="729">
        <f t="shared" si="796"/>
        <v>0</v>
      </c>
      <c r="AZ132" s="729">
        <f t="shared" si="796"/>
        <v>0</v>
      </c>
      <c r="BA132" s="729">
        <f t="shared" si="796"/>
        <v>0</v>
      </c>
      <c r="BB132" s="729">
        <f t="shared" si="796"/>
        <v>0</v>
      </c>
      <c r="BD132" s="729">
        <f>BD81-BD129</f>
        <v>0</v>
      </c>
      <c r="BE132" s="729">
        <f t="shared" ref="BE132:BO132" si="797">BE81-BE129</f>
        <v>0</v>
      </c>
      <c r="BF132" s="729">
        <f t="shared" si="797"/>
        <v>0</v>
      </c>
      <c r="BG132" s="729">
        <f t="shared" si="797"/>
        <v>0</v>
      </c>
      <c r="BH132" s="729">
        <f t="shared" si="797"/>
        <v>0</v>
      </c>
      <c r="BI132" s="729">
        <f t="shared" si="797"/>
        <v>0</v>
      </c>
      <c r="BJ132" s="729">
        <f t="shared" si="797"/>
        <v>0</v>
      </c>
      <c r="BK132" s="729">
        <f t="shared" si="797"/>
        <v>0</v>
      </c>
      <c r="BL132" s="729">
        <f t="shared" si="797"/>
        <v>0</v>
      </c>
      <c r="BM132" s="729">
        <f t="shared" si="797"/>
        <v>0</v>
      </c>
      <c r="BN132" s="729">
        <f t="shared" si="797"/>
        <v>0</v>
      </c>
      <c r="BO132" s="729">
        <f t="shared" si="797"/>
        <v>0</v>
      </c>
      <c r="BQ132" s="729">
        <f>BQ81-BQ129</f>
        <v>0</v>
      </c>
      <c r="BR132" s="729">
        <f t="shared" ref="BR132:CB132" si="798">BR81-BR129</f>
        <v>0</v>
      </c>
      <c r="BS132" s="729">
        <f t="shared" si="798"/>
        <v>0</v>
      </c>
      <c r="BT132" s="729">
        <f t="shared" si="798"/>
        <v>0</v>
      </c>
      <c r="BU132" s="729">
        <f t="shared" si="798"/>
        <v>0</v>
      </c>
      <c r="BV132" s="729">
        <f t="shared" si="798"/>
        <v>0</v>
      </c>
      <c r="BW132" s="729">
        <f t="shared" si="798"/>
        <v>0</v>
      </c>
      <c r="BX132" s="729">
        <f t="shared" si="798"/>
        <v>0</v>
      </c>
      <c r="BY132" s="729">
        <f t="shared" si="798"/>
        <v>0</v>
      </c>
      <c r="BZ132" s="729">
        <f t="shared" si="798"/>
        <v>0</v>
      </c>
      <c r="CA132" s="729">
        <f t="shared" si="798"/>
        <v>0</v>
      </c>
      <c r="CB132" s="729">
        <f t="shared" si="798"/>
        <v>0</v>
      </c>
      <c r="CD132" s="729">
        <f>CD81-CD129</f>
        <v>0</v>
      </c>
      <c r="CE132" s="729">
        <f t="shared" ref="CE132:CO132" si="799">CE81-CE129</f>
        <v>0</v>
      </c>
      <c r="CF132" s="729">
        <f t="shared" si="799"/>
        <v>0</v>
      </c>
      <c r="CG132" s="729">
        <f t="shared" si="799"/>
        <v>0</v>
      </c>
      <c r="CH132" s="729">
        <f t="shared" si="799"/>
        <v>0</v>
      </c>
      <c r="CI132" s="729">
        <f t="shared" si="799"/>
        <v>0</v>
      </c>
      <c r="CJ132" s="729">
        <f t="shared" si="799"/>
        <v>0</v>
      </c>
      <c r="CK132" s="729">
        <f t="shared" si="799"/>
        <v>0</v>
      </c>
      <c r="CL132" s="729">
        <f t="shared" si="799"/>
        <v>0</v>
      </c>
      <c r="CM132" s="729">
        <f t="shared" si="799"/>
        <v>0</v>
      </c>
      <c r="CN132" s="729">
        <f t="shared" si="799"/>
        <v>0</v>
      </c>
      <c r="CO132" s="729">
        <f t="shared" si="799"/>
        <v>0</v>
      </c>
      <c r="CQ132" s="729">
        <f>CQ81-CQ129</f>
        <v>0</v>
      </c>
      <c r="CR132" s="729">
        <f t="shared" ref="CR132:DB132" si="800">CR81-CR129</f>
        <v>0</v>
      </c>
      <c r="CS132" s="729">
        <f t="shared" si="800"/>
        <v>0</v>
      </c>
      <c r="CT132" s="729">
        <f t="shared" si="800"/>
        <v>0</v>
      </c>
      <c r="CU132" s="729">
        <f t="shared" si="800"/>
        <v>0</v>
      </c>
      <c r="CV132" s="729">
        <f t="shared" si="800"/>
        <v>0</v>
      </c>
      <c r="CW132" s="729">
        <f t="shared" si="800"/>
        <v>0</v>
      </c>
      <c r="CX132" s="729">
        <f t="shared" si="800"/>
        <v>0</v>
      </c>
      <c r="CY132" s="729">
        <f t="shared" si="800"/>
        <v>0</v>
      </c>
      <c r="CZ132" s="729">
        <f t="shared" si="800"/>
        <v>0</v>
      </c>
      <c r="DA132" s="729">
        <f t="shared" si="800"/>
        <v>0</v>
      </c>
      <c r="DB132" s="729">
        <f t="shared" si="800"/>
        <v>0</v>
      </c>
    </row>
  </sheetData>
  <autoFilter ref="A3:DB129" xr:uid="{5352091A-3316-4E12-8B9F-F9E8E58040A2}"/>
  <mergeCells count="10">
    <mergeCell ref="AQ2:BB2"/>
    <mergeCell ref="BD2:BO2"/>
    <mergeCell ref="BQ2:CB2"/>
    <mergeCell ref="CD2:CO2"/>
    <mergeCell ref="CQ2:DB2"/>
    <mergeCell ref="D2:O2"/>
    <mergeCell ref="B2:B3"/>
    <mergeCell ref="A2:A3"/>
    <mergeCell ref="Q2:AB2"/>
    <mergeCell ref="AD2:AO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FE31-79B9-4EFD-9916-6D30F8907A95}">
  <dimension ref="A1:W52"/>
  <sheetViews>
    <sheetView showGridLines="0" zoomScaleNormal="100" workbookViewId="0">
      <pane xSplit="5" ySplit="1" topLeftCell="I23" activePane="bottomRight" state="frozen"/>
      <selection pane="topRight" activeCell="F1" sqref="F1"/>
      <selection pane="bottomLeft" activeCell="A2" sqref="A2"/>
      <selection pane="bottomRight" activeCell="W51" sqref="L51:W51"/>
    </sheetView>
  </sheetViews>
  <sheetFormatPr defaultRowHeight="14.5"/>
  <cols>
    <col min="1" max="1" width="13.4140625" customWidth="1"/>
    <col min="2" max="2" width="18.58203125" customWidth="1"/>
    <col min="3" max="3" width="3.6640625" customWidth="1"/>
    <col min="4" max="4" width="15.75" bestFit="1" customWidth="1"/>
    <col min="6" max="10" width="11.6640625" bestFit="1" customWidth="1"/>
    <col min="12" max="23" width="11.4140625" bestFit="1" customWidth="1"/>
  </cols>
  <sheetData>
    <row r="1" spans="1:23" ht="16.5">
      <c r="A1" s="579" t="s">
        <v>211</v>
      </c>
      <c r="B1" s="580"/>
      <c r="C1" s="580"/>
      <c r="D1" s="580"/>
      <c r="E1" s="581"/>
      <c r="F1" s="494">
        <v>2023</v>
      </c>
      <c r="G1" s="494">
        <v>2024</v>
      </c>
      <c r="H1" s="497" t="s">
        <v>253</v>
      </c>
      <c r="I1" s="497" t="s">
        <v>252</v>
      </c>
      <c r="J1" s="492" t="s">
        <v>251</v>
      </c>
      <c r="L1" s="492">
        <v>1</v>
      </c>
      <c r="M1" s="492">
        <v>2</v>
      </c>
      <c r="N1" s="492">
        <v>3</v>
      </c>
      <c r="O1" s="492">
        <v>4</v>
      </c>
      <c r="P1" s="492">
        <v>5</v>
      </c>
      <c r="Q1" s="492">
        <v>6</v>
      </c>
      <c r="R1" s="492">
        <v>7</v>
      </c>
      <c r="S1" s="492">
        <v>8</v>
      </c>
      <c r="T1" s="492">
        <v>9</v>
      </c>
      <c r="U1" s="492">
        <v>10</v>
      </c>
      <c r="V1" s="492">
        <v>11</v>
      </c>
      <c r="W1" s="492">
        <v>12</v>
      </c>
    </row>
    <row r="2" spans="1:23" ht="16.5">
      <c r="A2" s="569" t="s">
        <v>212</v>
      </c>
      <c r="B2" s="553"/>
      <c r="C2" s="553"/>
      <c r="D2" s="554"/>
      <c r="E2" s="555"/>
      <c r="F2" s="596">
        <v>735262.71123900008</v>
      </c>
      <c r="G2" s="596">
        <v>969587.26588000008</v>
      </c>
      <c r="H2" s="596">
        <v>856539.03768388066</v>
      </c>
      <c r="I2" s="596">
        <v>930803.78384500009</v>
      </c>
      <c r="J2" s="597">
        <v>953374.90190078237</v>
      </c>
      <c r="L2" s="597">
        <v>932305.41211573931</v>
      </c>
      <c r="M2" s="597">
        <v>958251.0086634641</v>
      </c>
      <c r="N2" s="597">
        <v>1006004.1807250303</v>
      </c>
      <c r="O2" s="597">
        <v>1057280.5393245067</v>
      </c>
      <c r="P2" s="597">
        <v>1044554.0657521689</v>
      </c>
      <c r="Q2" s="597">
        <v>1076529.5496178812</v>
      </c>
      <c r="R2" s="597">
        <v>1066541.6630191244</v>
      </c>
      <c r="S2" s="597">
        <v>1071381.0320841074</v>
      </c>
      <c r="T2" s="597">
        <v>1071057.0915987564</v>
      </c>
      <c r="U2" s="597">
        <v>1079035.2350159818</v>
      </c>
      <c r="V2" s="597">
        <v>1069475.9489714073</v>
      </c>
      <c r="W2" s="597">
        <v>953374.90190078237</v>
      </c>
    </row>
    <row r="3" spans="1:23" ht="16.5">
      <c r="A3" s="552" t="s">
        <v>213</v>
      </c>
      <c r="B3" s="553"/>
      <c r="C3" s="553"/>
      <c r="D3" s="554"/>
      <c r="E3" s="555"/>
      <c r="F3" s="596">
        <v>8363.0425340000002</v>
      </c>
      <c r="G3" s="596">
        <v>42645.017284000001</v>
      </c>
      <c r="H3" s="596">
        <v>40303.428049860391</v>
      </c>
      <c r="I3" s="596">
        <v>69674.893154999998</v>
      </c>
      <c r="J3" s="597">
        <v>65833.999999999942</v>
      </c>
      <c r="L3" s="597">
        <v>57215.999999999898</v>
      </c>
      <c r="M3" s="597">
        <v>56149.000000000087</v>
      </c>
      <c r="N3" s="597">
        <v>62001.000000000022</v>
      </c>
      <c r="O3" s="597">
        <v>55532.00000000008</v>
      </c>
      <c r="P3" s="597">
        <v>65979.000000000204</v>
      </c>
      <c r="Q3" s="597">
        <v>63710.999999999905</v>
      </c>
      <c r="R3" s="597">
        <v>63438.000000000218</v>
      </c>
      <c r="S3" s="597">
        <v>70644.999999999971</v>
      </c>
      <c r="T3" s="597">
        <v>55324.000000000015</v>
      </c>
      <c r="U3" s="597">
        <v>59349.999999999913</v>
      </c>
      <c r="V3" s="597">
        <v>52697.000000000044</v>
      </c>
      <c r="W3" s="597">
        <v>65833.999999999942</v>
      </c>
    </row>
    <row r="4" spans="1:23" ht="16.5">
      <c r="A4" s="582"/>
      <c r="B4" s="548" t="s">
        <v>213</v>
      </c>
      <c r="C4" s="548"/>
      <c r="D4" s="557"/>
      <c r="E4" s="558"/>
      <c r="F4" s="598">
        <v>6353.0425340000002</v>
      </c>
      <c r="G4" s="598">
        <v>39805.017284000001</v>
      </c>
      <c r="H4" s="598">
        <v>35303.428049860391</v>
      </c>
      <c r="I4" s="598">
        <v>36834.893154999998</v>
      </c>
      <c r="J4" s="599">
        <v>32993.999999999942</v>
      </c>
      <c r="L4" s="599">
        <v>24375.999999999898</v>
      </c>
      <c r="M4" s="599">
        <v>23309.000000000087</v>
      </c>
      <c r="N4" s="599">
        <v>29161.000000000022</v>
      </c>
      <c r="O4" s="599">
        <v>22692.00000000008</v>
      </c>
      <c r="P4" s="599">
        <v>33139.000000000204</v>
      </c>
      <c r="Q4" s="599">
        <v>30870.999999999905</v>
      </c>
      <c r="R4" s="599">
        <v>30598.000000000218</v>
      </c>
      <c r="S4" s="599">
        <v>37804.999999999971</v>
      </c>
      <c r="T4" s="599">
        <v>22484.000000000015</v>
      </c>
      <c r="U4" s="599">
        <v>26509.999999999916</v>
      </c>
      <c r="V4" s="599">
        <v>19857.00000000004</v>
      </c>
      <c r="W4" s="599">
        <v>32993.999999999942</v>
      </c>
    </row>
    <row r="5" spans="1:23" ht="16.5">
      <c r="A5" s="582"/>
      <c r="B5" s="548" t="s">
        <v>214</v>
      </c>
      <c r="C5" s="548"/>
      <c r="D5" s="557"/>
      <c r="E5" s="558"/>
      <c r="F5" s="598">
        <v>2010</v>
      </c>
      <c r="G5" s="598">
        <v>2840</v>
      </c>
      <c r="H5" s="598">
        <v>5000</v>
      </c>
      <c r="I5" s="598">
        <v>32840</v>
      </c>
      <c r="J5" s="599">
        <v>32840</v>
      </c>
      <c r="L5" s="660">
        <v>32840</v>
      </c>
      <c r="M5" s="660">
        <v>32840</v>
      </c>
      <c r="N5" s="660">
        <v>32840</v>
      </c>
      <c r="O5" s="660">
        <v>32840</v>
      </c>
      <c r="P5" s="660">
        <v>32840</v>
      </c>
      <c r="Q5" s="660">
        <v>32840</v>
      </c>
      <c r="R5" s="660">
        <v>32840</v>
      </c>
      <c r="S5" s="660">
        <v>32840</v>
      </c>
      <c r="T5" s="660">
        <v>32840</v>
      </c>
      <c r="U5" s="660">
        <v>32840</v>
      </c>
      <c r="V5" s="660">
        <v>32840</v>
      </c>
      <c r="W5" s="660">
        <v>32840</v>
      </c>
    </row>
    <row r="6" spans="1:23" ht="16.5">
      <c r="A6" s="552" t="s">
        <v>215</v>
      </c>
      <c r="B6" s="553"/>
      <c r="C6" s="553"/>
      <c r="D6" s="554"/>
      <c r="E6" s="555"/>
      <c r="F6" s="596">
        <v>316343.860667</v>
      </c>
      <c r="G6" s="596">
        <v>292036.709951</v>
      </c>
      <c r="H6" s="596">
        <v>266580.09988402028</v>
      </c>
      <c r="I6" s="596">
        <v>279428.20635200001</v>
      </c>
      <c r="J6" s="597">
        <v>249699.5134688057</v>
      </c>
      <c r="L6" s="597">
        <v>358068.66691423871</v>
      </c>
      <c r="M6" s="597">
        <v>346096.96865358716</v>
      </c>
      <c r="N6" s="597">
        <v>305771.41240776365</v>
      </c>
      <c r="O6" s="597">
        <v>407782.69071067823</v>
      </c>
      <c r="P6" s="597">
        <v>358516.68243171467</v>
      </c>
      <c r="Q6" s="597">
        <v>368524.74203427276</v>
      </c>
      <c r="R6" s="597">
        <v>392357.17319304438</v>
      </c>
      <c r="S6" s="597">
        <v>384011.96574563475</v>
      </c>
      <c r="T6" s="597">
        <v>367949.42340359633</v>
      </c>
      <c r="U6" s="597">
        <v>421049.16617787286</v>
      </c>
      <c r="V6" s="597">
        <v>392072.94294544199</v>
      </c>
      <c r="W6" s="597">
        <v>249699.5134688057</v>
      </c>
    </row>
    <row r="7" spans="1:23" ht="16.5">
      <c r="A7" s="582"/>
      <c r="B7" s="548" t="s">
        <v>216</v>
      </c>
      <c r="C7" s="548"/>
      <c r="D7" s="557"/>
      <c r="E7" s="558"/>
      <c r="F7" s="598">
        <v>121096.08326</v>
      </c>
      <c r="G7" s="598">
        <v>152669.364944</v>
      </c>
      <c r="H7" s="598">
        <v>160434.16358333334</v>
      </c>
      <c r="I7" s="598">
        <v>156130.489332</v>
      </c>
      <c r="J7" s="599">
        <v>131361.10467136381</v>
      </c>
      <c r="L7" s="599">
        <v>158904.04088708217</v>
      </c>
      <c r="M7" s="599">
        <v>171137.55638249172</v>
      </c>
      <c r="N7" s="599">
        <v>127415.43414133221</v>
      </c>
      <c r="O7" s="599">
        <v>132232.50806068303</v>
      </c>
      <c r="P7" s="599">
        <v>132678.04726596229</v>
      </c>
      <c r="Q7" s="599">
        <v>134957.93974417713</v>
      </c>
      <c r="R7" s="599">
        <v>155219.54918484922</v>
      </c>
      <c r="S7" s="599">
        <v>146418.37686166697</v>
      </c>
      <c r="T7" s="599">
        <v>116619.51937963352</v>
      </c>
      <c r="U7" s="599">
        <v>176062.1796927166</v>
      </c>
      <c r="V7" s="599">
        <v>133450.91161300521</v>
      </c>
      <c r="W7" s="599">
        <v>131361.10467136381</v>
      </c>
    </row>
    <row r="8" spans="1:23" ht="16.5">
      <c r="A8" s="582"/>
      <c r="B8" s="548" t="s">
        <v>217</v>
      </c>
      <c r="C8" s="548"/>
      <c r="D8" s="557"/>
      <c r="E8" s="558"/>
      <c r="F8" s="598">
        <v>38776.401473999998</v>
      </c>
      <c r="G8" s="598">
        <v>23997.890529</v>
      </c>
      <c r="H8" s="598">
        <v>16855.19990768694</v>
      </c>
      <c r="I8" s="598">
        <v>69724.927146000002</v>
      </c>
      <c r="J8" s="599">
        <v>3780.6026464419101</v>
      </c>
      <c r="L8" s="599">
        <v>96165.219876156567</v>
      </c>
      <c r="M8" s="599">
        <v>113345.00612009544</v>
      </c>
      <c r="N8" s="599">
        <v>111496.57211543145</v>
      </c>
      <c r="O8" s="599">
        <v>202042.37649899523</v>
      </c>
      <c r="P8" s="599">
        <v>147330.82901475235</v>
      </c>
      <c r="Q8" s="599">
        <v>150058.9961390956</v>
      </c>
      <c r="R8" s="599">
        <v>147579.81785719513</v>
      </c>
      <c r="S8" s="599">
        <v>143035.78273296775</v>
      </c>
      <c r="T8" s="599">
        <v>151772.09787296277</v>
      </c>
      <c r="U8" s="599">
        <v>140429.1803341562</v>
      </c>
      <c r="V8" s="599">
        <v>149064.22518143675</v>
      </c>
      <c r="W8" s="599">
        <v>3780.6026464419101</v>
      </c>
    </row>
    <row r="9" spans="1:23" ht="16.5">
      <c r="A9" s="582"/>
      <c r="B9" s="548" t="s">
        <v>218</v>
      </c>
      <c r="C9" s="548"/>
      <c r="D9" s="557"/>
      <c r="E9" s="558"/>
      <c r="F9" s="598">
        <v>156471.375933</v>
      </c>
      <c r="G9" s="598">
        <v>115369.454478</v>
      </c>
      <c r="H9" s="598">
        <v>89290.736392999999</v>
      </c>
      <c r="I9" s="598">
        <v>53572.789874000002</v>
      </c>
      <c r="J9" s="599">
        <v>114557.80615100001</v>
      </c>
      <c r="L9" s="599">
        <v>102999.406151</v>
      </c>
      <c r="M9" s="599">
        <v>61614.406151000003</v>
      </c>
      <c r="N9" s="599">
        <v>66859.406151000003</v>
      </c>
      <c r="O9" s="599">
        <v>73507.806150999997</v>
      </c>
      <c r="P9" s="599">
        <v>78507.806151000012</v>
      </c>
      <c r="Q9" s="599">
        <v>83507.806151000012</v>
      </c>
      <c r="R9" s="599">
        <v>89557.806151000012</v>
      </c>
      <c r="S9" s="599">
        <v>94557.806151000012</v>
      </c>
      <c r="T9" s="599">
        <v>99557.806151000012</v>
      </c>
      <c r="U9" s="599">
        <v>104557.80615100001</v>
      </c>
      <c r="V9" s="599">
        <v>109557.80615100001</v>
      </c>
      <c r="W9" s="599">
        <v>114557.80615100001</v>
      </c>
    </row>
    <row r="10" spans="1:23" ht="16.5">
      <c r="A10" s="552" t="s">
        <v>219</v>
      </c>
      <c r="B10" s="553"/>
      <c r="C10" s="553"/>
      <c r="D10" s="583"/>
      <c r="E10" s="584"/>
      <c r="F10" s="596">
        <v>369427.72192799998</v>
      </c>
      <c r="G10" s="596">
        <v>605821.15279800002</v>
      </c>
      <c r="H10" s="596">
        <v>519655.50975000003</v>
      </c>
      <c r="I10" s="596">
        <v>562153.57231900003</v>
      </c>
      <c r="J10" s="597">
        <v>618294.27641297679</v>
      </c>
      <c r="L10" s="597">
        <v>497473.63318250078</v>
      </c>
      <c r="M10" s="597">
        <v>536457.92799087684</v>
      </c>
      <c r="N10" s="597">
        <v>618684.65629826661</v>
      </c>
      <c r="O10" s="597">
        <v>574418.73659482819</v>
      </c>
      <c r="P10" s="597">
        <v>600511.27130145405</v>
      </c>
      <c r="Q10" s="597">
        <v>624746.69556460844</v>
      </c>
      <c r="R10" s="597">
        <v>591199.3778070797</v>
      </c>
      <c r="S10" s="597">
        <v>597176.95431947254</v>
      </c>
      <c r="T10" s="597">
        <v>628236.55617616</v>
      </c>
      <c r="U10" s="597">
        <v>579088.9568191088</v>
      </c>
      <c r="V10" s="597">
        <v>605158.8940069651</v>
      </c>
      <c r="W10" s="597">
        <v>618294.27641297679</v>
      </c>
    </row>
    <row r="11" spans="1:23" ht="16.5">
      <c r="A11" s="582"/>
      <c r="B11" s="548" t="s">
        <v>219</v>
      </c>
      <c r="C11" s="548"/>
      <c r="D11" s="557"/>
      <c r="E11" s="558"/>
      <c r="F11" s="598">
        <v>369427.72192799998</v>
      </c>
      <c r="G11" s="598">
        <v>605821.15279800002</v>
      </c>
      <c r="H11" s="598">
        <v>519655.50975000003</v>
      </c>
      <c r="I11" s="598">
        <v>562153.57231900003</v>
      </c>
      <c r="J11" s="599">
        <v>618294.27641297679</v>
      </c>
      <c r="L11" s="599">
        <v>497473.63318250078</v>
      </c>
      <c r="M11" s="599">
        <v>536457.92799087684</v>
      </c>
      <c r="N11" s="599">
        <v>618684.65629826661</v>
      </c>
      <c r="O11" s="599">
        <v>574418.73659482819</v>
      </c>
      <c r="P11" s="599">
        <v>600511.27130145405</v>
      </c>
      <c r="Q11" s="599">
        <v>624746.69556460844</v>
      </c>
      <c r="R11" s="599">
        <v>591199.3778070797</v>
      </c>
      <c r="S11" s="599">
        <v>597176.95431947254</v>
      </c>
      <c r="T11" s="599">
        <v>628236.55617616</v>
      </c>
      <c r="U11" s="599">
        <v>579088.9568191088</v>
      </c>
      <c r="V11" s="599">
        <v>605158.8940069651</v>
      </c>
      <c r="W11" s="599">
        <v>618294.27641297679</v>
      </c>
    </row>
    <row r="12" spans="1:23" ht="16.5">
      <c r="A12" s="552" t="s">
        <v>220</v>
      </c>
      <c r="B12" s="553"/>
      <c r="C12" s="553"/>
      <c r="D12" s="583"/>
      <c r="E12" s="584"/>
      <c r="F12" s="596">
        <v>41128.086109999997</v>
      </c>
      <c r="G12" s="596">
        <v>29084.385847000001</v>
      </c>
      <c r="H12" s="596">
        <v>30000</v>
      </c>
      <c r="I12" s="596">
        <v>19547.112019</v>
      </c>
      <c r="J12" s="597">
        <v>19547.112019</v>
      </c>
      <c r="L12" s="597">
        <v>19547.112019</v>
      </c>
      <c r="M12" s="597">
        <v>19547.112019</v>
      </c>
      <c r="N12" s="597">
        <v>19547.112019</v>
      </c>
      <c r="O12" s="597">
        <v>19547.112019</v>
      </c>
      <c r="P12" s="597">
        <v>19547.112019</v>
      </c>
      <c r="Q12" s="597">
        <v>19547.112019</v>
      </c>
      <c r="R12" s="597">
        <v>19547.112019</v>
      </c>
      <c r="S12" s="597">
        <v>19547.112019</v>
      </c>
      <c r="T12" s="597">
        <v>19547.112019</v>
      </c>
      <c r="U12" s="597">
        <v>19547.112019</v>
      </c>
      <c r="V12" s="597">
        <v>19547.112019</v>
      </c>
      <c r="W12" s="597">
        <v>19547.112019</v>
      </c>
    </row>
    <row r="13" spans="1:23" ht="16.5">
      <c r="A13" s="556"/>
      <c r="B13" s="548"/>
      <c r="C13" s="548"/>
      <c r="D13" s="557"/>
      <c r="E13" s="558"/>
      <c r="F13" s="495"/>
      <c r="G13" s="495"/>
      <c r="H13" s="495"/>
      <c r="I13" s="495"/>
      <c r="J13" s="493">
        <v>0</v>
      </c>
      <c r="L13" s="493"/>
      <c r="M13" s="493"/>
      <c r="N13" s="493"/>
      <c r="O13" s="493"/>
      <c r="P13" s="493"/>
      <c r="Q13" s="493"/>
      <c r="R13" s="493"/>
      <c r="S13" s="493"/>
      <c r="T13" s="493"/>
      <c r="U13" s="493"/>
      <c r="V13" s="493"/>
      <c r="W13" s="493"/>
    </row>
    <row r="14" spans="1:23" ht="16.5">
      <c r="A14" s="569" t="s">
        <v>221</v>
      </c>
      <c r="B14" s="553"/>
      <c r="C14" s="553"/>
      <c r="D14" s="554"/>
      <c r="E14" s="555"/>
      <c r="F14" s="596">
        <v>275491.12559199997</v>
      </c>
      <c r="G14" s="596">
        <v>285939.00085099996</v>
      </c>
      <c r="H14" s="596">
        <v>998166.48081924766</v>
      </c>
      <c r="I14" s="596">
        <v>364567.61640180752</v>
      </c>
      <c r="J14" s="597">
        <v>919391.93215195753</v>
      </c>
      <c r="L14" s="597">
        <v>760596.93327188655</v>
      </c>
      <c r="M14" s="597">
        <v>768481.31669616571</v>
      </c>
      <c r="N14" s="597">
        <v>767758.01546324487</v>
      </c>
      <c r="O14" s="597">
        <v>777603.49795232411</v>
      </c>
      <c r="P14" s="597">
        <v>791914.32338540326</v>
      </c>
      <c r="Q14" s="597">
        <v>785946.25368048239</v>
      </c>
      <c r="R14" s="597">
        <v>779978.18397556164</v>
      </c>
      <c r="S14" s="597">
        <v>774010.11427064089</v>
      </c>
      <c r="T14" s="597">
        <v>771887.87456571998</v>
      </c>
      <c r="U14" s="597">
        <v>765906.98542779917</v>
      </c>
      <c r="V14" s="597">
        <v>761399.09628987836</v>
      </c>
      <c r="W14" s="597">
        <v>919391.93215195753</v>
      </c>
    </row>
    <row r="15" spans="1:23" ht="16.5">
      <c r="A15" s="552" t="s">
        <v>222</v>
      </c>
      <c r="B15" s="553"/>
      <c r="C15" s="553"/>
      <c r="D15" s="554"/>
      <c r="E15" s="555"/>
      <c r="F15" s="596">
        <v>200719.40897399999</v>
      </c>
      <c r="G15" s="596">
        <v>236902.59117999999</v>
      </c>
      <c r="H15" s="596">
        <v>949885.28530224762</v>
      </c>
      <c r="I15" s="596">
        <v>287236.19254580751</v>
      </c>
      <c r="J15" s="597">
        <v>905141.04210895754</v>
      </c>
      <c r="L15" s="597">
        <v>746346.04322888656</v>
      </c>
      <c r="M15" s="597">
        <v>754230.42665316572</v>
      </c>
      <c r="N15" s="597">
        <v>753507.12542024488</v>
      </c>
      <c r="O15" s="597">
        <v>763352.60790932411</v>
      </c>
      <c r="P15" s="597">
        <v>777663.43334240327</v>
      </c>
      <c r="Q15" s="597">
        <v>771695.3636374824</v>
      </c>
      <c r="R15" s="597">
        <v>765727.29393256165</v>
      </c>
      <c r="S15" s="597">
        <v>759759.22422764089</v>
      </c>
      <c r="T15" s="597">
        <v>757636.98452271998</v>
      </c>
      <c r="U15" s="597">
        <v>751656.09538479918</v>
      </c>
      <c r="V15" s="597">
        <v>747148.20624687837</v>
      </c>
      <c r="W15" s="597">
        <v>905141.04210895754</v>
      </c>
    </row>
    <row r="16" spans="1:23" ht="16.5">
      <c r="A16" s="556"/>
      <c r="B16" s="547" t="s">
        <v>223</v>
      </c>
      <c r="C16" s="548"/>
      <c r="D16" s="557"/>
      <c r="E16" s="558"/>
      <c r="F16" s="598">
        <v>199053.38756999999</v>
      </c>
      <c r="G16" s="598">
        <v>209868.60986299999</v>
      </c>
      <c r="H16" s="598">
        <v>948901.31720224756</v>
      </c>
      <c r="I16" s="598">
        <v>281977.06123247417</v>
      </c>
      <c r="J16" s="599">
        <v>899197.61725574266</v>
      </c>
      <c r="L16" s="599">
        <v>741136.89907431311</v>
      </c>
      <c r="M16" s="599">
        <v>749071.26965735212</v>
      </c>
      <c r="N16" s="599">
        <v>748397.95558319113</v>
      </c>
      <c r="O16" s="599">
        <v>758293.42523103021</v>
      </c>
      <c r="P16" s="599">
        <v>771202.91310086928</v>
      </c>
      <c r="Q16" s="599">
        <v>765308.71416570828</v>
      </c>
      <c r="R16" s="599">
        <v>759414.5152305474</v>
      </c>
      <c r="S16" s="599">
        <v>753520.31629538652</v>
      </c>
      <c r="T16" s="599">
        <v>751471.94736022549</v>
      </c>
      <c r="U16" s="599">
        <v>745564.92899206455</v>
      </c>
      <c r="V16" s="599">
        <v>741130.91062390362</v>
      </c>
      <c r="W16" s="599">
        <v>899197.61725574266</v>
      </c>
    </row>
    <row r="17" spans="1:23" ht="16">
      <c r="A17" s="585"/>
      <c r="B17" s="586"/>
      <c r="C17" s="587"/>
      <c r="D17" s="588" t="s">
        <v>224</v>
      </c>
      <c r="E17" s="589"/>
      <c r="F17" s="600">
        <v>257373.86771399999</v>
      </c>
      <c r="G17" s="600">
        <v>290150.22002800001</v>
      </c>
      <c r="H17" s="600">
        <v>1121537.0023670001</v>
      </c>
      <c r="I17" s="600">
        <v>410978.55858300003</v>
      </c>
      <c r="J17" s="601">
        <v>1097654.1387641998</v>
      </c>
      <c r="L17" s="601">
        <v>875391.8993269999</v>
      </c>
      <c r="M17" s="601">
        <v>888964.16476419987</v>
      </c>
      <c r="N17" s="601">
        <v>894016.76476419985</v>
      </c>
      <c r="O17" s="601">
        <v>909672.3887641998</v>
      </c>
      <c r="P17" s="601">
        <v>928349.30876419984</v>
      </c>
      <c r="Q17" s="601">
        <v>928349.30876419984</v>
      </c>
      <c r="R17" s="601">
        <v>928349.30876419984</v>
      </c>
      <c r="S17" s="601">
        <v>928349.30876419984</v>
      </c>
      <c r="T17" s="601">
        <v>932195.1387641998</v>
      </c>
      <c r="U17" s="601">
        <v>932195.1387641998</v>
      </c>
      <c r="V17" s="601">
        <v>933668.1387641998</v>
      </c>
      <c r="W17" s="601">
        <v>1097654.1387641998</v>
      </c>
    </row>
    <row r="18" spans="1:23" ht="16">
      <c r="A18" s="585"/>
      <c r="B18" s="586"/>
      <c r="C18" s="587"/>
      <c r="D18" s="588" t="s">
        <v>225</v>
      </c>
      <c r="E18" s="589"/>
      <c r="F18" s="600">
        <v>-58320.480144000001</v>
      </c>
      <c r="G18" s="600">
        <v>-80281.610165000006</v>
      </c>
      <c r="H18" s="600">
        <v>-172635.68516475256</v>
      </c>
      <c r="I18" s="600">
        <v>-129001.49735052588</v>
      </c>
      <c r="J18" s="601">
        <v>-198456.52150845711</v>
      </c>
      <c r="L18" s="601">
        <v>-134255.00025268682</v>
      </c>
      <c r="M18" s="601">
        <v>-139892.89510684775</v>
      </c>
      <c r="N18" s="601">
        <v>-145618.80918100869</v>
      </c>
      <c r="O18" s="601">
        <v>-151378.96353316962</v>
      </c>
      <c r="P18" s="601">
        <v>-157146.39566333056</v>
      </c>
      <c r="Q18" s="601">
        <v>-163040.5945984915</v>
      </c>
      <c r="R18" s="601">
        <v>-168934.79353365244</v>
      </c>
      <c r="S18" s="601">
        <v>-174828.99246881338</v>
      </c>
      <c r="T18" s="601">
        <v>-180723.19140397431</v>
      </c>
      <c r="U18" s="601">
        <v>-186630.20977213525</v>
      </c>
      <c r="V18" s="601">
        <v>-192537.22814029618</v>
      </c>
      <c r="W18" s="601">
        <v>-198456.52150845711</v>
      </c>
    </row>
    <row r="19" spans="1:23" ht="16.5">
      <c r="A19" s="556"/>
      <c r="B19" s="547" t="s">
        <v>226</v>
      </c>
      <c r="C19" s="548"/>
      <c r="D19" s="557"/>
      <c r="E19" s="558"/>
      <c r="F19" s="598">
        <v>0</v>
      </c>
      <c r="G19" s="598">
        <v>24920.890315000001</v>
      </c>
      <c r="H19" s="598">
        <v>0</v>
      </c>
      <c r="I19" s="598">
        <v>0</v>
      </c>
      <c r="J19" s="599">
        <v>0</v>
      </c>
      <c r="L19" s="599"/>
      <c r="M19" s="599"/>
      <c r="N19" s="599"/>
      <c r="O19" s="599"/>
      <c r="P19" s="599"/>
      <c r="Q19" s="599"/>
      <c r="R19" s="599"/>
      <c r="S19" s="599"/>
      <c r="T19" s="599"/>
      <c r="U19" s="599"/>
      <c r="V19" s="599"/>
      <c r="W19" s="599"/>
    </row>
    <row r="20" spans="1:23" ht="16">
      <c r="A20" s="585"/>
      <c r="B20" s="590"/>
      <c r="C20" s="591"/>
      <c r="D20" s="588" t="s">
        <v>224</v>
      </c>
      <c r="E20" s="589"/>
      <c r="F20" s="600">
        <v>0</v>
      </c>
      <c r="G20" s="600">
        <v>25454.545454999999</v>
      </c>
      <c r="H20" s="600"/>
      <c r="I20" s="600">
        <v>0</v>
      </c>
      <c r="J20" s="601">
        <v>0</v>
      </c>
      <c r="L20" s="601"/>
      <c r="M20" s="601"/>
      <c r="N20" s="601"/>
      <c r="O20" s="601"/>
      <c r="P20" s="601"/>
      <c r="Q20" s="601"/>
      <c r="R20" s="601"/>
      <c r="S20" s="601"/>
      <c r="T20" s="601"/>
      <c r="U20" s="601"/>
      <c r="V20" s="601"/>
      <c r="W20" s="601"/>
    </row>
    <row r="21" spans="1:23" ht="16">
      <c r="A21" s="585"/>
      <c r="B21" s="590"/>
      <c r="C21" s="591"/>
      <c r="D21" s="588" t="s">
        <v>225</v>
      </c>
      <c r="E21" s="589"/>
      <c r="F21" s="600">
        <v>0</v>
      </c>
      <c r="G21" s="600">
        <v>-533.65513999999996</v>
      </c>
      <c r="H21" s="600"/>
      <c r="I21" s="600">
        <v>0</v>
      </c>
      <c r="J21" s="601">
        <v>0</v>
      </c>
      <c r="L21" s="601"/>
      <c r="M21" s="601"/>
      <c r="N21" s="601"/>
      <c r="O21" s="601"/>
      <c r="P21" s="601"/>
      <c r="Q21" s="601"/>
      <c r="R21" s="601"/>
      <c r="S21" s="601"/>
      <c r="T21" s="601"/>
      <c r="U21" s="601"/>
      <c r="V21" s="601"/>
      <c r="W21" s="601"/>
    </row>
    <row r="22" spans="1:23" ht="16.5">
      <c r="A22" s="546"/>
      <c r="B22" s="547" t="s">
        <v>227</v>
      </c>
      <c r="C22" s="548"/>
      <c r="D22" s="549"/>
      <c r="E22" s="550"/>
      <c r="F22" s="598">
        <v>1666.0214040000001</v>
      </c>
      <c r="G22" s="598">
        <v>2113.0910020000001</v>
      </c>
      <c r="H22" s="598">
        <v>983.96810000000005</v>
      </c>
      <c r="I22" s="598">
        <v>5259.1313133333333</v>
      </c>
      <c r="J22" s="602">
        <v>5943.4248532148795</v>
      </c>
      <c r="L22" s="602">
        <v>5209.1441545734624</v>
      </c>
      <c r="M22" s="602">
        <v>5159.1569958135915</v>
      </c>
      <c r="N22" s="602">
        <v>5109.1698370537197</v>
      </c>
      <c r="O22" s="602">
        <v>5059.1826782938488</v>
      </c>
      <c r="P22" s="602">
        <v>6460.5202415339772</v>
      </c>
      <c r="Q22" s="602">
        <v>6386.6494717741061</v>
      </c>
      <c r="R22" s="602">
        <v>6312.778702014235</v>
      </c>
      <c r="S22" s="602">
        <v>6238.9079322543639</v>
      </c>
      <c r="T22" s="602">
        <v>6165.0371624944928</v>
      </c>
      <c r="U22" s="602">
        <v>6091.1663927346217</v>
      </c>
      <c r="V22" s="602">
        <v>6017.2956229747506</v>
      </c>
      <c r="W22" s="602">
        <v>5943.4248532148795</v>
      </c>
    </row>
    <row r="23" spans="1:23" ht="16">
      <c r="A23" s="585"/>
      <c r="B23" s="591"/>
      <c r="C23" s="591"/>
      <c r="D23" s="588" t="s">
        <v>224</v>
      </c>
      <c r="E23" s="589"/>
      <c r="F23" s="600">
        <v>2646.0350600000002</v>
      </c>
      <c r="G23" s="600">
        <v>3606.4579979999999</v>
      </c>
      <c r="H23" s="600">
        <v>3077.3350989999999</v>
      </c>
      <c r="I23" s="600">
        <v>7146.9881343333336</v>
      </c>
      <c r="J23" s="601">
        <v>8606.9881343333327</v>
      </c>
      <c r="L23" s="601">
        <v>7146.9881343333336</v>
      </c>
      <c r="M23" s="601">
        <v>7146.9881343333336</v>
      </c>
      <c r="N23" s="601">
        <v>7146.9881343333336</v>
      </c>
      <c r="O23" s="601">
        <v>7146.9881343333336</v>
      </c>
      <c r="P23" s="601">
        <v>8606.9881343333327</v>
      </c>
      <c r="Q23" s="601">
        <v>8606.9881343333327</v>
      </c>
      <c r="R23" s="601">
        <v>8606.9881343333327</v>
      </c>
      <c r="S23" s="601">
        <v>8606.9881343333327</v>
      </c>
      <c r="T23" s="601">
        <v>8606.9881343333327</v>
      </c>
      <c r="U23" s="601">
        <v>8606.9881343333327</v>
      </c>
      <c r="V23" s="601">
        <v>8606.9881343333327</v>
      </c>
      <c r="W23" s="601">
        <v>8606.9881343333327</v>
      </c>
    </row>
    <row r="24" spans="1:23" ht="16">
      <c r="A24" s="585"/>
      <c r="B24" s="591"/>
      <c r="C24" s="591"/>
      <c r="D24" s="588" t="s">
        <v>225</v>
      </c>
      <c r="E24" s="589"/>
      <c r="F24" s="600">
        <v>-980.01365599999997</v>
      </c>
      <c r="G24" s="600">
        <v>-1493.366996</v>
      </c>
      <c r="H24" s="600">
        <v>-2093.3669989999999</v>
      </c>
      <c r="I24" s="600">
        <v>-1887.8568209999999</v>
      </c>
      <c r="J24" s="601">
        <v>-2663.5632811184537</v>
      </c>
      <c r="L24" s="601">
        <v>-1937.8439797598712</v>
      </c>
      <c r="M24" s="601">
        <v>-1987.8311385197426</v>
      </c>
      <c r="N24" s="601">
        <v>-2037.8182972796139</v>
      </c>
      <c r="O24" s="601">
        <v>-2087.8054560394849</v>
      </c>
      <c r="P24" s="601">
        <v>-2146.4678927993559</v>
      </c>
      <c r="Q24" s="601">
        <v>-2220.338662559227</v>
      </c>
      <c r="R24" s="601">
        <v>-2294.2094323190981</v>
      </c>
      <c r="S24" s="601">
        <v>-2368.0802020789693</v>
      </c>
      <c r="T24" s="601">
        <v>-2441.9509718388404</v>
      </c>
      <c r="U24" s="601">
        <v>-2515.8217415987115</v>
      </c>
      <c r="V24" s="601">
        <v>-2589.6925113585826</v>
      </c>
      <c r="W24" s="601">
        <v>-2663.5632811184537</v>
      </c>
    </row>
    <row r="25" spans="1:23" ht="16.5">
      <c r="A25" s="552" t="s">
        <v>228</v>
      </c>
      <c r="B25" s="553"/>
      <c r="C25" s="553"/>
      <c r="D25" s="554"/>
      <c r="E25" s="555"/>
      <c r="F25" s="596">
        <v>70082.172831000003</v>
      </c>
      <c r="G25" s="596">
        <v>36580.186979999999</v>
      </c>
      <c r="H25" s="596">
        <v>43281.195517</v>
      </c>
      <c r="I25" s="596">
        <v>63080.533813000002</v>
      </c>
      <c r="J25" s="597">
        <v>0</v>
      </c>
      <c r="L25" s="597">
        <v>0</v>
      </c>
      <c r="M25" s="597">
        <v>0</v>
      </c>
      <c r="N25" s="597">
        <v>0</v>
      </c>
      <c r="O25" s="597">
        <v>0</v>
      </c>
      <c r="P25" s="597">
        <v>0</v>
      </c>
      <c r="Q25" s="597">
        <v>0</v>
      </c>
      <c r="R25" s="597">
        <v>0</v>
      </c>
      <c r="S25" s="597">
        <v>0</v>
      </c>
      <c r="T25" s="597">
        <v>0</v>
      </c>
      <c r="U25" s="597">
        <v>0</v>
      </c>
      <c r="V25" s="597">
        <v>0</v>
      </c>
      <c r="W25" s="597">
        <v>0</v>
      </c>
    </row>
    <row r="26" spans="1:23" ht="16.5">
      <c r="A26" s="556"/>
      <c r="B26" s="547" t="s">
        <v>229</v>
      </c>
      <c r="C26" s="548"/>
      <c r="D26" s="557"/>
      <c r="E26" s="558"/>
      <c r="F26" s="598">
        <v>70082.172831000003</v>
      </c>
      <c r="G26" s="598">
        <v>36580.186979999999</v>
      </c>
      <c r="H26" s="598">
        <v>43281.195517</v>
      </c>
      <c r="I26" s="598">
        <v>63080.533813000002</v>
      </c>
      <c r="J26" s="602">
        <v>0</v>
      </c>
      <c r="L26" s="602">
        <v>0</v>
      </c>
      <c r="M26" s="602">
        <v>0</v>
      </c>
      <c r="N26" s="602">
        <v>0</v>
      </c>
      <c r="O26" s="602">
        <v>0</v>
      </c>
      <c r="P26" s="602">
        <v>0</v>
      </c>
      <c r="Q26" s="602">
        <v>0</v>
      </c>
      <c r="R26" s="602">
        <v>0</v>
      </c>
      <c r="S26" s="602">
        <v>0</v>
      </c>
      <c r="T26" s="602">
        <v>0</v>
      </c>
      <c r="U26" s="602">
        <v>0</v>
      </c>
      <c r="V26" s="602">
        <v>0</v>
      </c>
      <c r="W26" s="602">
        <v>0</v>
      </c>
    </row>
    <row r="27" spans="1:23" ht="16.5">
      <c r="A27" s="552" t="s">
        <v>230</v>
      </c>
      <c r="B27" s="553"/>
      <c r="C27" s="553"/>
      <c r="D27" s="554"/>
      <c r="E27" s="555"/>
      <c r="F27" s="596">
        <v>4689.5437869999996</v>
      </c>
      <c r="G27" s="596">
        <v>12456.222690999999</v>
      </c>
      <c r="H27" s="596">
        <v>5000</v>
      </c>
      <c r="I27" s="596">
        <v>14250.890042999999</v>
      </c>
      <c r="J27" s="597">
        <v>14250.890042999999</v>
      </c>
      <c r="L27" s="597">
        <v>14250.890042999999</v>
      </c>
      <c r="M27" s="597">
        <v>14250.890042999999</v>
      </c>
      <c r="N27" s="597">
        <v>14250.890042999999</v>
      </c>
      <c r="O27" s="597">
        <v>14250.890042999999</v>
      </c>
      <c r="P27" s="597">
        <v>14250.890042999999</v>
      </c>
      <c r="Q27" s="597">
        <v>14250.890042999999</v>
      </c>
      <c r="R27" s="597">
        <v>14250.890042999999</v>
      </c>
      <c r="S27" s="597">
        <v>14250.890042999999</v>
      </c>
      <c r="T27" s="597">
        <v>14250.890042999999</v>
      </c>
      <c r="U27" s="597">
        <v>14250.890042999999</v>
      </c>
      <c r="V27" s="597">
        <v>14250.890042999999</v>
      </c>
      <c r="W27" s="597">
        <v>14250.890042999999</v>
      </c>
    </row>
    <row r="28" spans="1:23" ht="16.5">
      <c r="A28" s="552" t="s">
        <v>231</v>
      </c>
      <c r="B28" s="553"/>
      <c r="C28" s="553"/>
      <c r="D28" s="554"/>
      <c r="E28" s="555"/>
      <c r="F28" s="596"/>
      <c r="G28" s="596"/>
      <c r="H28" s="596"/>
      <c r="I28" s="596"/>
      <c r="J28" s="597">
        <v>0</v>
      </c>
      <c r="L28" s="597"/>
      <c r="M28" s="597"/>
      <c r="N28" s="597"/>
      <c r="O28" s="597"/>
      <c r="P28" s="597"/>
      <c r="Q28" s="597"/>
      <c r="R28" s="597"/>
      <c r="S28" s="597"/>
      <c r="T28" s="597"/>
      <c r="U28" s="597"/>
      <c r="V28" s="597"/>
      <c r="W28" s="597"/>
    </row>
    <row r="29" spans="1:23" ht="16.5">
      <c r="A29" s="552" t="s">
        <v>232</v>
      </c>
      <c r="B29" s="553"/>
      <c r="C29" s="553"/>
      <c r="D29" s="554"/>
      <c r="E29" s="555"/>
      <c r="F29" s="596">
        <v>0</v>
      </c>
      <c r="G29" s="596">
        <v>0</v>
      </c>
      <c r="H29" s="596">
        <v>0</v>
      </c>
      <c r="I29" s="596">
        <v>0</v>
      </c>
      <c r="J29" s="597">
        <v>0</v>
      </c>
      <c r="L29" s="597"/>
      <c r="M29" s="597"/>
      <c r="N29" s="597"/>
      <c r="O29" s="597"/>
      <c r="P29" s="597"/>
      <c r="Q29" s="597"/>
      <c r="R29" s="597"/>
      <c r="S29" s="597"/>
      <c r="T29" s="597"/>
      <c r="U29" s="597"/>
      <c r="V29" s="597"/>
      <c r="W29" s="597"/>
    </row>
    <row r="30" spans="1:23" ht="16.5">
      <c r="A30" s="556"/>
      <c r="B30" s="548" t="s">
        <v>233</v>
      </c>
      <c r="C30" s="548"/>
      <c r="D30" s="557"/>
      <c r="E30" s="558"/>
      <c r="F30" s="598"/>
      <c r="G30" s="598"/>
      <c r="H30" s="598"/>
      <c r="I30" s="598"/>
      <c r="J30" s="599">
        <v>0</v>
      </c>
      <c r="L30" s="599"/>
      <c r="M30" s="599"/>
      <c r="N30" s="599"/>
      <c r="O30" s="599"/>
      <c r="P30" s="599"/>
      <c r="Q30" s="599"/>
      <c r="R30" s="599"/>
      <c r="S30" s="599"/>
      <c r="T30" s="599"/>
      <c r="U30" s="599"/>
      <c r="V30" s="599"/>
      <c r="W30" s="599"/>
    </row>
    <row r="31" spans="1:23" ht="16.5">
      <c r="A31" s="556"/>
      <c r="B31" s="548" t="s">
        <v>234</v>
      </c>
      <c r="C31" s="548"/>
      <c r="D31" s="557"/>
      <c r="E31" s="558"/>
      <c r="F31" s="598"/>
      <c r="G31" s="598"/>
      <c r="H31" s="598"/>
      <c r="I31" s="598"/>
      <c r="J31" s="599">
        <v>0</v>
      </c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</row>
    <row r="32" spans="1:23" ht="16.5">
      <c r="A32" s="556"/>
      <c r="B32" s="548" t="s">
        <v>235</v>
      </c>
      <c r="C32" s="548"/>
      <c r="D32" s="557"/>
      <c r="E32" s="558"/>
      <c r="F32" s="598"/>
      <c r="G32" s="598"/>
      <c r="H32" s="598"/>
      <c r="I32" s="598"/>
      <c r="J32" s="599">
        <v>0</v>
      </c>
      <c r="L32" s="599"/>
      <c r="M32" s="599"/>
      <c r="N32" s="599"/>
      <c r="O32" s="599"/>
      <c r="P32" s="599"/>
      <c r="Q32" s="599"/>
      <c r="R32" s="599"/>
      <c r="S32" s="599"/>
      <c r="T32" s="599"/>
      <c r="U32" s="599"/>
      <c r="V32" s="599"/>
      <c r="W32" s="599"/>
    </row>
    <row r="33" spans="1:23" ht="16.5">
      <c r="A33" s="556"/>
      <c r="B33" s="548"/>
      <c r="C33" s="548"/>
      <c r="D33" s="562"/>
      <c r="E33" s="563"/>
      <c r="F33" s="598"/>
      <c r="G33" s="598"/>
      <c r="H33" s="598"/>
      <c r="I33" s="598"/>
      <c r="J33" s="599">
        <v>0</v>
      </c>
      <c r="L33" s="599"/>
      <c r="M33" s="599"/>
      <c r="N33" s="599"/>
      <c r="O33" s="599"/>
      <c r="P33" s="599"/>
      <c r="Q33" s="599"/>
      <c r="R33" s="599"/>
      <c r="S33" s="599"/>
      <c r="T33" s="599"/>
      <c r="U33" s="599"/>
      <c r="V33" s="599"/>
      <c r="W33" s="599"/>
    </row>
    <row r="34" spans="1:23" ht="17" thickBot="1">
      <c r="A34" s="564" t="s">
        <v>236</v>
      </c>
      <c r="B34" s="565"/>
      <c r="C34" s="565"/>
      <c r="D34" s="566"/>
      <c r="E34" s="567"/>
      <c r="F34" s="603">
        <v>1010753.8368310001</v>
      </c>
      <c r="G34" s="603">
        <v>1255526.266731</v>
      </c>
      <c r="H34" s="603">
        <v>1854705.5185031283</v>
      </c>
      <c r="I34" s="603">
        <v>1295371.4002468076</v>
      </c>
      <c r="J34" s="604">
        <v>1872766.8340527399</v>
      </c>
      <c r="L34" s="604">
        <v>1692902.345387626</v>
      </c>
      <c r="M34" s="604">
        <v>1726732.3253596299</v>
      </c>
      <c r="N34" s="604">
        <v>1773762.1961882752</v>
      </c>
      <c r="O34" s="604">
        <v>1834884.0372768308</v>
      </c>
      <c r="P34" s="604">
        <v>1836468.3891375721</v>
      </c>
      <c r="Q34" s="604">
        <v>1862475.8032983635</v>
      </c>
      <c r="R34" s="604">
        <v>1846519.8469946859</v>
      </c>
      <c r="S34" s="604">
        <v>1845391.1463547484</v>
      </c>
      <c r="T34" s="604">
        <v>1842944.9661644762</v>
      </c>
      <c r="U34" s="604">
        <v>1844942.220443781</v>
      </c>
      <c r="V34" s="604">
        <v>1830875.0452612857</v>
      </c>
      <c r="W34" s="604">
        <v>1872766.8340527399</v>
      </c>
    </row>
    <row r="35" spans="1:23" ht="17" thickTop="1">
      <c r="A35" s="556"/>
      <c r="B35" s="568"/>
      <c r="C35" s="568"/>
      <c r="D35" s="557"/>
      <c r="E35" s="558"/>
      <c r="F35" s="605"/>
      <c r="G35" s="605"/>
      <c r="H35" s="605"/>
      <c r="I35" s="605"/>
      <c r="J35" s="606">
        <v>0</v>
      </c>
      <c r="L35" s="606"/>
      <c r="M35" s="606"/>
      <c r="N35" s="606"/>
      <c r="O35" s="606"/>
      <c r="P35" s="606"/>
      <c r="Q35" s="606"/>
      <c r="R35" s="606"/>
      <c r="S35" s="606"/>
      <c r="T35" s="606"/>
      <c r="U35" s="606"/>
      <c r="V35" s="606"/>
      <c r="W35" s="606"/>
    </row>
    <row r="36" spans="1:23" ht="16.5">
      <c r="A36" s="569" t="s">
        <v>237</v>
      </c>
      <c r="B36" s="553"/>
      <c r="C36" s="553"/>
      <c r="D36" s="554"/>
      <c r="E36" s="555"/>
      <c r="F36" s="596">
        <v>209511.527623</v>
      </c>
      <c r="G36" s="596">
        <v>400766.61086399999</v>
      </c>
      <c r="H36" s="596">
        <v>983852.03017537738</v>
      </c>
      <c r="I36" s="596">
        <v>413317.81912280765</v>
      </c>
      <c r="J36" s="597">
        <v>937242.4805737487</v>
      </c>
      <c r="L36" s="597">
        <v>809327.66876386094</v>
      </c>
      <c r="M36" s="597">
        <v>844482.75237851462</v>
      </c>
      <c r="N36" s="597">
        <v>886449.04339512275</v>
      </c>
      <c r="O36" s="597">
        <v>944583.09674762224</v>
      </c>
      <c r="P36" s="597">
        <v>943037.15672457928</v>
      </c>
      <c r="Q36" s="597">
        <v>966212.79824478575</v>
      </c>
      <c r="R36" s="597">
        <v>942906.53953792457</v>
      </c>
      <c r="S36" s="597">
        <v>935055.83087797253</v>
      </c>
      <c r="T36" s="597">
        <v>926500.4024025267</v>
      </c>
      <c r="U36" s="597">
        <v>921831.99390208046</v>
      </c>
      <c r="V36" s="597">
        <v>900642.14078976959</v>
      </c>
      <c r="W36" s="597">
        <v>937242.4805737487</v>
      </c>
    </row>
    <row r="37" spans="1:23" ht="16.5">
      <c r="A37" s="569" t="s">
        <v>238</v>
      </c>
      <c r="B37" s="553"/>
      <c r="C37" s="553"/>
      <c r="D37" s="554"/>
      <c r="E37" s="555"/>
      <c r="F37" s="596">
        <v>150687.191353</v>
      </c>
      <c r="G37" s="596">
        <v>316029.265342</v>
      </c>
      <c r="H37" s="596">
        <v>317369.38415337738</v>
      </c>
      <c r="I37" s="596">
        <v>343686.44624635397</v>
      </c>
      <c r="J37" s="597">
        <v>523990.02945404488</v>
      </c>
      <c r="L37" s="597">
        <v>361297.7859771573</v>
      </c>
      <c r="M37" s="597">
        <v>400041.34627281094</v>
      </c>
      <c r="N37" s="597">
        <v>462989.81997041905</v>
      </c>
      <c r="O37" s="597">
        <v>454583.47139591863</v>
      </c>
      <c r="P37" s="597">
        <v>456626.00805387564</v>
      </c>
      <c r="Q37" s="597">
        <v>500783.83225508209</v>
      </c>
      <c r="R37" s="597">
        <v>478995.17162122088</v>
      </c>
      <c r="S37" s="597">
        <v>474732.93964226882</v>
      </c>
      <c r="T37" s="597">
        <v>487159.69384782296</v>
      </c>
      <c r="U37" s="597">
        <v>484008.88342037669</v>
      </c>
      <c r="V37" s="597">
        <v>466407.50698906579</v>
      </c>
      <c r="W37" s="597">
        <v>523990.02945404488</v>
      </c>
    </row>
    <row r="38" spans="1:23" ht="16.5">
      <c r="A38" s="556"/>
      <c r="B38" s="548" t="s">
        <v>239</v>
      </c>
      <c r="C38" s="548"/>
      <c r="D38" s="557"/>
      <c r="E38" s="558"/>
      <c r="F38" s="598">
        <v>24344.150249999999</v>
      </c>
      <c r="G38" s="598">
        <v>192629.82171799999</v>
      </c>
      <c r="H38" s="598">
        <v>105306.260478</v>
      </c>
      <c r="I38" s="598">
        <v>242976.86065000581</v>
      </c>
      <c r="J38" s="602">
        <v>452925.0703884681</v>
      </c>
      <c r="L38" s="602">
        <v>294078.72144499997</v>
      </c>
      <c r="M38" s="602">
        <v>331627.17837600003</v>
      </c>
      <c r="N38" s="602">
        <v>392636.53026700002</v>
      </c>
      <c r="O38" s="602">
        <v>386819.772291</v>
      </c>
      <c r="P38" s="602">
        <v>386642.51477800001</v>
      </c>
      <c r="Q38" s="602">
        <v>430042.51477800001</v>
      </c>
      <c r="R38" s="602">
        <v>408942.51477800001</v>
      </c>
      <c r="S38" s="602">
        <v>405942.51477800001</v>
      </c>
      <c r="T38" s="602">
        <v>415942.51477800001</v>
      </c>
      <c r="U38" s="602">
        <v>415942.51477800001</v>
      </c>
      <c r="V38" s="602">
        <v>395942.51477800001</v>
      </c>
      <c r="W38" s="602">
        <v>452925.0703884681</v>
      </c>
    </row>
    <row r="39" spans="1:23" ht="16.5">
      <c r="A39" s="556"/>
      <c r="B39" s="548" t="s">
        <v>240</v>
      </c>
      <c r="C39" s="548"/>
      <c r="D39" s="557"/>
      <c r="E39" s="558"/>
      <c r="F39" s="598">
        <v>72583.785390000005</v>
      </c>
      <c r="G39" s="598">
        <v>38854.336195999997</v>
      </c>
      <c r="H39" s="598">
        <v>164063.12367537746</v>
      </c>
      <c r="I39" s="598">
        <v>71651.322602348169</v>
      </c>
      <c r="J39" s="602">
        <v>42006.696071576778</v>
      </c>
      <c r="L39" s="602">
        <v>38160.801538157364</v>
      </c>
      <c r="M39" s="602">
        <v>39355.904902810915</v>
      </c>
      <c r="N39" s="602">
        <v>41295.026709419064</v>
      </c>
      <c r="O39" s="602">
        <v>38705.436110918628</v>
      </c>
      <c r="P39" s="602">
        <v>40925.230281875651</v>
      </c>
      <c r="Q39" s="602">
        <v>41683.054483082102</v>
      </c>
      <c r="R39" s="602">
        <v>40994.393849220869</v>
      </c>
      <c r="S39" s="602">
        <v>39732.161870268814</v>
      </c>
      <c r="T39" s="602">
        <v>42158.916075822985</v>
      </c>
      <c r="U39" s="602">
        <v>39008.105648376717</v>
      </c>
      <c r="V39" s="602">
        <v>41406.72921706576</v>
      </c>
      <c r="W39" s="602">
        <v>42006.696071576778</v>
      </c>
    </row>
    <row r="40" spans="1:23" ht="16.5">
      <c r="A40" s="556"/>
      <c r="B40" s="548" t="s">
        <v>241</v>
      </c>
      <c r="C40" s="548"/>
      <c r="D40" s="557"/>
      <c r="E40" s="558"/>
      <c r="F40" s="598">
        <v>53759.255712999999</v>
      </c>
      <c r="G40" s="598">
        <v>84545.107428000003</v>
      </c>
      <c r="H40" s="598">
        <v>47999.999999999971</v>
      </c>
      <c r="I40" s="598">
        <v>29058.262993999997</v>
      </c>
      <c r="J40" s="599">
        <v>29058.262993999997</v>
      </c>
      <c r="L40" s="599">
        <v>29058.262993999997</v>
      </c>
      <c r="M40" s="599">
        <v>29058.262993999997</v>
      </c>
      <c r="N40" s="599">
        <v>29058.262993999997</v>
      </c>
      <c r="O40" s="599">
        <v>29058.262993999997</v>
      </c>
      <c r="P40" s="599">
        <v>29058.262993999997</v>
      </c>
      <c r="Q40" s="599">
        <v>29058.262993999997</v>
      </c>
      <c r="R40" s="599">
        <v>29058.262993999997</v>
      </c>
      <c r="S40" s="599">
        <v>29058.262993999997</v>
      </c>
      <c r="T40" s="599">
        <v>29058.262993999997</v>
      </c>
      <c r="U40" s="599">
        <v>29058.262993999997</v>
      </c>
      <c r="V40" s="599">
        <v>29058.262993999997</v>
      </c>
      <c r="W40" s="599">
        <v>29058.262993999997</v>
      </c>
    </row>
    <row r="41" spans="1:23" ht="16.5">
      <c r="A41" s="556"/>
      <c r="B41" s="548"/>
      <c r="C41" s="548"/>
      <c r="D41" s="557"/>
      <c r="E41" s="558"/>
      <c r="F41" s="496"/>
      <c r="G41" s="496"/>
      <c r="H41" s="496"/>
      <c r="I41" s="496"/>
      <c r="J41" s="493"/>
      <c r="L41" s="493"/>
      <c r="M41" s="493"/>
      <c r="N41" s="493"/>
      <c r="O41" s="493"/>
      <c r="P41" s="493"/>
      <c r="Q41" s="493"/>
      <c r="R41" s="493"/>
      <c r="S41" s="493"/>
      <c r="T41" s="493"/>
      <c r="U41" s="493"/>
      <c r="V41" s="493"/>
      <c r="W41" s="493"/>
    </row>
    <row r="42" spans="1:23" ht="16.5">
      <c r="A42" s="569" t="s">
        <v>242</v>
      </c>
      <c r="B42" s="553"/>
      <c r="C42" s="553"/>
      <c r="D42" s="554"/>
      <c r="E42" s="555"/>
      <c r="F42" s="596">
        <v>58824.33627</v>
      </c>
      <c r="G42" s="596">
        <v>84737.345521999989</v>
      </c>
      <c r="H42" s="596">
        <v>666482.646022</v>
      </c>
      <c r="I42" s="596">
        <v>69631.372876453665</v>
      </c>
      <c r="J42" s="597">
        <v>413252.45111970382</v>
      </c>
      <c r="L42" s="597">
        <v>448029.88278670365</v>
      </c>
      <c r="M42" s="597">
        <v>444441.40610570367</v>
      </c>
      <c r="N42" s="597">
        <v>423459.22342470364</v>
      </c>
      <c r="O42" s="597">
        <v>489999.62535170361</v>
      </c>
      <c r="P42" s="597">
        <v>486411.14867070364</v>
      </c>
      <c r="Q42" s="597">
        <v>465428.96598970366</v>
      </c>
      <c r="R42" s="597">
        <v>463911.36791670369</v>
      </c>
      <c r="S42" s="597">
        <v>460322.89123570372</v>
      </c>
      <c r="T42" s="597">
        <v>439340.70855470374</v>
      </c>
      <c r="U42" s="597">
        <v>437823.11048170377</v>
      </c>
      <c r="V42" s="597">
        <v>434234.6338007038</v>
      </c>
      <c r="W42" s="597">
        <v>413252.45111970382</v>
      </c>
    </row>
    <row r="43" spans="1:23" ht="16.5">
      <c r="A43" s="556"/>
      <c r="B43" s="548" t="s">
        <v>243</v>
      </c>
      <c r="C43" s="548"/>
      <c r="D43" s="557"/>
      <c r="E43" s="558"/>
      <c r="F43" s="598">
        <v>58824.33627</v>
      </c>
      <c r="G43" s="598">
        <v>82898.404211999994</v>
      </c>
      <c r="H43" s="598">
        <v>666482.646022</v>
      </c>
      <c r="I43" s="598">
        <v>69631.372876453665</v>
      </c>
      <c r="J43" s="602">
        <v>279920.45111970382</v>
      </c>
      <c r="L43" s="602">
        <v>248029.88278670365</v>
      </c>
      <c r="M43" s="602">
        <v>244441.40610570365</v>
      </c>
      <c r="N43" s="602">
        <v>240126.22342470364</v>
      </c>
      <c r="O43" s="602">
        <v>306666.62535170361</v>
      </c>
      <c r="P43" s="602">
        <v>303078.14867070364</v>
      </c>
      <c r="Q43" s="602">
        <v>298762.96598970366</v>
      </c>
      <c r="R43" s="602">
        <v>297245.36791670369</v>
      </c>
      <c r="S43" s="602">
        <v>293656.89123570372</v>
      </c>
      <c r="T43" s="602">
        <v>289341.70855470374</v>
      </c>
      <c r="U43" s="602">
        <v>287824.11048170377</v>
      </c>
      <c r="V43" s="602">
        <v>284235.6338007038</v>
      </c>
      <c r="W43" s="602">
        <v>279920.45111970382</v>
      </c>
    </row>
    <row r="44" spans="1:23" ht="16.5">
      <c r="A44" s="556"/>
      <c r="B44" s="548" t="s">
        <v>244</v>
      </c>
      <c r="C44" s="548"/>
      <c r="D44" s="557"/>
      <c r="E44" s="558"/>
      <c r="F44" s="598">
        <v>0</v>
      </c>
      <c r="G44" s="598">
        <v>1838.9413099999999</v>
      </c>
      <c r="H44" s="598"/>
      <c r="I44" s="598"/>
      <c r="J44" s="599">
        <v>133332</v>
      </c>
      <c r="L44" s="599">
        <v>200000</v>
      </c>
      <c r="M44" s="599">
        <v>200000</v>
      </c>
      <c r="N44" s="599">
        <v>183333</v>
      </c>
      <c r="O44" s="599">
        <v>183333</v>
      </c>
      <c r="P44" s="599">
        <v>183333</v>
      </c>
      <c r="Q44" s="599">
        <v>166666</v>
      </c>
      <c r="R44" s="599">
        <v>166666</v>
      </c>
      <c r="S44" s="599">
        <v>166666</v>
      </c>
      <c r="T44" s="599">
        <v>149999</v>
      </c>
      <c r="U44" s="599">
        <v>149999</v>
      </c>
      <c r="V44" s="599">
        <v>149999</v>
      </c>
      <c r="W44" s="599">
        <v>133332</v>
      </c>
    </row>
    <row r="45" spans="1:23" ht="16.5">
      <c r="A45" s="569" t="s">
        <v>245</v>
      </c>
      <c r="B45" s="553"/>
      <c r="C45" s="553"/>
      <c r="D45" s="554"/>
      <c r="E45" s="555"/>
      <c r="F45" s="596">
        <v>801242.30920799996</v>
      </c>
      <c r="G45" s="596">
        <v>854759.65586699999</v>
      </c>
      <c r="H45" s="596">
        <v>870853.4883277507</v>
      </c>
      <c r="I45" s="596">
        <v>882053.58112400002</v>
      </c>
      <c r="J45" s="597">
        <v>935524.35347899166</v>
      </c>
      <c r="L45" s="597">
        <v>883574.67662376515</v>
      </c>
      <c r="M45" s="597">
        <v>882249.57298111531</v>
      </c>
      <c r="N45" s="597">
        <v>887313.15279315249</v>
      </c>
      <c r="O45" s="597">
        <v>890300.9405292084</v>
      </c>
      <c r="P45" s="597">
        <v>893431.23241299298</v>
      </c>
      <c r="Q45" s="597">
        <v>896263.00505357783</v>
      </c>
      <c r="R45" s="597">
        <v>903613.30745676148</v>
      </c>
      <c r="S45" s="597">
        <v>910335.31547677564</v>
      </c>
      <c r="T45" s="597">
        <v>916444.56376194977</v>
      </c>
      <c r="U45" s="597">
        <v>923110.22654170042</v>
      </c>
      <c r="V45" s="597">
        <v>930232.90447151614</v>
      </c>
      <c r="W45" s="597">
        <v>935524.35347899166</v>
      </c>
    </row>
    <row r="46" spans="1:23" ht="16.5">
      <c r="A46" s="556"/>
      <c r="B46" s="548" t="s">
        <v>246</v>
      </c>
      <c r="C46" s="548"/>
      <c r="D46" s="557"/>
      <c r="E46" s="558"/>
      <c r="F46" s="598">
        <v>650000</v>
      </c>
      <c r="G46" s="598">
        <v>650000</v>
      </c>
      <c r="H46" s="598">
        <v>650000</v>
      </c>
      <c r="I46" s="598">
        <v>650000</v>
      </c>
      <c r="J46" s="599">
        <v>650000</v>
      </c>
      <c r="L46" s="599">
        <v>650000</v>
      </c>
      <c r="M46" s="599">
        <v>650000</v>
      </c>
      <c r="N46" s="599">
        <v>650000</v>
      </c>
      <c r="O46" s="599">
        <v>650000</v>
      </c>
      <c r="P46" s="599">
        <v>650000</v>
      </c>
      <c r="Q46" s="599">
        <v>650000</v>
      </c>
      <c r="R46" s="599">
        <v>650000</v>
      </c>
      <c r="S46" s="599">
        <v>650000</v>
      </c>
      <c r="T46" s="599">
        <v>650000</v>
      </c>
      <c r="U46" s="599">
        <v>650000</v>
      </c>
      <c r="V46" s="599">
        <v>650000</v>
      </c>
      <c r="W46" s="599">
        <v>650000</v>
      </c>
    </row>
    <row r="47" spans="1:23" ht="16.5">
      <c r="A47" s="556"/>
      <c r="B47" s="548" t="s">
        <v>247</v>
      </c>
      <c r="C47" s="548"/>
      <c r="D47" s="557"/>
      <c r="E47" s="558"/>
      <c r="F47" s="598">
        <v>0</v>
      </c>
      <c r="G47" s="598">
        <v>0</v>
      </c>
      <c r="H47" s="598">
        <v>0</v>
      </c>
      <c r="I47" s="598"/>
      <c r="J47" s="599">
        <v>0</v>
      </c>
      <c r="L47" s="599">
        <v>0</v>
      </c>
      <c r="M47" s="599">
        <v>0</v>
      </c>
      <c r="N47" s="599">
        <v>0</v>
      </c>
      <c r="O47" s="599">
        <v>0</v>
      </c>
      <c r="P47" s="599">
        <v>0</v>
      </c>
      <c r="Q47" s="599">
        <v>0</v>
      </c>
      <c r="R47" s="599">
        <v>0</v>
      </c>
      <c r="S47" s="599">
        <v>0</v>
      </c>
      <c r="T47" s="599">
        <v>0</v>
      </c>
      <c r="U47" s="599">
        <v>0</v>
      </c>
      <c r="V47" s="599">
        <v>0</v>
      </c>
      <c r="W47" s="599">
        <v>0</v>
      </c>
    </row>
    <row r="48" spans="1:23" ht="16.5">
      <c r="A48" s="556"/>
      <c r="B48" s="548" t="s">
        <v>248</v>
      </c>
      <c r="C48" s="548"/>
      <c r="D48" s="557"/>
      <c r="E48" s="558"/>
      <c r="F48" s="598"/>
      <c r="G48" s="598"/>
      <c r="H48" s="598"/>
      <c r="I48" s="598"/>
      <c r="J48" s="599">
        <v>0</v>
      </c>
      <c r="L48" s="599"/>
      <c r="M48" s="599"/>
      <c r="N48" s="599"/>
      <c r="O48" s="599"/>
      <c r="P48" s="599"/>
      <c r="Q48" s="599"/>
      <c r="R48" s="599"/>
      <c r="S48" s="599"/>
      <c r="T48" s="599"/>
      <c r="U48" s="599"/>
      <c r="V48" s="599"/>
      <c r="W48" s="599"/>
    </row>
    <row r="49" spans="1:23" ht="16.5">
      <c r="A49" s="556"/>
      <c r="B49" s="548" t="s">
        <v>249</v>
      </c>
      <c r="C49" s="548"/>
      <c r="D49" s="557"/>
      <c r="E49" s="558"/>
      <c r="F49" s="598">
        <v>151242.30920799999</v>
      </c>
      <c r="G49" s="598">
        <v>204759.65586699999</v>
      </c>
      <c r="H49" s="598">
        <v>220853.48832775067</v>
      </c>
      <c r="I49" s="598">
        <v>232053.58112400002</v>
      </c>
      <c r="J49" s="599">
        <v>285524.35347899172</v>
      </c>
      <c r="L49" s="599">
        <v>233574.67662376509</v>
      </c>
      <c r="M49" s="599">
        <v>232249.57298111531</v>
      </c>
      <c r="N49" s="599">
        <v>237313.15279315255</v>
      </c>
      <c r="O49" s="599">
        <v>240300.94052920837</v>
      </c>
      <c r="P49" s="599">
        <v>243431.23241299295</v>
      </c>
      <c r="Q49" s="599">
        <v>246263.00505357786</v>
      </c>
      <c r="R49" s="599">
        <v>253613.30745676148</v>
      </c>
      <c r="S49" s="599">
        <v>260335.31547677569</v>
      </c>
      <c r="T49" s="599">
        <v>266444.56376194971</v>
      </c>
      <c r="U49" s="599">
        <v>273110.22654170042</v>
      </c>
      <c r="V49" s="599">
        <v>280232.90447151614</v>
      </c>
      <c r="W49" s="599">
        <v>285524.35347899172</v>
      </c>
    </row>
    <row r="50" spans="1:23" ht="16.5">
      <c r="A50" s="592"/>
      <c r="B50" s="593"/>
      <c r="C50" s="593"/>
      <c r="D50" s="594"/>
      <c r="E50" s="595"/>
      <c r="F50" s="607"/>
      <c r="G50" s="607"/>
      <c r="H50" s="607"/>
      <c r="I50" s="607"/>
      <c r="J50" s="599">
        <v>0</v>
      </c>
      <c r="L50" s="599"/>
      <c r="M50" s="599"/>
      <c r="N50" s="599"/>
      <c r="O50" s="599"/>
      <c r="P50" s="599"/>
      <c r="Q50" s="599"/>
      <c r="R50" s="599"/>
      <c r="S50" s="599"/>
      <c r="T50" s="599"/>
      <c r="U50" s="599"/>
      <c r="V50" s="599"/>
      <c r="W50" s="599"/>
    </row>
    <row r="51" spans="1:23" ht="17" thickBot="1">
      <c r="A51" s="573" t="s">
        <v>250</v>
      </c>
      <c r="B51" s="574"/>
      <c r="C51" s="574"/>
      <c r="D51" s="575"/>
      <c r="E51" s="575"/>
      <c r="F51" s="608">
        <v>1010753.8368309999</v>
      </c>
      <c r="G51" s="608">
        <v>1255526.266731</v>
      </c>
      <c r="H51" s="608">
        <v>1854705.5185031281</v>
      </c>
      <c r="I51" s="608">
        <v>1295371.4002468076</v>
      </c>
      <c r="J51" s="609">
        <v>1872766.8340527404</v>
      </c>
      <c r="L51" s="609">
        <v>1692902.345387626</v>
      </c>
      <c r="M51" s="609">
        <v>1726732.3253596299</v>
      </c>
      <c r="N51" s="609">
        <v>1773762.1961882752</v>
      </c>
      <c r="O51" s="609">
        <v>1834884.0372768305</v>
      </c>
      <c r="P51" s="609">
        <v>1836468.3891375721</v>
      </c>
      <c r="Q51" s="609">
        <v>1862475.8032983635</v>
      </c>
      <c r="R51" s="609">
        <v>1846519.8469946859</v>
      </c>
      <c r="S51" s="609">
        <v>1845391.1463547482</v>
      </c>
      <c r="T51" s="609">
        <v>1842944.9661644765</v>
      </c>
      <c r="U51" s="609">
        <v>1844942.220443781</v>
      </c>
      <c r="V51" s="609">
        <v>1830875.0452612857</v>
      </c>
      <c r="W51" s="609">
        <v>1872766.8340527404</v>
      </c>
    </row>
    <row r="52" spans="1:23" ht="15" thickTop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05AF-7299-4DAE-AF7C-FD0F7AD94B39}">
  <dimension ref="A1:O116"/>
  <sheetViews>
    <sheetView showGridLines="0" topLeftCell="A40" zoomScale="85" zoomScaleNormal="85" workbookViewId="0">
      <selection activeCell="F43" sqref="F43"/>
    </sheetView>
  </sheetViews>
  <sheetFormatPr defaultRowHeight="14.5"/>
  <cols>
    <col min="1" max="1" width="45.75" bestFit="1" customWidth="1"/>
    <col min="2" max="2" width="18.9140625" bestFit="1" customWidth="1"/>
    <col min="3" max="3" width="56.6640625" bestFit="1" customWidth="1"/>
    <col min="4" max="15" width="19.25" bestFit="1" customWidth="1"/>
  </cols>
  <sheetData>
    <row r="1" spans="1:15" ht="15.5">
      <c r="A1" s="661" t="s">
        <v>404</v>
      </c>
      <c r="B1" s="693" t="s">
        <v>517</v>
      </c>
      <c r="C1" s="662" t="s">
        <v>405</v>
      </c>
      <c r="D1" s="676">
        <v>46053</v>
      </c>
      <c r="E1" s="676">
        <v>46081</v>
      </c>
      <c r="F1" s="677">
        <v>46112</v>
      </c>
      <c r="G1" s="676">
        <v>46142</v>
      </c>
      <c r="H1" s="676">
        <v>46173</v>
      </c>
      <c r="I1" s="676">
        <v>46203</v>
      </c>
      <c r="J1" s="676">
        <v>46234</v>
      </c>
      <c r="K1" s="676">
        <v>46265</v>
      </c>
      <c r="L1" s="676">
        <v>46295</v>
      </c>
      <c r="M1" s="676">
        <v>46326</v>
      </c>
      <c r="N1" s="676">
        <v>46356</v>
      </c>
      <c r="O1" s="676">
        <v>46387</v>
      </c>
    </row>
    <row r="2" spans="1:15">
      <c r="A2" s="663"/>
      <c r="B2" s="694"/>
      <c r="C2" s="664" t="s">
        <v>406</v>
      </c>
      <c r="D2" s="678">
        <v>932305412115.7395</v>
      </c>
      <c r="E2" s="679">
        <v>958251008663.46411</v>
      </c>
      <c r="F2" s="679">
        <v>1006004180725.0303</v>
      </c>
      <c r="G2" s="679">
        <v>1057280539324.5066</v>
      </c>
      <c r="H2" s="679">
        <v>1044554065752.1689</v>
      </c>
      <c r="I2" s="679">
        <v>1076529549617.881</v>
      </c>
      <c r="J2" s="679">
        <v>1066541663019.1243</v>
      </c>
      <c r="K2" s="679">
        <v>1071381032084.1072</v>
      </c>
      <c r="L2" s="679">
        <v>1071057091598.7563</v>
      </c>
      <c r="M2" s="679">
        <v>1079035235015.9814</v>
      </c>
      <c r="N2" s="679">
        <v>1069475948971.4071</v>
      </c>
      <c r="O2" s="679">
        <v>953374901900.78247</v>
      </c>
    </row>
    <row r="3" spans="1:15">
      <c r="A3" s="665"/>
      <c r="B3" s="695"/>
      <c r="C3" s="666" t="s">
        <v>407</v>
      </c>
      <c r="D3" s="680">
        <v>24375999999.999897</v>
      </c>
      <c r="E3" s="681">
        <v>23309000000.000088</v>
      </c>
      <c r="F3" s="681">
        <v>29161000000.000023</v>
      </c>
      <c r="G3" s="681">
        <v>22692000000.00008</v>
      </c>
      <c r="H3" s="681">
        <v>33139000000.000202</v>
      </c>
      <c r="I3" s="681">
        <v>30870999999.999905</v>
      </c>
      <c r="J3" s="681">
        <v>30598000000.000217</v>
      </c>
      <c r="K3" s="681">
        <v>37804999999.999969</v>
      </c>
      <c r="L3" s="681">
        <v>22484000000.000015</v>
      </c>
      <c r="M3" s="681">
        <v>26509999999.999916</v>
      </c>
      <c r="N3" s="681">
        <v>19857000000.000038</v>
      </c>
      <c r="O3" s="681">
        <v>32993999999.999943</v>
      </c>
    </row>
    <row r="4" spans="1:15">
      <c r="A4" s="667"/>
      <c r="B4" s="696">
        <v>3</v>
      </c>
      <c r="C4" s="668" t="s">
        <v>408</v>
      </c>
      <c r="D4" s="682">
        <v>24375999999.999897</v>
      </c>
      <c r="E4" s="683">
        <v>23309000000.000088</v>
      </c>
      <c r="F4" s="683">
        <v>29161000000.000023</v>
      </c>
      <c r="G4" s="683">
        <v>22692000000.00008</v>
      </c>
      <c r="H4" s="683">
        <v>33139000000.000202</v>
      </c>
      <c r="I4" s="683">
        <v>30870999999.999905</v>
      </c>
      <c r="J4" s="683">
        <v>30598000000.000217</v>
      </c>
      <c r="K4" s="683">
        <v>37804999999.999969</v>
      </c>
      <c r="L4" s="683">
        <v>22484000000.000015</v>
      </c>
      <c r="M4" s="683">
        <v>26509999999.999916</v>
      </c>
      <c r="N4" s="683">
        <v>19857000000.000038</v>
      </c>
      <c r="O4" s="683">
        <v>32993999999.999943</v>
      </c>
    </row>
    <row r="5" spans="1:15">
      <c r="A5" s="667"/>
      <c r="B5" s="696">
        <v>4</v>
      </c>
      <c r="C5" s="668" t="s">
        <v>409</v>
      </c>
      <c r="D5" s="682">
        <v>0</v>
      </c>
      <c r="E5" s="683">
        <v>0</v>
      </c>
      <c r="F5" s="683">
        <v>0</v>
      </c>
      <c r="G5" s="683">
        <v>0</v>
      </c>
      <c r="H5" s="683">
        <v>0</v>
      </c>
      <c r="I5" s="683">
        <v>0</v>
      </c>
      <c r="J5" s="683">
        <v>0</v>
      </c>
      <c r="K5" s="683">
        <v>0</v>
      </c>
      <c r="L5" s="683">
        <v>0</v>
      </c>
      <c r="M5" s="683">
        <v>0</v>
      </c>
      <c r="N5" s="683">
        <v>0</v>
      </c>
      <c r="O5" s="683">
        <v>0</v>
      </c>
    </row>
    <row r="6" spans="1:15">
      <c r="A6" s="665"/>
      <c r="B6" s="695"/>
      <c r="C6" s="666" t="s">
        <v>410</v>
      </c>
      <c r="D6" s="680">
        <v>32840000000</v>
      </c>
      <c r="E6" s="681">
        <v>32840000000</v>
      </c>
      <c r="F6" s="681">
        <v>32840000000</v>
      </c>
      <c r="G6" s="681">
        <v>32840000000</v>
      </c>
      <c r="H6" s="681">
        <v>32840000000</v>
      </c>
      <c r="I6" s="681">
        <v>32840000000</v>
      </c>
      <c r="J6" s="681">
        <v>32840000000</v>
      </c>
      <c r="K6" s="681">
        <v>32840000000</v>
      </c>
      <c r="L6" s="681">
        <v>32840000000</v>
      </c>
      <c r="M6" s="681">
        <v>32840000000</v>
      </c>
      <c r="N6" s="681">
        <v>32840000000</v>
      </c>
      <c r="O6" s="681">
        <v>32840000000</v>
      </c>
    </row>
    <row r="7" spans="1:15">
      <c r="A7" s="667"/>
      <c r="B7" s="696">
        <v>6</v>
      </c>
      <c r="C7" s="668" t="s">
        <v>411</v>
      </c>
      <c r="D7" s="682">
        <v>0</v>
      </c>
      <c r="E7" s="683">
        <v>0</v>
      </c>
      <c r="F7" s="683">
        <v>0</v>
      </c>
      <c r="G7" s="683">
        <v>0</v>
      </c>
      <c r="H7" s="683">
        <v>0</v>
      </c>
      <c r="I7" s="683">
        <v>0</v>
      </c>
      <c r="J7" s="683">
        <v>0</v>
      </c>
      <c r="K7" s="683">
        <v>0</v>
      </c>
      <c r="L7" s="683">
        <v>0</v>
      </c>
      <c r="M7" s="683">
        <v>0</v>
      </c>
      <c r="N7" s="683">
        <v>0</v>
      </c>
      <c r="O7" s="683">
        <v>0</v>
      </c>
    </row>
    <row r="8" spans="1:15">
      <c r="A8" s="667"/>
      <c r="B8" s="696">
        <v>7</v>
      </c>
      <c r="C8" s="668" t="s">
        <v>412</v>
      </c>
      <c r="D8" s="682">
        <v>0</v>
      </c>
      <c r="E8" s="683">
        <v>0</v>
      </c>
      <c r="F8" s="683">
        <v>0</v>
      </c>
      <c r="G8" s="683">
        <v>0</v>
      </c>
      <c r="H8" s="683">
        <v>0</v>
      </c>
      <c r="I8" s="683">
        <v>0</v>
      </c>
      <c r="J8" s="683">
        <v>0</v>
      </c>
      <c r="K8" s="683">
        <v>0</v>
      </c>
      <c r="L8" s="683">
        <v>0</v>
      </c>
      <c r="M8" s="683">
        <v>0</v>
      </c>
      <c r="N8" s="683">
        <v>0</v>
      </c>
      <c r="O8" s="683">
        <v>0</v>
      </c>
    </row>
    <row r="9" spans="1:15">
      <c r="A9" s="667"/>
      <c r="B9" s="696">
        <v>8</v>
      </c>
      <c r="C9" s="668" t="s">
        <v>413</v>
      </c>
      <c r="D9" s="682">
        <v>32840000000</v>
      </c>
      <c r="E9" s="683">
        <v>32840000000</v>
      </c>
      <c r="F9" s="683">
        <v>32840000000</v>
      </c>
      <c r="G9" s="683">
        <v>32840000000</v>
      </c>
      <c r="H9" s="683">
        <v>32840000000</v>
      </c>
      <c r="I9" s="683">
        <v>32840000000</v>
      </c>
      <c r="J9" s="683">
        <v>32840000000</v>
      </c>
      <c r="K9" s="683">
        <v>32840000000</v>
      </c>
      <c r="L9" s="683">
        <v>32840000000</v>
      </c>
      <c r="M9" s="683">
        <v>32840000000</v>
      </c>
      <c r="N9" s="683">
        <v>32840000000</v>
      </c>
      <c r="O9" s="683">
        <v>32840000000</v>
      </c>
    </row>
    <row r="10" spans="1:15">
      <c r="A10" s="665"/>
      <c r="B10" s="695"/>
      <c r="C10" s="666" t="s">
        <v>414</v>
      </c>
      <c r="D10" s="680">
        <v>318653856106.23877</v>
      </c>
      <c r="E10" s="681">
        <v>301682157845.58716</v>
      </c>
      <c r="F10" s="681">
        <v>256356601599.76367</v>
      </c>
      <c r="G10" s="681">
        <v>353367879902.67828</v>
      </c>
      <c r="H10" s="681">
        <v>299101871623.71466</v>
      </c>
      <c r="I10" s="681">
        <v>304109931226.27271</v>
      </c>
      <c r="J10" s="681">
        <v>322942362385.04431</v>
      </c>
      <c r="K10" s="681">
        <v>309597154937.6347</v>
      </c>
      <c r="L10" s="681">
        <v>288534612595.59631</v>
      </c>
      <c r="M10" s="681">
        <v>336634355369.8728</v>
      </c>
      <c r="N10" s="681">
        <v>302658132137.44196</v>
      </c>
      <c r="O10" s="681">
        <v>155284702660.80573</v>
      </c>
    </row>
    <row r="11" spans="1:15">
      <c r="A11" s="667"/>
      <c r="B11" s="696">
        <v>13</v>
      </c>
      <c r="C11" s="668" t="s">
        <v>415</v>
      </c>
      <c r="D11" s="682">
        <v>158904040887.08218</v>
      </c>
      <c r="E11" s="683">
        <v>171137556382.49173</v>
      </c>
      <c r="F11" s="683">
        <v>127415434141.33221</v>
      </c>
      <c r="G11" s="683">
        <v>132232508060.68303</v>
      </c>
      <c r="H11" s="683">
        <v>132678047265.9623</v>
      </c>
      <c r="I11" s="683">
        <v>134957939744.17712</v>
      </c>
      <c r="J11" s="683">
        <v>155219549184.84921</v>
      </c>
      <c r="K11" s="683">
        <v>146418376861.66696</v>
      </c>
      <c r="L11" s="683">
        <v>116619519379.63353</v>
      </c>
      <c r="M11" s="683">
        <v>176062179692.71661</v>
      </c>
      <c r="N11" s="683">
        <v>133450911613.00522</v>
      </c>
      <c r="O11" s="683">
        <v>131361104671.3638</v>
      </c>
    </row>
    <row r="12" spans="1:15">
      <c r="A12" s="667"/>
      <c r="B12" s="696">
        <v>14</v>
      </c>
      <c r="C12" s="668" t="s">
        <v>416</v>
      </c>
      <c r="D12" s="682">
        <v>96165219876.15657</v>
      </c>
      <c r="E12" s="683">
        <v>113345006120.09544</v>
      </c>
      <c r="F12" s="683">
        <v>111496572115.43146</v>
      </c>
      <c r="G12" s="683">
        <v>202042376498.99524</v>
      </c>
      <c r="H12" s="683">
        <v>147330829014.75235</v>
      </c>
      <c r="I12" s="683">
        <v>150058996139.09561</v>
      </c>
      <c r="J12" s="683">
        <v>147579817857.19513</v>
      </c>
      <c r="K12" s="683">
        <v>143035782732.96774</v>
      </c>
      <c r="L12" s="683">
        <v>151772097872.96277</v>
      </c>
      <c r="M12" s="683">
        <v>140429180334.15622</v>
      </c>
      <c r="N12" s="683">
        <v>149064225181.43674</v>
      </c>
      <c r="O12" s="683">
        <v>3780602646.4419103</v>
      </c>
    </row>
    <row r="13" spans="1:15">
      <c r="A13" s="667"/>
      <c r="B13" s="696">
        <v>15</v>
      </c>
      <c r="C13" s="668" t="s">
        <v>417</v>
      </c>
      <c r="D13" s="682">
        <v>0</v>
      </c>
      <c r="E13" s="683">
        <v>0</v>
      </c>
      <c r="F13" s="683">
        <v>0</v>
      </c>
      <c r="G13" s="683">
        <v>0</v>
      </c>
      <c r="H13" s="683">
        <v>0</v>
      </c>
      <c r="I13" s="683">
        <v>0</v>
      </c>
      <c r="J13" s="683">
        <v>0</v>
      </c>
      <c r="K13" s="683">
        <v>0</v>
      </c>
      <c r="L13" s="683">
        <v>0</v>
      </c>
      <c r="M13" s="683">
        <v>0</v>
      </c>
      <c r="N13" s="683">
        <v>0</v>
      </c>
      <c r="O13" s="683">
        <v>0</v>
      </c>
    </row>
    <row r="14" spans="1:15">
      <c r="A14" s="667"/>
      <c r="B14" s="696">
        <v>16</v>
      </c>
      <c r="C14" s="668" t="s">
        <v>418</v>
      </c>
      <c r="D14" s="682">
        <v>0</v>
      </c>
      <c r="E14" s="683">
        <v>0</v>
      </c>
      <c r="F14" s="683">
        <v>0</v>
      </c>
      <c r="G14" s="683">
        <v>0</v>
      </c>
      <c r="H14" s="683">
        <v>0</v>
      </c>
      <c r="I14" s="683">
        <v>0</v>
      </c>
      <c r="J14" s="683">
        <v>0</v>
      </c>
      <c r="K14" s="683">
        <v>0</v>
      </c>
      <c r="L14" s="683">
        <v>0</v>
      </c>
      <c r="M14" s="683">
        <v>0</v>
      </c>
      <c r="N14" s="683">
        <v>0</v>
      </c>
      <c r="O14" s="683">
        <v>0</v>
      </c>
    </row>
    <row r="15" spans="1:15">
      <c r="A15" s="667"/>
      <c r="B15" s="696">
        <v>17</v>
      </c>
      <c r="C15" s="668" t="s">
        <v>419</v>
      </c>
      <c r="D15" s="682">
        <v>58460995343</v>
      </c>
      <c r="E15" s="683">
        <v>11460995343.000002</v>
      </c>
      <c r="F15" s="683">
        <v>11460995343.000002</v>
      </c>
      <c r="G15" s="683">
        <v>11460995343.000002</v>
      </c>
      <c r="H15" s="683">
        <v>11460995343.000002</v>
      </c>
      <c r="I15" s="683">
        <v>11460995343.000002</v>
      </c>
      <c r="J15" s="683">
        <v>11460995343.000002</v>
      </c>
      <c r="K15" s="683">
        <v>11460995343.000002</v>
      </c>
      <c r="L15" s="683">
        <v>11460995343.000002</v>
      </c>
      <c r="M15" s="683">
        <v>11460995343.000002</v>
      </c>
      <c r="N15" s="683">
        <v>11460995343.000002</v>
      </c>
      <c r="O15" s="683">
        <v>11460995343.000002</v>
      </c>
    </row>
    <row r="16" spans="1:15">
      <c r="A16" s="667"/>
      <c r="B16" s="696">
        <v>17</v>
      </c>
      <c r="C16" s="668" t="s">
        <v>420</v>
      </c>
      <c r="D16" s="682">
        <v>5123600000</v>
      </c>
      <c r="E16" s="683">
        <v>5738600000</v>
      </c>
      <c r="F16" s="683">
        <v>5983600000</v>
      </c>
      <c r="G16" s="683">
        <v>7632000000</v>
      </c>
      <c r="H16" s="683">
        <v>7632000000</v>
      </c>
      <c r="I16" s="683">
        <v>7632000000</v>
      </c>
      <c r="J16" s="683">
        <v>8682000000</v>
      </c>
      <c r="K16" s="683">
        <v>8682000000</v>
      </c>
      <c r="L16" s="683">
        <v>8682000000</v>
      </c>
      <c r="M16" s="683">
        <v>8682000000</v>
      </c>
      <c r="N16" s="683">
        <v>8682000000</v>
      </c>
      <c r="O16" s="683">
        <v>8682000000</v>
      </c>
    </row>
    <row r="17" spans="1:15">
      <c r="A17" s="667"/>
      <c r="B17" s="696">
        <v>18</v>
      </c>
      <c r="C17" s="668" t="s">
        <v>421</v>
      </c>
      <c r="D17" s="682">
        <v>0</v>
      </c>
      <c r="E17" s="683">
        <v>0</v>
      </c>
      <c r="F17" s="683">
        <v>0</v>
      </c>
      <c r="G17" s="683">
        <v>0</v>
      </c>
      <c r="H17" s="683">
        <v>0</v>
      </c>
      <c r="I17" s="683">
        <v>0</v>
      </c>
      <c r="J17" s="683">
        <v>0</v>
      </c>
      <c r="K17" s="683">
        <v>0</v>
      </c>
      <c r="L17" s="683">
        <v>0</v>
      </c>
      <c r="M17" s="683">
        <v>0</v>
      </c>
      <c r="N17" s="683">
        <v>0</v>
      </c>
      <c r="O17" s="683">
        <v>0</v>
      </c>
    </row>
    <row r="18" spans="1:15">
      <c r="A18" s="667"/>
      <c r="B18" s="696">
        <v>19</v>
      </c>
      <c r="C18" s="668" t="s">
        <v>422</v>
      </c>
      <c r="D18" s="682">
        <v>0</v>
      </c>
      <c r="E18" s="683">
        <v>0</v>
      </c>
      <c r="F18" s="683">
        <v>0</v>
      </c>
      <c r="G18" s="683">
        <v>0</v>
      </c>
      <c r="H18" s="683">
        <v>0</v>
      </c>
      <c r="I18" s="683">
        <v>0</v>
      </c>
      <c r="J18" s="683">
        <v>0</v>
      </c>
      <c r="K18" s="683">
        <v>0</v>
      </c>
      <c r="L18" s="683">
        <v>0</v>
      </c>
      <c r="M18" s="683">
        <v>0</v>
      </c>
      <c r="N18" s="683">
        <v>0</v>
      </c>
      <c r="O18" s="683">
        <v>0</v>
      </c>
    </row>
    <row r="19" spans="1:15">
      <c r="A19" s="665"/>
      <c r="B19" s="695"/>
      <c r="C19" s="666" t="s">
        <v>274</v>
      </c>
      <c r="D19" s="680">
        <v>497473633182.50079</v>
      </c>
      <c r="E19" s="681">
        <v>536457927990.87683</v>
      </c>
      <c r="F19" s="681">
        <v>618684656298.2666</v>
      </c>
      <c r="G19" s="681">
        <v>574418736594.82825</v>
      </c>
      <c r="H19" s="681">
        <v>600511271301.4541</v>
      </c>
      <c r="I19" s="681">
        <v>624746695564.6084</v>
      </c>
      <c r="J19" s="681">
        <v>591199377807.07971</v>
      </c>
      <c r="K19" s="681">
        <v>597176954319.47253</v>
      </c>
      <c r="L19" s="681">
        <v>628236556176.16003</v>
      </c>
      <c r="M19" s="681">
        <v>579088956819.10876</v>
      </c>
      <c r="N19" s="681">
        <v>605158894006.96509</v>
      </c>
      <c r="O19" s="681">
        <v>618294276412.97681</v>
      </c>
    </row>
    <row r="20" spans="1:15">
      <c r="A20" s="667"/>
      <c r="B20" s="696">
        <v>21</v>
      </c>
      <c r="C20" s="668" t="s">
        <v>423</v>
      </c>
      <c r="D20" s="682">
        <v>497473633182.50079</v>
      </c>
      <c r="E20" s="683">
        <v>536457927990.87683</v>
      </c>
      <c r="F20" s="683">
        <v>618684656298.2666</v>
      </c>
      <c r="G20" s="683">
        <v>574418736594.82825</v>
      </c>
      <c r="H20" s="683">
        <v>600511271301.4541</v>
      </c>
      <c r="I20" s="683">
        <v>624746695564.6084</v>
      </c>
      <c r="J20" s="683">
        <v>591199377807.07971</v>
      </c>
      <c r="K20" s="683">
        <v>597176954319.47253</v>
      </c>
      <c r="L20" s="683">
        <v>628236556176.16003</v>
      </c>
      <c r="M20" s="683">
        <v>579088956819.10876</v>
      </c>
      <c r="N20" s="683">
        <v>605158894006.96509</v>
      </c>
      <c r="O20" s="683">
        <v>618294276412.97681</v>
      </c>
    </row>
    <row r="21" spans="1:15">
      <c r="A21" s="667"/>
      <c r="B21" s="696">
        <v>22</v>
      </c>
      <c r="C21" s="668" t="s">
        <v>424</v>
      </c>
      <c r="D21" s="682">
        <v>0</v>
      </c>
      <c r="E21" s="683">
        <v>0</v>
      </c>
      <c r="F21" s="683">
        <v>0</v>
      </c>
      <c r="G21" s="683">
        <v>0</v>
      </c>
      <c r="H21" s="683">
        <v>0</v>
      </c>
      <c r="I21" s="683">
        <v>0</v>
      </c>
      <c r="J21" s="683">
        <v>0</v>
      </c>
      <c r="K21" s="683">
        <v>0</v>
      </c>
      <c r="L21" s="683">
        <v>0</v>
      </c>
      <c r="M21" s="683">
        <v>0</v>
      </c>
      <c r="N21" s="683">
        <v>0</v>
      </c>
      <c r="O21" s="683">
        <v>0</v>
      </c>
    </row>
    <row r="22" spans="1:15">
      <c r="A22" s="665"/>
      <c r="B22" s="695"/>
      <c r="C22" s="666" t="s">
        <v>425</v>
      </c>
      <c r="D22" s="680">
        <v>58961922827</v>
      </c>
      <c r="E22" s="681">
        <v>63961922827</v>
      </c>
      <c r="F22" s="681">
        <v>68961922827</v>
      </c>
      <c r="G22" s="681">
        <v>73961922827</v>
      </c>
      <c r="H22" s="681">
        <v>78961922827</v>
      </c>
      <c r="I22" s="681">
        <v>83961922827</v>
      </c>
      <c r="J22" s="681">
        <v>88961922827.000015</v>
      </c>
      <c r="K22" s="681">
        <v>93961922827.000015</v>
      </c>
      <c r="L22" s="681">
        <v>98961922827.000015</v>
      </c>
      <c r="M22" s="681">
        <v>103961922827.00002</v>
      </c>
      <c r="N22" s="681">
        <v>108961922827.00002</v>
      </c>
      <c r="O22" s="681">
        <v>113961922827.00002</v>
      </c>
    </row>
    <row r="23" spans="1:15">
      <c r="A23" s="667"/>
      <c r="B23" s="696">
        <v>28</v>
      </c>
      <c r="C23" s="668" t="s">
        <v>426</v>
      </c>
      <c r="D23" s="682">
        <v>0</v>
      </c>
      <c r="E23" s="683">
        <v>0</v>
      </c>
      <c r="F23" s="683">
        <v>0</v>
      </c>
      <c r="G23" s="683">
        <v>0</v>
      </c>
      <c r="H23" s="683">
        <v>0</v>
      </c>
      <c r="I23" s="683">
        <v>0</v>
      </c>
      <c r="J23" s="683">
        <v>0</v>
      </c>
      <c r="K23" s="683">
        <v>0</v>
      </c>
      <c r="L23" s="683">
        <v>0</v>
      </c>
      <c r="M23" s="683">
        <v>0</v>
      </c>
      <c r="N23" s="683">
        <v>0</v>
      </c>
      <c r="O23" s="683">
        <v>0</v>
      </c>
    </row>
    <row r="24" spans="1:15">
      <c r="A24" s="667"/>
      <c r="B24" s="696">
        <v>29</v>
      </c>
      <c r="C24" s="668" t="s">
        <v>427</v>
      </c>
      <c r="D24" s="682">
        <v>39414810808</v>
      </c>
      <c r="E24" s="683">
        <v>44414810808</v>
      </c>
      <c r="F24" s="683">
        <v>49414810808</v>
      </c>
      <c r="G24" s="683">
        <v>54414810808</v>
      </c>
      <c r="H24" s="683">
        <v>59414810808</v>
      </c>
      <c r="I24" s="683">
        <v>64414810808</v>
      </c>
      <c r="J24" s="683">
        <v>69414810808.000015</v>
      </c>
      <c r="K24" s="683">
        <v>74414810808.000015</v>
      </c>
      <c r="L24" s="683">
        <v>79414810808.000015</v>
      </c>
      <c r="M24" s="683">
        <v>84414810808.000015</v>
      </c>
      <c r="N24" s="683">
        <v>89414810808.000015</v>
      </c>
      <c r="O24" s="683">
        <v>94414810808.000015</v>
      </c>
    </row>
    <row r="25" spans="1:15">
      <c r="A25" s="667"/>
      <c r="B25" s="696">
        <v>30</v>
      </c>
      <c r="C25" s="668" t="s">
        <v>428</v>
      </c>
      <c r="D25" s="682">
        <v>0</v>
      </c>
      <c r="E25" s="683">
        <v>0</v>
      </c>
      <c r="F25" s="683">
        <v>0</v>
      </c>
      <c r="G25" s="683">
        <v>0</v>
      </c>
      <c r="H25" s="683">
        <v>0</v>
      </c>
      <c r="I25" s="683">
        <v>0</v>
      </c>
      <c r="J25" s="683">
        <v>0</v>
      </c>
      <c r="K25" s="683">
        <v>0</v>
      </c>
      <c r="L25" s="683">
        <v>0</v>
      </c>
      <c r="M25" s="683">
        <v>0</v>
      </c>
      <c r="N25" s="683">
        <v>0</v>
      </c>
      <c r="O25" s="683">
        <v>0</v>
      </c>
    </row>
    <row r="26" spans="1:15">
      <c r="A26" s="667"/>
      <c r="B26" s="696">
        <v>31</v>
      </c>
      <c r="C26" s="668" t="s">
        <v>429</v>
      </c>
      <c r="D26" s="682">
        <v>0</v>
      </c>
      <c r="E26" s="683">
        <v>0</v>
      </c>
      <c r="F26" s="683">
        <v>0</v>
      </c>
      <c r="G26" s="683">
        <v>0</v>
      </c>
      <c r="H26" s="683">
        <v>0</v>
      </c>
      <c r="I26" s="683">
        <v>0</v>
      </c>
      <c r="J26" s="683">
        <v>0</v>
      </c>
      <c r="K26" s="683">
        <v>0</v>
      </c>
      <c r="L26" s="683">
        <v>0</v>
      </c>
      <c r="M26" s="683">
        <v>0</v>
      </c>
      <c r="N26" s="683">
        <v>0</v>
      </c>
      <c r="O26" s="683">
        <v>0</v>
      </c>
    </row>
    <row r="27" spans="1:15">
      <c r="A27" s="667"/>
      <c r="B27" s="696">
        <v>32</v>
      </c>
      <c r="C27" s="668" t="s">
        <v>430</v>
      </c>
      <c r="D27" s="682">
        <v>19547112019</v>
      </c>
      <c r="E27" s="683">
        <v>19547112019</v>
      </c>
      <c r="F27" s="683">
        <v>19547112019</v>
      </c>
      <c r="G27" s="683">
        <v>19547112019</v>
      </c>
      <c r="H27" s="683">
        <v>19547112019</v>
      </c>
      <c r="I27" s="683">
        <v>19547112019</v>
      </c>
      <c r="J27" s="683">
        <v>19547112019</v>
      </c>
      <c r="K27" s="683">
        <v>19547112019</v>
      </c>
      <c r="L27" s="683">
        <v>19547112019</v>
      </c>
      <c r="M27" s="683">
        <v>19547112019</v>
      </c>
      <c r="N27" s="683">
        <v>19547112019</v>
      </c>
      <c r="O27" s="683">
        <v>19547112019</v>
      </c>
    </row>
    <row r="28" spans="1:15">
      <c r="A28" s="663"/>
      <c r="B28" s="697"/>
      <c r="C28" s="669" t="s">
        <v>431</v>
      </c>
      <c r="D28" s="684">
        <v>760596933271.8866</v>
      </c>
      <c r="E28" s="685">
        <v>768481316696.16577</v>
      </c>
      <c r="F28" s="685">
        <v>767758015463.24487</v>
      </c>
      <c r="G28" s="685">
        <v>777603497952.32397</v>
      </c>
      <c r="H28" s="685">
        <v>791914323385.4032</v>
      </c>
      <c r="I28" s="685">
        <v>785946253680.48242</v>
      </c>
      <c r="J28" s="685">
        <v>779978183975.56165</v>
      </c>
      <c r="K28" s="685">
        <v>774010114270.64087</v>
      </c>
      <c r="L28" s="685">
        <v>771887874565.72009</v>
      </c>
      <c r="M28" s="685">
        <v>765906985427.79907</v>
      </c>
      <c r="N28" s="685">
        <v>761399096289.87842</v>
      </c>
      <c r="O28" s="685">
        <v>919391932151.95752</v>
      </c>
    </row>
    <row r="29" spans="1:15">
      <c r="A29" s="665"/>
      <c r="B29" s="695"/>
      <c r="C29" s="666" t="s">
        <v>432</v>
      </c>
      <c r="D29" s="680">
        <v>5600000000</v>
      </c>
      <c r="E29" s="681">
        <v>5600000000</v>
      </c>
      <c r="F29" s="681">
        <v>5600000000</v>
      </c>
      <c r="G29" s="681">
        <v>5600000000</v>
      </c>
      <c r="H29" s="681">
        <v>5600000000</v>
      </c>
      <c r="I29" s="681">
        <v>5600000000</v>
      </c>
      <c r="J29" s="681">
        <v>5600000000</v>
      </c>
      <c r="K29" s="681">
        <v>5600000000</v>
      </c>
      <c r="L29" s="681">
        <v>5600000000</v>
      </c>
      <c r="M29" s="681">
        <v>5600000000</v>
      </c>
      <c r="N29" s="681">
        <v>5600000000</v>
      </c>
      <c r="O29" s="681">
        <v>5600000000</v>
      </c>
    </row>
    <row r="30" spans="1:15">
      <c r="A30" s="667"/>
      <c r="B30" s="696">
        <v>35</v>
      </c>
      <c r="C30" s="668" t="s">
        <v>433</v>
      </c>
      <c r="D30" s="682"/>
      <c r="E30" s="683"/>
      <c r="F30" s="683"/>
      <c r="G30" s="683"/>
      <c r="H30" s="683"/>
      <c r="I30" s="683"/>
      <c r="J30" s="683"/>
      <c r="K30" s="683"/>
      <c r="L30" s="683"/>
      <c r="M30" s="683"/>
      <c r="N30" s="683"/>
      <c r="O30" s="683"/>
    </row>
    <row r="31" spans="1:15">
      <c r="A31" s="667"/>
      <c r="B31" s="696">
        <v>36</v>
      </c>
      <c r="C31" s="668" t="s">
        <v>434</v>
      </c>
      <c r="D31" s="682"/>
      <c r="E31" s="683"/>
      <c r="F31" s="683"/>
      <c r="G31" s="683"/>
      <c r="H31" s="683"/>
      <c r="I31" s="683"/>
      <c r="J31" s="683"/>
      <c r="K31" s="683"/>
      <c r="L31" s="683"/>
      <c r="M31" s="683"/>
      <c r="N31" s="683"/>
      <c r="O31" s="683"/>
    </row>
    <row r="32" spans="1:15">
      <c r="A32" s="667"/>
      <c r="B32" s="696">
        <v>37</v>
      </c>
      <c r="C32" s="668" t="s">
        <v>435</v>
      </c>
      <c r="D32" s="682"/>
      <c r="E32" s="683"/>
      <c r="F32" s="683"/>
      <c r="G32" s="683"/>
      <c r="H32" s="683"/>
      <c r="I32" s="683"/>
      <c r="J32" s="683"/>
      <c r="K32" s="683"/>
      <c r="L32" s="683"/>
      <c r="M32" s="683"/>
      <c r="N32" s="683"/>
      <c r="O32" s="683"/>
    </row>
    <row r="33" spans="1:15">
      <c r="A33" s="667"/>
      <c r="B33" s="696">
        <v>38</v>
      </c>
      <c r="C33" s="668" t="s">
        <v>436</v>
      </c>
      <c r="D33" s="682"/>
      <c r="E33" s="683"/>
      <c r="F33" s="683"/>
      <c r="G33" s="683"/>
      <c r="H33" s="683"/>
      <c r="I33" s="683"/>
      <c r="J33" s="683"/>
      <c r="K33" s="683"/>
      <c r="L33" s="683"/>
      <c r="M33" s="683"/>
      <c r="N33" s="683"/>
      <c r="O33" s="683"/>
    </row>
    <row r="34" spans="1:15">
      <c r="A34" s="667"/>
      <c r="B34" s="696">
        <v>39</v>
      </c>
      <c r="C34" s="668" t="s">
        <v>437</v>
      </c>
      <c r="D34" s="682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</row>
    <row r="35" spans="1:15">
      <c r="A35" s="667"/>
      <c r="B35" s="696">
        <v>39</v>
      </c>
      <c r="C35" s="668" t="s">
        <v>438</v>
      </c>
      <c r="D35" s="682">
        <v>5600000000</v>
      </c>
      <c r="E35" s="682">
        <v>5600000000</v>
      </c>
      <c r="F35" s="682">
        <v>5600000000</v>
      </c>
      <c r="G35" s="682">
        <v>5600000000</v>
      </c>
      <c r="H35" s="682">
        <v>5600000000</v>
      </c>
      <c r="I35" s="682">
        <v>5600000000</v>
      </c>
      <c r="J35" s="682">
        <v>5600000000</v>
      </c>
      <c r="K35" s="682">
        <v>5600000000</v>
      </c>
      <c r="L35" s="682">
        <v>5600000000</v>
      </c>
      <c r="M35" s="682">
        <v>5600000000</v>
      </c>
      <c r="N35" s="682">
        <v>5600000000</v>
      </c>
      <c r="O35" s="682">
        <v>5600000000</v>
      </c>
    </row>
    <row r="36" spans="1:15">
      <c r="A36" s="667"/>
      <c r="B36" s="696">
        <v>40</v>
      </c>
      <c r="C36" s="668" t="s">
        <v>439</v>
      </c>
      <c r="D36" s="682"/>
      <c r="E36" s="683"/>
      <c r="F36" s="683"/>
      <c r="G36" s="683"/>
      <c r="H36" s="683"/>
      <c r="I36" s="683"/>
      <c r="J36" s="683"/>
      <c r="K36" s="683"/>
      <c r="L36" s="683"/>
      <c r="M36" s="683"/>
      <c r="N36" s="683"/>
      <c r="O36" s="683"/>
    </row>
    <row r="37" spans="1:15">
      <c r="A37" s="665"/>
      <c r="B37" s="695"/>
      <c r="C37" s="666" t="s">
        <v>440</v>
      </c>
      <c r="D37" s="680">
        <v>746346043228.8866</v>
      </c>
      <c r="E37" s="681">
        <v>754230426653.16577</v>
      </c>
      <c r="F37" s="681">
        <v>753507125420.24487</v>
      </c>
      <c r="G37" s="681">
        <v>763352607909.32397</v>
      </c>
      <c r="H37" s="681">
        <v>777663433342.4032</v>
      </c>
      <c r="I37" s="681">
        <v>771695363637.48242</v>
      </c>
      <c r="J37" s="681">
        <v>765727293932.56165</v>
      </c>
      <c r="K37" s="681">
        <v>759759224227.64087</v>
      </c>
      <c r="L37" s="681">
        <v>757636984522.72009</v>
      </c>
      <c r="M37" s="681">
        <v>751656095384.79907</v>
      </c>
      <c r="N37" s="681">
        <v>747148206246.87842</v>
      </c>
      <c r="O37" s="681">
        <v>905141042108.95752</v>
      </c>
    </row>
    <row r="38" spans="1:15">
      <c r="A38" s="667"/>
      <c r="B38" s="696"/>
      <c r="C38" s="668" t="s">
        <v>441</v>
      </c>
      <c r="D38" s="682">
        <v>722765089523.43701</v>
      </c>
      <c r="E38" s="683">
        <v>730844679156.59998</v>
      </c>
      <c r="F38" s="683">
        <v>730316584132.56287</v>
      </c>
      <c r="G38" s="683">
        <v>740357272830.52588</v>
      </c>
      <c r="H38" s="683">
        <v>753411979750.48889</v>
      </c>
      <c r="I38" s="683">
        <v>747662999865.4519</v>
      </c>
      <c r="J38" s="683">
        <v>741914019980.41479</v>
      </c>
      <c r="K38" s="683">
        <v>736165040095.37781</v>
      </c>
      <c r="L38" s="683">
        <v>734261890210.34082</v>
      </c>
      <c r="M38" s="683">
        <v>728500090892.30371</v>
      </c>
      <c r="N38" s="683">
        <v>724211291574.26685</v>
      </c>
      <c r="O38" s="683">
        <v>882423217256.22974</v>
      </c>
    </row>
    <row r="39" spans="1:15">
      <c r="A39" s="670"/>
      <c r="B39" s="698">
        <v>43</v>
      </c>
      <c r="C39" s="671" t="s">
        <v>442</v>
      </c>
      <c r="D39" s="686">
        <v>849937353871.99988</v>
      </c>
      <c r="E39" s="687">
        <v>863509619309.19983</v>
      </c>
      <c r="F39" s="687">
        <v>868562219309.19983</v>
      </c>
      <c r="G39" s="687">
        <v>884217843309.19983</v>
      </c>
      <c r="H39" s="687">
        <v>902894763309.19983</v>
      </c>
      <c r="I39" s="687">
        <v>902894763309.19983</v>
      </c>
      <c r="J39" s="687">
        <v>902894763309.19983</v>
      </c>
      <c r="K39" s="687">
        <v>902894763309.19983</v>
      </c>
      <c r="L39" s="687">
        <v>906740593309.19983</v>
      </c>
      <c r="M39" s="687">
        <v>906740593309.19983</v>
      </c>
      <c r="N39" s="687">
        <v>908213593309.19983</v>
      </c>
      <c r="O39" s="687">
        <v>1072199593309.1998</v>
      </c>
    </row>
    <row r="40" spans="1:15">
      <c r="A40" s="670"/>
      <c r="B40" s="698">
        <v>44</v>
      </c>
      <c r="C40" s="671" t="s">
        <v>443</v>
      </c>
      <c r="D40" s="686">
        <v>-127172264348.5629</v>
      </c>
      <c r="E40" s="687">
        <v>-132664940152.5999</v>
      </c>
      <c r="F40" s="687">
        <v>-138245635176.63693</v>
      </c>
      <c r="G40" s="687">
        <v>-143860570478.67392</v>
      </c>
      <c r="H40" s="687">
        <v>-149482783558.71097</v>
      </c>
      <c r="I40" s="687">
        <v>-155231763443.74799</v>
      </c>
      <c r="J40" s="687">
        <v>-160980743328.78497</v>
      </c>
      <c r="K40" s="687">
        <v>-166729723213.82202</v>
      </c>
      <c r="L40" s="687">
        <v>-172478703098.85901</v>
      </c>
      <c r="M40" s="687">
        <v>-178240502416.89606</v>
      </c>
      <c r="N40" s="687">
        <v>-184002301734.93304</v>
      </c>
      <c r="O40" s="687">
        <v>-189776376052.97006</v>
      </c>
    </row>
    <row r="41" spans="1:15">
      <c r="A41" s="667"/>
      <c r="B41" s="696"/>
      <c r="C41" s="668" t="s">
        <v>444</v>
      </c>
      <c r="D41" s="682">
        <v>18371809550.87608</v>
      </c>
      <c r="E41" s="683">
        <v>18226590500.752151</v>
      </c>
      <c r="F41" s="683">
        <v>18081371450.628235</v>
      </c>
      <c r="G41" s="683">
        <v>17936152400.504314</v>
      </c>
      <c r="H41" s="683">
        <v>17790933350.380402</v>
      </c>
      <c r="I41" s="683">
        <v>17645714300.256474</v>
      </c>
      <c r="J41" s="683">
        <v>17500495250.132553</v>
      </c>
      <c r="K41" s="683">
        <v>17355276200.008629</v>
      </c>
      <c r="L41" s="683">
        <v>17210057149.884716</v>
      </c>
      <c r="M41" s="683">
        <v>17064838099.760788</v>
      </c>
      <c r="N41" s="683">
        <v>16919619049.636868</v>
      </c>
      <c r="O41" s="683">
        <v>16774399999.512947</v>
      </c>
    </row>
    <row r="42" spans="1:15">
      <c r="A42" s="670"/>
      <c r="B42" s="698">
        <v>46</v>
      </c>
      <c r="C42" s="671" t="s">
        <v>442</v>
      </c>
      <c r="D42" s="686">
        <v>25454545455</v>
      </c>
      <c r="E42" s="687">
        <v>25454545455</v>
      </c>
      <c r="F42" s="687">
        <v>25454545455</v>
      </c>
      <c r="G42" s="687">
        <v>25454545455</v>
      </c>
      <c r="H42" s="687">
        <v>25454545455</v>
      </c>
      <c r="I42" s="687">
        <v>25454545455</v>
      </c>
      <c r="J42" s="687">
        <v>25454545455</v>
      </c>
      <c r="K42" s="687">
        <v>25454545455</v>
      </c>
      <c r="L42" s="687">
        <v>25454545455</v>
      </c>
      <c r="M42" s="687">
        <v>25454545455</v>
      </c>
      <c r="N42" s="687">
        <v>25454545455</v>
      </c>
      <c r="O42" s="687">
        <v>25454545455</v>
      </c>
    </row>
    <row r="43" spans="1:15">
      <c r="A43" s="670"/>
      <c r="B43" s="698">
        <v>47</v>
      </c>
      <c r="C43" s="671" t="s">
        <v>443</v>
      </c>
      <c r="D43" s="686">
        <v>-7082735904.1239204</v>
      </c>
      <c r="E43" s="687">
        <v>-7227954954.2478485</v>
      </c>
      <c r="F43" s="687">
        <v>-7373174004.3717651</v>
      </c>
      <c r="G43" s="687">
        <v>-7518393054.4956856</v>
      </c>
      <c r="H43" s="687">
        <v>-7663612104.6195984</v>
      </c>
      <c r="I43" s="687">
        <v>-7808831154.7435265</v>
      </c>
      <c r="J43" s="687">
        <v>-7954050204.8674469</v>
      </c>
      <c r="K43" s="687">
        <v>-8099269254.9913712</v>
      </c>
      <c r="L43" s="687">
        <v>-8244488305.115284</v>
      </c>
      <c r="M43" s="687">
        <v>-8389707355.239212</v>
      </c>
      <c r="N43" s="687">
        <v>-8534926405.3631325</v>
      </c>
      <c r="O43" s="687">
        <v>-8680145455.4870529</v>
      </c>
    </row>
    <row r="44" spans="1:15">
      <c r="A44" s="667"/>
      <c r="B44" s="696"/>
      <c r="C44" s="668" t="s">
        <v>445</v>
      </c>
      <c r="D44" s="682">
        <v>5209144154.5734625</v>
      </c>
      <c r="E44" s="683">
        <v>5159156995.813591</v>
      </c>
      <c r="F44" s="683">
        <v>5109169837.0537205</v>
      </c>
      <c r="G44" s="683">
        <v>5059182678.293849</v>
      </c>
      <c r="H44" s="683">
        <v>6460520241.5339756</v>
      </c>
      <c r="I44" s="683">
        <v>6386649471.7741051</v>
      </c>
      <c r="J44" s="683">
        <v>6312778702.0142345</v>
      </c>
      <c r="K44" s="683">
        <v>6238907932.2543621</v>
      </c>
      <c r="L44" s="683">
        <v>6165037162.4944916</v>
      </c>
      <c r="M44" s="683">
        <v>6091166392.734621</v>
      </c>
      <c r="N44" s="683">
        <v>6017295622.9747496</v>
      </c>
      <c r="O44" s="683">
        <v>5943424853.2148781</v>
      </c>
    </row>
    <row r="45" spans="1:15">
      <c r="A45" s="670"/>
      <c r="B45" s="698">
        <v>49</v>
      </c>
      <c r="C45" s="671" t="s">
        <v>442</v>
      </c>
      <c r="D45" s="686">
        <v>7146988134.333334</v>
      </c>
      <c r="E45" s="687">
        <v>7146988134.333334</v>
      </c>
      <c r="F45" s="687">
        <v>7146988134.333334</v>
      </c>
      <c r="G45" s="687">
        <v>7146988134.333334</v>
      </c>
      <c r="H45" s="687">
        <v>8606988134.3333321</v>
      </c>
      <c r="I45" s="687">
        <v>8606988134.3333321</v>
      </c>
      <c r="J45" s="687">
        <v>8606988134.3333321</v>
      </c>
      <c r="K45" s="687">
        <v>8606988134.3333321</v>
      </c>
      <c r="L45" s="687">
        <v>8606988134.3333321</v>
      </c>
      <c r="M45" s="687">
        <v>8606988134.3333321</v>
      </c>
      <c r="N45" s="687">
        <v>8606988134.3333321</v>
      </c>
      <c r="O45" s="687">
        <v>8606988134.3333321</v>
      </c>
    </row>
    <row r="46" spans="1:15">
      <c r="A46" s="670"/>
      <c r="B46" s="698">
        <v>50</v>
      </c>
      <c r="C46" s="671" t="s">
        <v>443</v>
      </c>
      <c r="D46" s="686">
        <v>-1937843979.7598712</v>
      </c>
      <c r="E46" s="687">
        <v>-1987831138.5197425</v>
      </c>
      <c r="F46" s="687">
        <v>-2037818297.279614</v>
      </c>
      <c r="G46" s="687">
        <v>-2087805456.0394847</v>
      </c>
      <c r="H46" s="687">
        <v>-2146467892.799356</v>
      </c>
      <c r="I46" s="687">
        <v>-2220338662.559227</v>
      </c>
      <c r="J46" s="687">
        <v>-2294209432.319098</v>
      </c>
      <c r="K46" s="687">
        <v>-2368080202.0789695</v>
      </c>
      <c r="L46" s="687">
        <v>-2441950971.8388405</v>
      </c>
      <c r="M46" s="687">
        <v>-2515821741.5987115</v>
      </c>
      <c r="N46" s="687">
        <v>-2589692511.3585825</v>
      </c>
      <c r="O46" s="687">
        <v>-2663563281.1184535</v>
      </c>
    </row>
    <row r="47" spans="1:15">
      <c r="A47" s="665"/>
      <c r="B47" s="695"/>
      <c r="C47" s="666" t="s">
        <v>446</v>
      </c>
      <c r="D47" s="680">
        <v>0</v>
      </c>
      <c r="E47" s="681">
        <v>0</v>
      </c>
      <c r="F47" s="681">
        <v>0</v>
      </c>
      <c r="G47" s="681">
        <v>0</v>
      </c>
      <c r="H47" s="681">
        <v>0</v>
      </c>
      <c r="I47" s="681">
        <v>0</v>
      </c>
      <c r="J47" s="681">
        <v>0</v>
      </c>
      <c r="K47" s="681">
        <v>0</v>
      </c>
      <c r="L47" s="681">
        <v>0</v>
      </c>
      <c r="M47" s="681">
        <v>0</v>
      </c>
      <c r="N47" s="681">
        <v>0</v>
      </c>
      <c r="O47" s="681">
        <v>0</v>
      </c>
    </row>
    <row r="48" spans="1:15">
      <c r="A48" s="670"/>
      <c r="B48" s="698">
        <v>61</v>
      </c>
      <c r="C48" s="671" t="s">
        <v>442</v>
      </c>
      <c r="D48" s="686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</row>
    <row r="49" spans="1:15">
      <c r="A49" s="670"/>
      <c r="B49" s="698">
        <v>62</v>
      </c>
      <c r="C49" s="671" t="s">
        <v>443</v>
      </c>
      <c r="D49" s="686"/>
      <c r="E49" s="687"/>
      <c r="F49" s="687"/>
      <c r="G49" s="687"/>
      <c r="H49" s="687"/>
      <c r="I49" s="687"/>
      <c r="J49" s="687"/>
      <c r="K49" s="687"/>
      <c r="L49" s="687"/>
      <c r="M49" s="687"/>
      <c r="N49" s="687"/>
      <c r="O49" s="687"/>
    </row>
    <row r="50" spans="1:15">
      <c r="A50" s="665"/>
      <c r="B50" s="695"/>
      <c r="C50" s="666" t="s">
        <v>447</v>
      </c>
      <c r="D50" s="680">
        <v>0</v>
      </c>
      <c r="E50" s="681">
        <v>0</v>
      </c>
      <c r="F50" s="681">
        <v>0</v>
      </c>
      <c r="G50" s="681">
        <v>0</v>
      </c>
      <c r="H50" s="681">
        <v>0</v>
      </c>
      <c r="I50" s="681">
        <v>0</v>
      </c>
      <c r="J50" s="681">
        <v>0</v>
      </c>
      <c r="K50" s="681">
        <v>0</v>
      </c>
      <c r="L50" s="681">
        <v>0</v>
      </c>
      <c r="M50" s="681">
        <v>0</v>
      </c>
      <c r="N50" s="681">
        <v>0</v>
      </c>
      <c r="O50" s="681">
        <v>0</v>
      </c>
    </row>
    <row r="51" spans="1:15">
      <c r="A51" s="667"/>
      <c r="B51" s="696">
        <v>64</v>
      </c>
      <c r="C51" s="668" t="s">
        <v>448</v>
      </c>
      <c r="D51" s="682"/>
      <c r="E51" s="683"/>
      <c r="F51" s="683"/>
      <c r="G51" s="683"/>
      <c r="H51" s="683"/>
      <c r="I51" s="683"/>
      <c r="J51" s="683"/>
      <c r="K51" s="683"/>
      <c r="L51" s="683"/>
      <c r="M51" s="683"/>
      <c r="N51" s="683"/>
      <c r="O51" s="683"/>
    </row>
    <row r="52" spans="1:15">
      <c r="A52" s="667"/>
      <c r="B52" s="696">
        <v>65</v>
      </c>
      <c r="C52" s="668" t="s">
        <v>449</v>
      </c>
      <c r="D52" s="682"/>
      <c r="E52" s="683"/>
      <c r="F52" s="683"/>
      <c r="G52" s="683"/>
      <c r="H52" s="683"/>
      <c r="I52" s="683"/>
      <c r="J52" s="683"/>
      <c r="K52" s="683"/>
      <c r="L52" s="683"/>
      <c r="M52" s="683"/>
      <c r="N52" s="683"/>
      <c r="O52" s="683"/>
    </row>
    <row r="53" spans="1:15">
      <c r="A53" s="665"/>
      <c r="B53" s="695"/>
      <c r="C53" s="666" t="s">
        <v>450</v>
      </c>
      <c r="D53" s="680">
        <v>0</v>
      </c>
      <c r="E53" s="681">
        <v>0</v>
      </c>
      <c r="F53" s="681">
        <v>0</v>
      </c>
      <c r="G53" s="681">
        <v>0</v>
      </c>
      <c r="H53" s="681">
        <v>0</v>
      </c>
      <c r="I53" s="681">
        <v>0</v>
      </c>
      <c r="J53" s="681">
        <v>0</v>
      </c>
      <c r="K53" s="681">
        <v>0</v>
      </c>
      <c r="L53" s="681">
        <v>0</v>
      </c>
      <c r="M53" s="681">
        <v>0</v>
      </c>
      <c r="N53" s="681">
        <v>0</v>
      </c>
      <c r="O53" s="681">
        <v>0</v>
      </c>
    </row>
    <row r="54" spans="1:15">
      <c r="A54" s="667"/>
      <c r="B54" s="696">
        <v>67</v>
      </c>
      <c r="C54" s="668" t="s">
        <v>451</v>
      </c>
      <c r="D54" s="682"/>
      <c r="E54" s="683"/>
      <c r="F54" s="683"/>
      <c r="G54" s="683"/>
      <c r="H54" s="683"/>
      <c r="I54" s="683"/>
      <c r="J54" s="683"/>
      <c r="K54" s="683"/>
      <c r="L54" s="683"/>
      <c r="M54" s="683"/>
      <c r="N54" s="683"/>
      <c r="O54" s="683"/>
    </row>
    <row r="55" spans="1:15">
      <c r="A55" s="667"/>
      <c r="B55" s="696">
        <v>68</v>
      </c>
      <c r="C55" s="668" t="s">
        <v>452</v>
      </c>
      <c r="D55" s="682"/>
      <c r="E55" s="683"/>
      <c r="F55" s="683"/>
      <c r="G55" s="683"/>
      <c r="H55" s="683"/>
      <c r="I55" s="683"/>
      <c r="J55" s="683"/>
      <c r="K55" s="683"/>
      <c r="L55" s="683"/>
      <c r="M55" s="683"/>
      <c r="N55" s="683"/>
      <c r="O55" s="683"/>
    </row>
    <row r="56" spans="1:15">
      <c r="A56" s="667"/>
      <c r="B56" s="696">
        <v>69</v>
      </c>
      <c r="C56" s="668" t="s">
        <v>453</v>
      </c>
      <c r="D56" s="682"/>
      <c r="E56" s="683"/>
      <c r="F56" s="683"/>
      <c r="G56" s="683"/>
      <c r="H56" s="683"/>
      <c r="I56" s="683"/>
      <c r="J56" s="683"/>
      <c r="K56" s="683"/>
      <c r="L56" s="683"/>
      <c r="M56" s="683"/>
      <c r="N56" s="683"/>
      <c r="O56" s="683"/>
    </row>
    <row r="57" spans="1:15">
      <c r="A57" s="672" t="s">
        <v>454</v>
      </c>
      <c r="B57" s="672"/>
      <c r="C57" s="668" t="s">
        <v>455</v>
      </c>
      <c r="D57" s="682"/>
      <c r="E57" s="683"/>
      <c r="F57" s="683"/>
      <c r="G57" s="683"/>
      <c r="H57" s="683"/>
      <c r="I57" s="683"/>
      <c r="J57" s="683"/>
      <c r="K57" s="683"/>
      <c r="L57" s="683"/>
      <c r="M57" s="683"/>
      <c r="N57" s="683"/>
      <c r="O57" s="683"/>
    </row>
    <row r="58" spans="1:15">
      <c r="A58" s="667"/>
      <c r="B58" s="696">
        <v>71</v>
      </c>
      <c r="C58" s="668" t="s">
        <v>456</v>
      </c>
      <c r="D58" s="682"/>
      <c r="E58" s="683"/>
      <c r="F58" s="683"/>
      <c r="G58" s="683"/>
      <c r="H58" s="683"/>
      <c r="I58" s="683"/>
      <c r="J58" s="683"/>
      <c r="K58" s="683"/>
      <c r="L58" s="683"/>
      <c r="M58" s="683"/>
      <c r="N58" s="683"/>
      <c r="O58" s="683"/>
    </row>
    <row r="59" spans="1:15">
      <c r="A59" s="665"/>
      <c r="B59" s="695"/>
      <c r="C59" s="666" t="s">
        <v>457</v>
      </c>
      <c r="D59" s="680">
        <v>8650890043</v>
      </c>
      <c r="E59" s="681">
        <v>8650890043</v>
      </c>
      <c r="F59" s="681">
        <v>8650890043</v>
      </c>
      <c r="G59" s="681">
        <v>8650890043</v>
      </c>
      <c r="H59" s="681">
        <v>8650890043</v>
      </c>
      <c r="I59" s="681">
        <v>8650890043</v>
      </c>
      <c r="J59" s="681">
        <v>8650890043</v>
      </c>
      <c r="K59" s="681">
        <v>8650890043</v>
      </c>
      <c r="L59" s="681">
        <v>8650890043</v>
      </c>
      <c r="M59" s="681">
        <v>8650890043</v>
      </c>
      <c r="N59" s="681">
        <v>8650890043</v>
      </c>
      <c r="O59" s="681">
        <v>8650890043</v>
      </c>
    </row>
    <row r="60" spans="1:15">
      <c r="A60" s="667"/>
      <c r="B60" s="696">
        <v>74</v>
      </c>
      <c r="C60" s="668" t="s">
        <v>458</v>
      </c>
      <c r="D60" s="682">
        <v>8650890043</v>
      </c>
      <c r="E60" s="682">
        <v>8650890043</v>
      </c>
      <c r="F60" s="682">
        <v>8650890043</v>
      </c>
      <c r="G60" s="682">
        <v>8650890043</v>
      </c>
      <c r="H60" s="682">
        <v>8650890043</v>
      </c>
      <c r="I60" s="682">
        <v>8650890043</v>
      </c>
      <c r="J60" s="682">
        <v>8650890043</v>
      </c>
      <c r="K60" s="682">
        <v>8650890043</v>
      </c>
      <c r="L60" s="682">
        <v>8650890043</v>
      </c>
      <c r="M60" s="682">
        <v>8650890043</v>
      </c>
      <c r="N60" s="682">
        <v>8650890043</v>
      </c>
      <c r="O60" s="682">
        <v>8650890043</v>
      </c>
    </row>
    <row r="61" spans="1:15">
      <c r="A61" s="667"/>
      <c r="B61" s="696">
        <v>75</v>
      </c>
      <c r="C61" s="668" t="s">
        <v>459</v>
      </c>
      <c r="D61" s="682"/>
      <c r="E61" s="683"/>
      <c r="F61" s="683"/>
      <c r="G61" s="683"/>
      <c r="H61" s="683"/>
      <c r="I61" s="683"/>
      <c r="J61" s="683"/>
      <c r="K61" s="683"/>
      <c r="L61" s="683"/>
      <c r="M61" s="683"/>
      <c r="N61" s="683"/>
      <c r="O61" s="683"/>
    </row>
    <row r="62" spans="1:15">
      <c r="A62" s="667"/>
      <c r="B62" s="696">
        <v>76</v>
      </c>
      <c r="C62" s="668" t="s">
        <v>460</v>
      </c>
      <c r="D62" s="682"/>
      <c r="E62" s="683"/>
      <c r="F62" s="683"/>
      <c r="G62" s="683"/>
      <c r="H62" s="683"/>
      <c r="I62" s="683"/>
      <c r="J62" s="683"/>
      <c r="K62" s="683"/>
      <c r="L62" s="683"/>
      <c r="M62" s="683"/>
      <c r="N62" s="683"/>
      <c r="O62" s="683"/>
    </row>
    <row r="63" spans="1:15" ht="15" thickBot="1">
      <c r="A63" s="667"/>
      <c r="B63" s="699">
        <v>77</v>
      </c>
      <c r="C63" s="673" t="s">
        <v>461</v>
      </c>
      <c r="D63" s="688"/>
      <c r="E63" s="689"/>
      <c r="F63" s="689"/>
      <c r="G63" s="689"/>
      <c r="H63" s="689"/>
      <c r="I63" s="689"/>
      <c r="J63" s="689"/>
      <c r="K63" s="689"/>
      <c r="L63" s="689"/>
      <c r="M63" s="689"/>
      <c r="N63" s="689"/>
      <c r="O63" s="689"/>
    </row>
    <row r="64" spans="1:15" ht="15" thickBot="1">
      <c r="A64" s="674"/>
      <c r="B64" s="700"/>
      <c r="C64" s="674" t="s">
        <v>462</v>
      </c>
      <c r="D64" s="690">
        <v>1692902345387.626</v>
      </c>
      <c r="E64" s="690">
        <v>1726732325359.6299</v>
      </c>
      <c r="F64" s="690">
        <v>1773762196188.2751</v>
      </c>
      <c r="G64" s="690">
        <v>1834884037276.8306</v>
      </c>
      <c r="H64" s="690">
        <v>1836468389137.5723</v>
      </c>
      <c r="I64" s="690">
        <v>1862475803298.3633</v>
      </c>
      <c r="J64" s="690">
        <v>1846519846994.686</v>
      </c>
      <c r="K64" s="690">
        <v>1845391146354.748</v>
      </c>
      <c r="L64" s="690">
        <v>1842944966164.4766</v>
      </c>
      <c r="M64" s="690">
        <v>1844942220443.7805</v>
      </c>
      <c r="N64" s="690">
        <v>1830875045261.2856</v>
      </c>
      <c r="O64" s="690">
        <v>1872766834052.74</v>
      </c>
    </row>
    <row r="65" spans="1:15">
      <c r="A65" s="663"/>
      <c r="B65" s="701"/>
      <c r="C65" s="675" t="s">
        <v>463</v>
      </c>
      <c r="D65" s="691">
        <v>809327668763.86096</v>
      </c>
      <c r="E65" s="692">
        <v>844482752378.51453</v>
      </c>
      <c r="F65" s="692">
        <v>886449043395.12268</v>
      </c>
      <c r="G65" s="692">
        <v>944583096747.62231</v>
      </c>
      <c r="H65" s="692">
        <v>943037156724.57935</v>
      </c>
      <c r="I65" s="692">
        <v>966212798244.78577</v>
      </c>
      <c r="J65" s="692">
        <v>942906539537.92456</v>
      </c>
      <c r="K65" s="692">
        <v>935055830877.97253</v>
      </c>
      <c r="L65" s="692">
        <v>926500402402.52673</v>
      </c>
      <c r="M65" s="692">
        <v>921831993902.08057</v>
      </c>
      <c r="N65" s="692">
        <v>900642140789.76953</v>
      </c>
      <c r="O65" s="692">
        <v>937242480573.74866</v>
      </c>
    </row>
    <row r="66" spans="1:15">
      <c r="A66" s="665"/>
      <c r="B66" s="695"/>
      <c r="C66" s="666" t="s">
        <v>464</v>
      </c>
      <c r="D66" s="680">
        <v>361297785977.15735</v>
      </c>
      <c r="E66" s="681">
        <v>400041346272.81091</v>
      </c>
      <c r="F66" s="681">
        <v>462989819970.41907</v>
      </c>
      <c r="G66" s="681">
        <v>454583471395.91864</v>
      </c>
      <c r="H66" s="681">
        <v>456626008053.87567</v>
      </c>
      <c r="I66" s="681">
        <v>500783832255.08209</v>
      </c>
      <c r="J66" s="681">
        <v>478995171621.22089</v>
      </c>
      <c r="K66" s="681">
        <v>474732939642.2688</v>
      </c>
      <c r="L66" s="681">
        <v>487159693847.823</v>
      </c>
      <c r="M66" s="681">
        <v>484008883420.37671</v>
      </c>
      <c r="N66" s="681">
        <v>466407506989.0658</v>
      </c>
      <c r="O66" s="681">
        <v>523990029454.04486</v>
      </c>
    </row>
    <row r="67" spans="1:15">
      <c r="A67" s="667"/>
      <c r="B67" s="696">
        <v>81</v>
      </c>
      <c r="C67" s="668" t="s">
        <v>465</v>
      </c>
      <c r="D67" s="682">
        <v>38160801538.157364</v>
      </c>
      <c r="E67" s="683">
        <v>39355904902.810913</v>
      </c>
      <c r="F67" s="683">
        <v>41295026709.419067</v>
      </c>
      <c r="G67" s="683">
        <v>38705436110.918625</v>
      </c>
      <c r="H67" s="683">
        <v>40925230281.875648</v>
      </c>
      <c r="I67" s="683">
        <v>41683054483.0821</v>
      </c>
      <c r="J67" s="683">
        <v>40994393849.220871</v>
      </c>
      <c r="K67" s="683">
        <v>39732161870.268814</v>
      </c>
      <c r="L67" s="683">
        <v>42158916075.822983</v>
      </c>
      <c r="M67" s="683">
        <v>39008105648.376717</v>
      </c>
      <c r="N67" s="683">
        <v>41406729217.065758</v>
      </c>
      <c r="O67" s="683">
        <v>42006696071.576775</v>
      </c>
    </row>
    <row r="68" spans="1:15">
      <c r="A68" s="667"/>
      <c r="B68" s="696">
        <v>82</v>
      </c>
      <c r="C68" s="668" t="s">
        <v>466</v>
      </c>
      <c r="D68" s="682">
        <v>5995670638</v>
      </c>
      <c r="E68" s="682">
        <v>5995670638</v>
      </c>
      <c r="F68" s="682">
        <v>5995670638</v>
      </c>
      <c r="G68" s="682">
        <v>5995670638</v>
      </c>
      <c r="H68" s="682">
        <v>5995670638</v>
      </c>
      <c r="I68" s="682">
        <v>5995670638</v>
      </c>
      <c r="J68" s="682">
        <v>5995670638</v>
      </c>
      <c r="K68" s="682">
        <v>5995670638</v>
      </c>
      <c r="L68" s="682">
        <v>5995670638</v>
      </c>
      <c r="M68" s="682">
        <v>5995670638</v>
      </c>
      <c r="N68" s="682">
        <v>5995670638</v>
      </c>
      <c r="O68" s="682">
        <v>5995670638</v>
      </c>
    </row>
    <row r="69" spans="1:15">
      <c r="A69" s="667"/>
      <c r="B69" s="696">
        <v>84</v>
      </c>
      <c r="C69" s="668" t="s">
        <v>467</v>
      </c>
      <c r="D69" s="682">
        <v>3074628856</v>
      </c>
      <c r="E69" s="682">
        <v>3074628856</v>
      </c>
      <c r="F69" s="682">
        <v>3074628856</v>
      </c>
      <c r="G69" s="682">
        <v>3074628856</v>
      </c>
      <c r="H69" s="682">
        <v>3074628856</v>
      </c>
      <c r="I69" s="682">
        <v>3074628856</v>
      </c>
      <c r="J69" s="682">
        <v>3074628856</v>
      </c>
      <c r="K69" s="682">
        <v>3074628856</v>
      </c>
      <c r="L69" s="682">
        <v>3074628856</v>
      </c>
      <c r="M69" s="682">
        <v>3074628856</v>
      </c>
      <c r="N69" s="682">
        <v>3074628856</v>
      </c>
      <c r="O69" s="682">
        <v>3074628856</v>
      </c>
    </row>
    <row r="70" spans="1:15">
      <c r="A70" s="667"/>
      <c r="B70" s="696">
        <v>85</v>
      </c>
      <c r="C70" s="668" t="s">
        <v>468</v>
      </c>
      <c r="D70" s="682">
        <v>9132322907</v>
      </c>
      <c r="E70" s="682">
        <v>9132322907</v>
      </c>
      <c r="F70" s="682">
        <v>9132322907</v>
      </c>
      <c r="G70" s="682">
        <v>9132322907</v>
      </c>
      <c r="H70" s="682">
        <v>9132322907</v>
      </c>
      <c r="I70" s="682">
        <v>9132322907</v>
      </c>
      <c r="J70" s="682">
        <v>9132322907</v>
      </c>
      <c r="K70" s="682">
        <v>9132322907</v>
      </c>
      <c r="L70" s="682">
        <v>9132322907</v>
      </c>
      <c r="M70" s="682">
        <v>9132322907</v>
      </c>
      <c r="N70" s="682">
        <v>9132322907</v>
      </c>
      <c r="O70" s="682">
        <v>9132322907</v>
      </c>
    </row>
    <row r="71" spans="1:15">
      <c r="A71" s="667"/>
      <c r="B71" s="696">
        <v>86</v>
      </c>
      <c r="C71" s="668" t="s">
        <v>469</v>
      </c>
      <c r="D71" s="682">
        <v>4328544862</v>
      </c>
      <c r="E71" s="682">
        <v>4328544862</v>
      </c>
      <c r="F71" s="682">
        <v>4328544862</v>
      </c>
      <c r="G71" s="682">
        <v>4328544862</v>
      </c>
      <c r="H71" s="682">
        <v>4328544862</v>
      </c>
      <c r="I71" s="682">
        <v>4328544862</v>
      </c>
      <c r="J71" s="682">
        <v>4328544862</v>
      </c>
      <c r="K71" s="682">
        <v>4328544862</v>
      </c>
      <c r="L71" s="682">
        <v>4328544862</v>
      </c>
      <c r="M71" s="682">
        <v>4328544862</v>
      </c>
      <c r="N71" s="682">
        <v>4328544862</v>
      </c>
      <c r="O71" s="682">
        <v>4328544862</v>
      </c>
    </row>
    <row r="72" spans="1:15">
      <c r="A72" s="667"/>
      <c r="B72" s="696">
        <v>87</v>
      </c>
      <c r="C72" s="668" t="s">
        <v>470</v>
      </c>
      <c r="D72" s="682">
        <v>0</v>
      </c>
      <c r="E72" s="682">
        <v>0</v>
      </c>
      <c r="F72" s="682">
        <v>0</v>
      </c>
      <c r="G72" s="682">
        <v>0</v>
      </c>
      <c r="H72" s="682">
        <v>0</v>
      </c>
      <c r="I72" s="682">
        <v>0</v>
      </c>
      <c r="J72" s="682">
        <v>0</v>
      </c>
      <c r="K72" s="682">
        <v>0</v>
      </c>
      <c r="L72" s="682">
        <v>0</v>
      </c>
      <c r="M72" s="682">
        <v>0</v>
      </c>
      <c r="N72" s="682">
        <v>0</v>
      </c>
      <c r="O72" s="682">
        <v>0</v>
      </c>
    </row>
    <row r="73" spans="1:15">
      <c r="A73" s="667"/>
      <c r="B73" s="696">
        <v>88</v>
      </c>
      <c r="C73" s="668" t="s">
        <v>471</v>
      </c>
      <c r="D73" s="682">
        <v>0</v>
      </c>
      <c r="E73" s="682">
        <v>0</v>
      </c>
      <c r="F73" s="682">
        <v>0</v>
      </c>
      <c r="G73" s="682">
        <v>0</v>
      </c>
      <c r="H73" s="682">
        <v>0</v>
      </c>
      <c r="I73" s="682">
        <v>0</v>
      </c>
      <c r="J73" s="682">
        <v>0</v>
      </c>
      <c r="K73" s="682">
        <v>0</v>
      </c>
      <c r="L73" s="682">
        <v>0</v>
      </c>
      <c r="M73" s="682">
        <v>0</v>
      </c>
      <c r="N73" s="682">
        <v>0</v>
      </c>
      <c r="O73" s="682">
        <v>0</v>
      </c>
    </row>
    <row r="74" spans="1:15">
      <c r="A74" s="667"/>
      <c r="B74" s="696">
        <v>89</v>
      </c>
      <c r="C74" s="668" t="s">
        <v>472</v>
      </c>
      <c r="D74" s="682">
        <v>0</v>
      </c>
      <c r="E74" s="682">
        <v>0</v>
      </c>
      <c r="F74" s="682">
        <v>0</v>
      </c>
      <c r="G74" s="682">
        <v>0</v>
      </c>
      <c r="H74" s="682">
        <v>0</v>
      </c>
      <c r="I74" s="682">
        <v>0</v>
      </c>
      <c r="J74" s="682">
        <v>0</v>
      </c>
      <c r="K74" s="682">
        <v>0</v>
      </c>
      <c r="L74" s="682">
        <v>0</v>
      </c>
      <c r="M74" s="682">
        <v>0</v>
      </c>
      <c r="N74" s="682">
        <v>0</v>
      </c>
      <c r="O74" s="682">
        <v>0</v>
      </c>
    </row>
    <row r="75" spans="1:15">
      <c r="A75" s="672" t="s">
        <v>473</v>
      </c>
      <c r="B75" s="696">
        <v>90</v>
      </c>
      <c r="C75" s="668" t="s">
        <v>474</v>
      </c>
      <c r="D75" s="682">
        <v>5090463265</v>
      </c>
      <c r="E75" s="682">
        <v>5090463265</v>
      </c>
      <c r="F75" s="682">
        <v>5090463265</v>
      </c>
      <c r="G75" s="682">
        <v>5090463265</v>
      </c>
      <c r="H75" s="682">
        <v>5090463265</v>
      </c>
      <c r="I75" s="682">
        <v>5090463265</v>
      </c>
      <c r="J75" s="682">
        <v>5090463265</v>
      </c>
      <c r="K75" s="682">
        <v>5090463265</v>
      </c>
      <c r="L75" s="682">
        <v>5090463265</v>
      </c>
      <c r="M75" s="682">
        <v>5090463265</v>
      </c>
      <c r="N75" s="682">
        <v>5090463265</v>
      </c>
      <c r="O75" s="682">
        <v>5090463265</v>
      </c>
    </row>
    <row r="76" spans="1:15">
      <c r="A76" s="667"/>
      <c r="B76" s="696">
        <v>91</v>
      </c>
      <c r="C76" s="668" t="s">
        <v>475</v>
      </c>
      <c r="D76" s="682">
        <v>294078721445</v>
      </c>
      <c r="E76" s="683">
        <v>331627178376</v>
      </c>
      <c r="F76" s="683">
        <v>392636530267</v>
      </c>
      <c r="G76" s="683">
        <v>386819772291</v>
      </c>
      <c r="H76" s="683">
        <v>386642514778</v>
      </c>
      <c r="I76" s="683">
        <v>430042514778</v>
      </c>
      <c r="J76" s="683">
        <v>408942514778</v>
      </c>
      <c r="K76" s="683">
        <v>405942514778</v>
      </c>
      <c r="L76" s="683">
        <v>415942514778</v>
      </c>
      <c r="M76" s="683">
        <v>415942514778</v>
      </c>
      <c r="N76" s="683">
        <v>395942514778</v>
      </c>
      <c r="O76" s="683">
        <v>452925070388.46808</v>
      </c>
    </row>
    <row r="77" spans="1:15">
      <c r="A77" s="667"/>
      <c r="B77" s="696">
        <v>92</v>
      </c>
      <c r="C77" s="668" t="s">
        <v>476</v>
      </c>
      <c r="D77" s="682"/>
      <c r="E77" s="683"/>
      <c r="F77" s="683"/>
      <c r="G77" s="683"/>
      <c r="H77" s="683"/>
      <c r="I77" s="683"/>
      <c r="J77" s="683"/>
      <c r="K77" s="683"/>
      <c r="L77" s="683"/>
      <c r="M77" s="683"/>
      <c r="N77" s="683"/>
      <c r="O77" s="683"/>
    </row>
    <row r="78" spans="1:15">
      <c r="A78" s="667"/>
      <c r="B78" s="696">
        <v>93</v>
      </c>
      <c r="C78" s="668" t="s">
        <v>477</v>
      </c>
      <c r="D78" s="682">
        <v>1436632466</v>
      </c>
      <c r="E78" s="682">
        <v>1436632466</v>
      </c>
      <c r="F78" s="682">
        <v>1436632466</v>
      </c>
      <c r="G78" s="682">
        <v>1436632466</v>
      </c>
      <c r="H78" s="682">
        <v>1436632466</v>
      </c>
      <c r="I78" s="682">
        <v>1436632466</v>
      </c>
      <c r="J78" s="682">
        <v>1436632466</v>
      </c>
      <c r="K78" s="682">
        <v>1436632466</v>
      </c>
      <c r="L78" s="682">
        <v>1436632466</v>
      </c>
      <c r="M78" s="682">
        <v>1436632466</v>
      </c>
      <c r="N78" s="682">
        <v>1436632466</v>
      </c>
      <c r="O78" s="682">
        <v>1436632466</v>
      </c>
    </row>
    <row r="79" spans="1:15">
      <c r="A79" s="667"/>
      <c r="B79" s="696">
        <v>94</v>
      </c>
      <c r="C79" s="668" t="s">
        <v>478</v>
      </c>
      <c r="D79" s="682"/>
      <c r="E79" s="683"/>
      <c r="F79" s="683"/>
      <c r="G79" s="683"/>
      <c r="H79" s="683"/>
      <c r="I79" s="683"/>
      <c r="J79" s="683"/>
      <c r="K79" s="683"/>
      <c r="L79" s="683"/>
      <c r="M79" s="683"/>
      <c r="N79" s="683"/>
      <c r="O79" s="683"/>
    </row>
    <row r="80" spans="1:15">
      <c r="A80" s="667"/>
      <c r="B80" s="696">
        <v>95</v>
      </c>
      <c r="C80" s="668" t="s">
        <v>479</v>
      </c>
      <c r="D80" s="682"/>
      <c r="E80" s="683"/>
      <c r="F80" s="683"/>
      <c r="G80" s="683"/>
      <c r="H80" s="683"/>
      <c r="I80" s="683"/>
      <c r="J80" s="683"/>
      <c r="K80" s="683"/>
      <c r="L80" s="683"/>
      <c r="M80" s="683"/>
      <c r="N80" s="683"/>
      <c r="O80" s="683"/>
    </row>
    <row r="81" spans="1:15">
      <c r="A81" s="665"/>
      <c r="B81" s="695"/>
      <c r="C81" s="666" t="s">
        <v>480</v>
      </c>
      <c r="D81" s="680">
        <v>448029882786.70361</v>
      </c>
      <c r="E81" s="681">
        <v>444441406105.70361</v>
      </c>
      <c r="F81" s="681">
        <v>423459223424.70361</v>
      </c>
      <c r="G81" s="681">
        <v>489999625351.70361</v>
      </c>
      <c r="H81" s="681">
        <v>486411148670.70361</v>
      </c>
      <c r="I81" s="681">
        <v>465428965989.70367</v>
      </c>
      <c r="J81" s="681">
        <v>463911367916.70367</v>
      </c>
      <c r="K81" s="681">
        <v>460322891235.70374</v>
      </c>
      <c r="L81" s="681">
        <v>439340708554.70374</v>
      </c>
      <c r="M81" s="681">
        <v>437823110481.7038</v>
      </c>
      <c r="N81" s="681">
        <v>434234633800.7038</v>
      </c>
      <c r="O81" s="681">
        <v>413252451119.7038</v>
      </c>
    </row>
    <row r="82" spans="1:15">
      <c r="A82" s="667"/>
      <c r="B82" s="696">
        <v>97</v>
      </c>
      <c r="C82" s="668" t="s">
        <v>481</v>
      </c>
      <c r="D82" s="682"/>
      <c r="E82" s="683"/>
      <c r="F82" s="683"/>
      <c r="G82" s="683"/>
      <c r="H82" s="683"/>
      <c r="I82" s="683"/>
      <c r="J82" s="683"/>
      <c r="K82" s="683"/>
      <c r="L82" s="683"/>
      <c r="M82" s="683"/>
      <c r="N82" s="683"/>
      <c r="O82" s="683"/>
    </row>
    <row r="83" spans="1:15">
      <c r="A83" s="667"/>
      <c r="B83" s="696">
        <v>98</v>
      </c>
      <c r="C83" s="668" t="s">
        <v>482</v>
      </c>
      <c r="D83" s="682"/>
      <c r="E83" s="683"/>
      <c r="F83" s="683"/>
      <c r="G83" s="683"/>
      <c r="H83" s="683"/>
      <c r="I83" s="683"/>
      <c r="J83" s="683"/>
      <c r="K83" s="683"/>
      <c r="L83" s="683"/>
      <c r="M83" s="683"/>
      <c r="N83" s="683"/>
      <c r="O83" s="683"/>
    </row>
    <row r="84" spans="1:15">
      <c r="A84" s="667"/>
      <c r="B84" s="696">
        <v>100</v>
      </c>
      <c r="C84" s="668" t="s">
        <v>483</v>
      </c>
      <c r="D84" s="682"/>
      <c r="E84" s="683"/>
      <c r="F84" s="683"/>
      <c r="G84" s="683"/>
      <c r="H84" s="683"/>
      <c r="I84" s="683"/>
      <c r="J84" s="683"/>
      <c r="K84" s="683"/>
      <c r="L84" s="683"/>
      <c r="M84" s="683"/>
      <c r="N84" s="683"/>
      <c r="O84" s="683"/>
    </row>
    <row r="85" spans="1:15">
      <c r="A85" s="667"/>
      <c r="B85" s="696">
        <v>101</v>
      </c>
      <c r="C85" s="668" t="s">
        <v>484</v>
      </c>
      <c r="D85" s="682"/>
      <c r="E85" s="683"/>
      <c r="F85" s="683"/>
      <c r="G85" s="683"/>
      <c r="H85" s="683"/>
      <c r="I85" s="683"/>
      <c r="J85" s="683"/>
      <c r="K85" s="683"/>
      <c r="L85" s="683"/>
      <c r="M85" s="683"/>
      <c r="N85" s="683"/>
      <c r="O85" s="683"/>
    </row>
    <row r="86" spans="1:15">
      <c r="A86" s="667"/>
      <c r="B86" s="696">
        <v>102</v>
      </c>
      <c r="C86" s="668" t="s">
        <v>485</v>
      </c>
      <c r="D86" s="682"/>
      <c r="E86" s="683"/>
      <c r="F86" s="683"/>
      <c r="G86" s="683"/>
      <c r="H86" s="683"/>
      <c r="I86" s="683"/>
      <c r="J86" s="683"/>
      <c r="K86" s="683"/>
      <c r="L86" s="683"/>
      <c r="M86" s="683"/>
      <c r="N86" s="683"/>
      <c r="O86" s="683"/>
    </row>
    <row r="87" spans="1:15">
      <c r="A87" s="667"/>
      <c r="B87" s="696">
        <v>103</v>
      </c>
      <c r="C87" s="668" t="s">
        <v>486</v>
      </c>
      <c r="D87" s="682"/>
      <c r="E87" s="683"/>
      <c r="F87" s="683"/>
      <c r="G87" s="683"/>
      <c r="H87" s="683"/>
      <c r="I87" s="683"/>
      <c r="J87" s="683"/>
      <c r="K87" s="683"/>
      <c r="L87" s="683"/>
      <c r="M87" s="683"/>
      <c r="N87" s="683"/>
      <c r="O87" s="683"/>
    </row>
    <row r="88" spans="1:15">
      <c r="A88" s="672" t="s">
        <v>487</v>
      </c>
      <c r="B88" s="696">
        <v>104</v>
      </c>
      <c r="C88" s="668" t="s">
        <v>488</v>
      </c>
      <c r="D88" s="682">
        <v>200000000000</v>
      </c>
      <c r="E88" s="683">
        <v>200000000000</v>
      </c>
      <c r="F88" s="683">
        <v>183333000000</v>
      </c>
      <c r="G88" s="683">
        <v>183333000000</v>
      </c>
      <c r="H88" s="683">
        <v>183333000000</v>
      </c>
      <c r="I88" s="683">
        <v>166666000000</v>
      </c>
      <c r="J88" s="683">
        <v>166666000000</v>
      </c>
      <c r="K88" s="683">
        <v>166666000000</v>
      </c>
      <c r="L88" s="683">
        <v>149999000000</v>
      </c>
      <c r="M88" s="683">
        <v>149999000000</v>
      </c>
      <c r="N88" s="683">
        <v>149999000000</v>
      </c>
      <c r="O88" s="683">
        <v>133332000000</v>
      </c>
    </row>
    <row r="89" spans="1:15">
      <c r="A89" s="667"/>
      <c r="B89" s="696">
        <v>105</v>
      </c>
      <c r="C89" s="668" t="s">
        <v>489</v>
      </c>
      <c r="D89" s="682">
        <v>248029882786.70364</v>
      </c>
      <c r="E89" s="683">
        <v>244441406105.70364</v>
      </c>
      <c r="F89" s="683">
        <v>240126223424.70364</v>
      </c>
      <c r="G89" s="683">
        <v>306666625351.70361</v>
      </c>
      <c r="H89" s="683">
        <v>303078148670.70361</v>
      </c>
      <c r="I89" s="683">
        <v>298762965989.70367</v>
      </c>
      <c r="J89" s="683">
        <v>297245367916.70367</v>
      </c>
      <c r="K89" s="683">
        <v>293656891235.70374</v>
      </c>
      <c r="L89" s="683">
        <v>289341708554.70374</v>
      </c>
      <c r="M89" s="683">
        <v>287824110481.7038</v>
      </c>
      <c r="N89" s="683">
        <v>284235633800.7038</v>
      </c>
      <c r="O89" s="683">
        <v>279920451119.7038</v>
      </c>
    </row>
    <row r="90" spans="1:15">
      <c r="A90" s="667"/>
      <c r="B90" s="696">
        <v>106</v>
      </c>
      <c r="C90" s="668" t="s">
        <v>490</v>
      </c>
      <c r="D90" s="682"/>
      <c r="E90" s="683"/>
      <c r="F90" s="683"/>
      <c r="G90" s="683"/>
      <c r="H90" s="683"/>
      <c r="I90" s="683"/>
      <c r="J90" s="683"/>
      <c r="K90" s="683"/>
      <c r="L90" s="683"/>
      <c r="M90" s="683"/>
      <c r="N90" s="683"/>
      <c r="O90" s="683"/>
    </row>
    <row r="91" spans="1:15">
      <c r="A91" s="667"/>
      <c r="B91" s="696">
        <v>107</v>
      </c>
      <c r="C91" s="668" t="s">
        <v>491</v>
      </c>
      <c r="D91" s="682"/>
      <c r="E91" s="683"/>
      <c r="F91" s="683"/>
      <c r="G91" s="683"/>
      <c r="H91" s="683"/>
      <c r="I91" s="683"/>
      <c r="J91" s="683"/>
      <c r="K91" s="683"/>
      <c r="L91" s="683"/>
      <c r="M91" s="683"/>
      <c r="N91" s="683"/>
      <c r="O91" s="683"/>
    </row>
    <row r="92" spans="1:15">
      <c r="A92" s="667"/>
      <c r="B92" s="696">
        <v>108</v>
      </c>
      <c r="C92" s="668" t="s">
        <v>492</v>
      </c>
      <c r="D92" s="682"/>
      <c r="E92" s="683"/>
      <c r="F92" s="683"/>
      <c r="G92" s="683"/>
      <c r="H92" s="683"/>
      <c r="I92" s="683"/>
      <c r="J92" s="683"/>
      <c r="K92" s="683"/>
      <c r="L92" s="683"/>
      <c r="M92" s="683"/>
      <c r="N92" s="683"/>
      <c r="O92" s="683"/>
    </row>
    <row r="93" spans="1:15">
      <c r="A93" s="667"/>
      <c r="B93" s="696">
        <v>109</v>
      </c>
      <c r="C93" s="668" t="s">
        <v>493</v>
      </c>
      <c r="D93" s="682"/>
      <c r="E93" s="683"/>
      <c r="F93" s="683"/>
      <c r="G93" s="683"/>
      <c r="H93" s="683"/>
      <c r="I93" s="683"/>
      <c r="J93" s="683"/>
      <c r="K93" s="683"/>
      <c r="L93" s="683"/>
      <c r="M93" s="683"/>
      <c r="N93" s="683"/>
      <c r="O93" s="683"/>
    </row>
    <row r="94" spans="1:15">
      <c r="A94" s="667"/>
      <c r="B94" s="696">
        <v>110</v>
      </c>
      <c r="C94" s="668" t="s">
        <v>494</v>
      </c>
      <c r="D94" s="682"/>
      <c r="E94" s="683"/>
      <c r="F94" s="683"/>
      <c r="G94" s="683"/>
      <c r="H94" s="683"/>
      <c r="I94" s="683"/>
      <c r="J94" s="683"/>
      <c r="K94" s="683"/>
      <c r="L94" s="683"/>
      <c r="M94" s="683"/>
      <c r="N94" s="683"/>
      <c r="O94" s="683"/>
    </row>
    <row r="95" spans="1:15">
      <c r="A95" s="663"/>
      <c r="B95" s="697"/>
      <c r="C95" s="669" t="s">
        <v>495</v>
      </c>
      <c r="D95" s="684">
        <v>883574676623.76514</v>
      </c>
      <c r="E95" s="685">
        <v>882249572981.11523</v>
      </c>
      <c r="F95" s="685">
        <v>887313152793.15259</v>
      </c>
      <c r="G95" s="685">
        <v>890300940529.20837</v>
      </c>
      <c r="H95" s="685">
        <v>893431232412.99292</v>
      </c>
      <c r="I95" s="685">
        <v>896263005053.57776</v>
      </c>
      <c r="J95" s="685">
        <v>903613307456.76135</v>
      </c>
      <c r="K95" s="685">
        <v>910335315476.77563</v>
      </c>
      <c r="L95" s="685">
        <v>916444563761.94971</v>
      </c>
      <c r="M95" s="685">
        <v>923110226541.70032</v>
      </c>
      <c r="N95" s="685">
        <v>930232904471.51611</v>
      </c>
      <c r="O95" s="685">
        <v>935524353478.9917</v>
      </c>
    </row>
    <row r="96" spans="1:15">
      <c r="A96" s="665"/>
      <c r="B96" s="695"/>
      <c r="C96" s="666" t="s">
        <v>496</v>
      </c>
      <c r="D96" s="680">
        <v>883574676623.76514</v>
      </c>
      <c r="E96" s="681">
        <v>882249572981.11523</v>
      </c>
      <c r="F96" s="681">
        <v>887313152793.15259</v>
      </c>
      <c r="G96" s="681">
        <v>890300940529.20837</v>
      </c>
      <c r="H96" s="681">
        <v>893431232412.99292</v>
      </c>
      <c r="I96" s="681">
        <v>896263005053.57776</v>
      </c>
      <c r="J96" s="681">
        <v>903613307456.76135</v>
      </c>
      <c r="K96" s="681">
        <v>910335315476.77563</v>
      </c>
      <c r="L96" s="681">
        <v>916444563761.94971</v>
      </c>
      <c r="M96" s="681">
        <v>923110226541.70032</v>
      </c>
      <c r="N96" s="681">
        <v>930232904471.51611</v>
      </c>
      <c r="O96" s="681">
        <v>935524353478.9917</v>
      </c>
    </row>
    <row r="97" spans="1:15">
      <c r="A97" s="667"/>
      <c r="B97" s="696"/>
      <c r="C97" s="668" t="s">
        <v>497</v>
      </c>
      <c r="D97" s="682">
        <v>650000000000</v>
      </c>
      <c r="E97" s="683">
        <v>650000000000</v>
      </c>
      <c r="F97" s="683">
        <v>650000000000</v>
      </c>
      <c r="G97" s="683">
        <v>650000000000</v>
      </c>
      <c r="H97" s="683">
        <v>650000000000</v>
      </c>
      <c r="I97" s="683">
        <v>650000000000</v>
      </c>
      <c r="J97" s="683">
        <v>650000000000</v>
      </c>
      <c r="K97" s="683">
        <v>650000000000</v>
      </c>
      <c r="L97" s="683">
        <v>650000000000</v>
      </c>
      <c r="M97" s="683">
        <v>650000000000</v>
      </c>
      <c r="N97" s="683">
        <v>650000000000</v>
      </c>
      <c r="O97" s="683">
        <v>650000000000</v>
      </c>
    </row>
    <row r="98" spans="1:15">
      <c r="A98" s="670"/>
      <c r="B98" s="698">
        <v>113</v>
      </c>
      <c r="C98" s="671" t="s">
        <v>498</v>
      </c>
      <c r="D98" s="686">
        <v>650000000000</v>
      </c>
      <c r="E98" s="687">
        <v>650000000000</v>
      </c>
      <c r="F98" s="687">
        <v>650000000000</v>
      </c>
      <c r="G98" s="687">
        <v>650000000000</v>
      </c>
      <c r="H98" s="687">
        <v>650000000000</v>
      </c>
      <c r="I98" s="687">
        <v>650000000000</v>
      </c>
      <c r="J98" s="687">
        <v>650000000000</v>
      </c>
      <c r="K98" s="687">
        <v>650000000000</v>
      </c>
      <c r="L98" s="687">
        <v>650000000000</v>
      </c>
      <c r="M98" s="687">
        <v>650000000000</v>
      </c>
      <c r="N98" s="687">
        <v>650000000000</v>
      </c>
      <c r="O98" s="687">
        <v>650000000000</v>
      </c>
    </row>
    <row r="99" spans="1:15">
      <c r="A99" s="670"/>
      <c r="B99" s="698">
        <v>114</v>
      </c>
      <c r="C99" s="671" t="s">
        <v>499</v>
      </c>
      <c r="D99" s="686"/>
      <c r="E99" s="687"/>
      <c r="F99" s="687"/>
      <c r="G99" s="687"/>
      <c r="H99" s="687"/>
      <c r="I99" s="687"/>
      <c r="J99" s="687"/>
      <c r="K99" s="687"/>
      <c r="L99" s="687"/>
      <c r="M99" s="687"/>
      <c r="N99" s="687"/>
      <c r="O99" s="687"/>
    </row>
    <row r="100" spans="1:15">
      <c r="A100" s="667"/>
      <c r="B100" s="696">
        <v>115</v>
      </c>
      <c r="C100" s="668" t="s">
        <v>500</v>
      </c>
      <c r="D100" s="682"/>
      <c r="E100" s="683"/>
      <c r="F100" s="683"/>
      <c r="G100" s="683"/>
      <c r="H100" s="683"/>
      <c r="I100" s="683"/>
      <c r="J100" s="683"/>
      <c r="K100" s="683"/>
      <c r="L100" s="683"/>
      <c r="M100" s="683"/>
      <c r="N100" s="683"/>
      <c r="O100" s="683"/>
    </row>
    <row r="101" spans="1:15">
      <c r="A101" s="667"/>
      <c r="B101" s="696">
        <v>116</v>
      </c>
      <c r="C101" s="668" t="s">
        <v>501</v>
      </c>
      <c r="D101" s="682"/>
      <c r="E101" s="683"/>
      <c r="F101" s="683"/>
      <c r="G101" s="683"/>
      <c r="H101" s="683"/>
      <c r="I101" s="683"/>
      <c r="J101" s="683"/>
      <c r="K101" s="683"/>
      <c r="L101" s="683"/>
      <c r="M101" s="683"/>
      <c r="N101" s="683"/>
      <c r="O101" s="683"/>
    </row>
    <row r="102" spans="1:15">
      <c r="A102" s="667"/>
      <c r="B102" s="696">
        <v>117</v>
      </c>
      <c r="C102" s="668" t="s">
        <v>502</v>
      </c>
      <c r="D102" s="682"/>
      <c r="E102" s="683"/>
      <c r="F102" s="683"/>
      <c r="G102" s="683"/>
      <c r="H102" s="683"/>
      <c r="I102" s="683"/>
      <c r="J102" s="683"/>
      <c r="K102" s="683"/>
      <c r="L102" s="683"/>
      <c r="M102" s="683"/>
      <c r="N102" s="683"/>
      <c r="O102" s="683"/>
    </row>
    <row r="103" spans="1:15">
      <c r="A103" s="667"/>
      <c r="B103" s="696">
        <v>118</v>
      </c>
      <c r="C103" s="668" t="s">
        <v>503</v>
      </c>
      <c r="D103" s="682"/>
      <c r="E103" s="683"/>
      <c r="F103" s="683"/>
      <c r="G103" s="683"/>
      <c r="H103" s="683"/>
      <c r="I103" s="683"/>
      <c r="J103" s="683"/>
      <c r="K103" s="683"/>
      <c r="L103" s="683"/>
      <c r="M103" s="683"/>
      <c r="N103" s="683"/>
      <c r="O103" s="683"/>
    </row>
    <row r="104" spans="1:15">
      <c r="A104" s="667"/>
      <c r="B104" s="696">
        <v>119</v>
      </c>
      <c r="C104" s="668" t="s">
        <v>504</v>
      </c>
      <c r="D104" s="682"/>
      <c r="E104" s="683"/>
      <c r="F104" s="683"/>
      <c r="G104" s="683"/>
      <c r="H104" s="683"/>
      <c r="I104" s="683"/>
      <c r="J104" s="683"/>
      <c r="K104" s="683"/>
      <c r="L104" s="683"/>
      <c r="M104" s="683"/>
      <c r="N104" s="683"/>
      <c r="O104" s="683"/>
    </row>
    <row r="105" spans="1:15">
      <c r="A105" s="667"/>
      <c r="B105" s="696">
        <v>120</v>
      </c>
      <c r="C105" s="668" t="s">
        <v>505</v>
      </c>
      <c r="D105" s="682"/>
      <c r="E105" s="683"/>
      <c r="F105" s="683"/>
      <c r="G105" s="683"/>
      <c r="H105" s="683"/>
      <c r="I105" s="683"/>
      <c r="J105" s="683"/>
      <c r="K105" s="683"/>
      <c r="L105" s="683"/>
      <c r="M105" s="683"/>
      <c r="N105" s="683"/>
      <c r="O105" s="683"/>
    </row>
    <row r="106" spans="1:15">
      <c r="A106" s="667"/>
      <c r="B106" s="696">
        <v>121</v>
      </c>
      <c r="C106" s="668" t="s">
        <v>506</v>
      </c>
      <c r="D106" s="682"/>
      <c r="E106" s="683"/>
      <c r="F106" s="683"/>
      <c r="G106" s="683"/>
      <c r="H106" s="683"/>
      <c r="I106" s="683"/>
      <c r="J106" s="683"/>
      <c r="K106" s="683"/>
      <c r="L106" s="683"/>
      <c r="M106" s="683"/>
      <c r="N106" s="683"/>
      <c r="O106" s="683"/>
    </row>
    <row r="107" spans="1:15">
      <c r="A107" s="667"/>
      <c r="B107" s="696">
        <v>122</v>
      </c>
      <c r="C107" s="668" t="s">
        <v>507</v>
      </c>
      <c r="D107" s="682"/>
      <c r="E107" s="683"/>
      <c r="F107" s="683"/>
      <c r="G107" s="683"/>
      <c r="H107" s="683"/>
      <c r="I107" s="683"/>
      <c r="J107" s="683"/>
      <c r="K107" s="683"/>
      <c r="L107" s="683"/>
      <c r="M107" s="683"/>
      <c r="N107" s="683"/>
      <c r="O107" s="683"/>
    </row>
    <row r="108" spans="1:15">
      <c r="A108" s="667"/>
      <c r="B108" s="696">
        <v>122</v>
      </c>
      <c r="C108" s="668" t="s">
        <v>508</v>
      </c>
      <c r="D108" s="682"/>
      <c r="E108" s="683"/>
      <c r="F108" s="683"/>
      <c r="G108" s="683"/>
      <c r="H108" s="683"/>
      <c r="I108" s="683"/>
      <c r="J108" s="683"/>
      <c r="K108" s="683"/>
      <c r="L108" s="683"/>
      <c r="M108" s="683"/>
      <c r="N108" s="683"/>
      <c r="O108" s="683"/>
    </row>
    <row r="109" spans="1:15">
      <c r="A109" s="667"/>
      <c r="B109" s="696"/>
      <c r="C109" s="668" t="s">
        <v>509</v>
      </c>
      <c r="D109" s="682">
        <v>233574676623.76508</v>
      </c>
      <c r="E109" s="683">
        <v>232249572981.1153</v>
      </c>
      <c r="F109" s="683">
        <v>237313152793.15253</v>
      </c>
      <c r="G109" s="683">
        <v>240300940529.20834</v>
      </c>
      <c r="H109" s="683">
        <v>243431232412.99286</v>
      </c>
      <c r="I109" s="683">
        <v>246263005053.57776</v>
      </c>
      <c r="J109" s="683">
        <v>253613307456.76138</v>
      </c>
      <c r="K109" s="683">
        <v>260335315476.7756</v>
      </c>
      <c r="L109" s="683">
        <v>266444563761.94965</v>
      </c>
      <c r="M109" s="683">
        <v>273110226541.70032</v>
      </c>
      <c r="N109" s="683">
        <v>280232904471.51605</v>
      </c>
      <c r="O109" s="683">
        <v>285524353478.99164</v>
      </c>
    </row>
    <row r="110" spans="1:15">
      <c r="A110" s="670"/>
      <c r="B110" s="698">
        <v>124</v>
      </c>
      <c r="C110" s="671" t="s">
        <v>510</v>
      </c>
      <c r="D110" s="686">
        <v>232053581124</v>
      </c>
      <c r="E110" s="687">
        <v>233574676623.76508</v>
      </c>
      <c r="F110" s="687">
        <v>232249572981.1153</v>
      </c>
      <c r="G110" s="687">
        <v>237313152793.15253</v>
      </c>
      <c r="H110" s="687">
        <v>240300940529.20834</v>
      </c>
      <c r="I110" s="687">
        <v>243431232412.99286</v>
      </c>
      <c r="J110" s="687">
        <v>246263005053.57776</v>
      </c>
      <c r="K110" s="687">
        <v>253613307456.76138</v>
      </c>
      <c r="L110" s="687">
        <v>260335315476.7756</v>
      </c>
      <c r="M110" s="687">
        <v>266444563761.94965</v>
      </c>
      <c r="N110" s="687">
        <v>273110226541.70032</v>
      </c>
      <c r="O110" s="687">
        <v>280232904471.51605</v>
      </c>
    </row>
    <row r="111" spans="1:15">
      <c r="A111" s="670"/>
      <c r="B111" s="698">
        <v>125</v>
      </c>
      <c r="C111" s="671" t="s">
        <v>511</v>
      </c>
      <c r="D111" s="686">
        <v>1521095499.7650661</v>
      </c>
      <c r="E111" s="687">
        <v>-1325103642.6497841</v>
      </c>
      <c r="F111" s="687">
        <v>5063579812.0372438</v>
      </c>
      <c r="G111" s="687">
        <v>2987787736.05583</v>
      </c>
      <c r="H111" s="687">
        <v>3130291883.7845154</v>
      </c>
      <c r="I111" s="687">
        <v>2831772640.584898</v>
      </c>
      <c r="J111" s="687">
        <v>7350302403.1836166</v>
      </c>
      <c r="K111" s="687">
        <v>6722008020.0142345</v>
      </c>
      <c r="L111" s="687">
        <v>6109248285.174057</v>
      </c>
      <c r="M111" s="687">
        <v>6665662779.7506657</v>
      </c>
      <c r="N111" s="687">
        <v>7122677929.8157387</v>
      </c>
      <c r="O111" s="687">
        <v>5291449007.4755802</v>
      </c>
    </row>
    <row r="112" spans="1:15">
      <c r="A112" s="667"/>
      <c r="B112" s="696">
        <v>117</v>
      </c>
      <c r="C112" s="668" t="s">
        <v>512</v>
      </c>
      <c r="D112" s="682"/>
      <c r="E112" s="683"/>
      <c r="F112" s="683"/>
      <c r="G112" s="683"/>
      <c r="H112" s="683"/>
      <c r="I112" s="683"/>
      <c r="J112" s="683"/>
      <c r="K112" s="683"/>
      <c r="L112" s="683"/>
      <c r="M112" s="683"/>
      <c r="N112" s="683"/>
      <c r="O112" s="683"/>
    </row>
    <row r="113" spans="1:15">
      <c r="A113" s="665"/>
      <c r="B113" s="695"/>
      <c r="C113" s="666" t="s">
        <v>513</v>
      </c>
      <c r="D113" s="680">
        <v>0</v>
      </c>
      <c r="E113" s="681">
        <v>0</v>
      </c>
      <c r="F113" s="681">
        <v>0</v>
      </c>
      <c r="G113" s="681">
        <v>0</v>
      </c>
      <c r="H113" s="681">
        <v>0</v>
      </c>
      <c r="I113" s="681">
        <v>0</v>
      </c>
      <c r="J113" s="681">
        <v>0</v>
      </c>
      <c r="K113" s="681">
        <v>0</v>
      </c>
      <c r="L113" s="681">
        <v>0</v>
      </c>
      <c r="M113" s="681">
        <v>0</v>
      </c>
      <c r="N113" s="681">
        <v>0</v>
      </c>
      <c r="O113" s="681">
        <v>0</v>
      </c>
    </row>
    <row r="114" spans="1:15">
      <c r="A114" s="667"/>
      <c r="B114" s="696">
        <v>117</v>
      </c>
      <c r="C114" s="668" t="s">
        <v>514</v>
      </c>
      <c r="D114" s="682"/>
      <c r="E114" s="683"/>
      <c r="F114" s="683"/>
      <c r="G114" s="683"/>
      <c r="H114" s="683"/>
      <c r="I114" s="683"/>
      <c r="J114" s="683"/>
      <c r="K114" s="683"/>
      <c r="L114" s="683"/>
      <c r="M114" s="683"/>
      <c r="N114" s="683"/>
      <c r="O114" s="683"/>
    </row>
    <row r="115" spans="1:15" ht="15" thickBot="1">
      <c r="A115" s="667"/>
      <c r="B115" s="699">
        <v>117</v>
      </c>
      <c r="C115" s="673" t="s">
        <v>515</v>
      </c>
      <c r="D115" s="688"/>
      <c r="E115" s="689"/>
      <c r="F115" s="689"/>
      <c r="G115" s="689"/>
      <c r="H115" s="689"/>
      <c r="I115" s="689"/>
      <c r="J115" s="689"/>
      <c r="K115" s="689"/>
      <c r="L115" s="689"/>
      <c r="M115" s="689"/>
      <c r="N115" s="689"/>
      <c r="O115" s="689"/>
    </row>
    <row r="116" spans="1:15" ht="15" thickBot="1">
      <c r="A116" s="674"/>
      <c r="B116" s="700"/>
      <c r="C116" s="674" t="s">
        <v>516</v>
      </c>
      <c r="D116" s="690">
        <v>1692902345387.626</v>
      </c>
      <c r="E116" s="690">
        <v>1726732325359.6299</v>
      </c>
      <c r="F116" s="690">
        <v>1773762196188.2754</v>
      </c>
      <c r="G116" s="690">
        <v>1834884037276.8306</v>
      </c>
      <c r="H116" s="690">
        <v>1836468389137.5723</v>
      </c>
      <c r="I116" s="690">
        <v>1862475803298.3635</v>
      </c>
      <c r="J116" s="690">
        <v>1846519846994.686</v>
      </c>
      <c r="K116" s="690">
        <v>1845391146354.748</v>
      </c>
      <c r="L116" s="690">
        <v>1842944966164.4766</v>
      </c>
      <c r="M116" s="690">
        <v>1844942220443.7808</v>
      </c>
      <c r="N116" s="690">
        <v>1830875045261.2856</v>
      </c>
      <c r="O116" s="690">
        <v>1872766834052.7402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D13D-02B3-425F-8E87-C70451B9A4C3}">
  <dimension ref="A1:X54"/>
  <sheetViews>
    <sheetView showGridLines="0" workbookViewId="0">
      <pane xSplit="6" ySplit="1" topLeftCell="G33" activePane="bottomRight" state="frozen"/>
      <selection pane="topRight" activeCell="F1" sqref="F1"/>
      <selection pane="bottomLeft" activeCell="A2" sqref="A2"/>
      <selection pane="bottomRight" activeCell="G55" sqref="G55"/>
    </sheetView>
  </sheetViews>
  <sheetFormatPr defaultRowHeight="14.5"/>
  <cols>
    <col min="1" max="1" width="18.9140625" bestFit="1" customWidth="1"/>
  </cols>
  <sheetData>
    <row r="1" spans="1:24" ht="16.5">
      <c r="A1" s="693" t="s">
        <v>517</v>
      </c>
      <c r="B1" s="459" t="s">
        <v>211</v>
      </c>
      <c r="C1" s="460"/>
      <c r="D1" s="460"/>
      <c r="E1" s="460"/>
      <c r="F1" s="461"/>
      <c r="G1" s="494">
        <v>2023</v>
      </c>
      <c r="H1" s="494">
        <v>2024</v>
      </c>
      <c r="I1" s="497" t="s">
        <v>253</v>
      </c>
      <c r="J1" s="502" t="s">
        <v>252</v>
      </c>
      <c r="K1" s="492" t="s">
        <v>251</v>
      </c>
      <c r="M1" s="492">
        <v>1</v>
      </c>
      <c r="N1" s="492">
        <v>2</v>
      </c>
      <c r="O1" s="492">
        <v>3</v>
      </c>
      <c r="P1" s="492">
        <v>4</v>
      </c>
      <c r="Q1" s="492">
        <v>5</v>
      </c>
      <c r="R1" s="492">
        <v>6</v>
      </c>
      <c r="S1" s="492">
        <v>7</v>
      </c>
      <c r="T1" s="492">
        <v>8</v>
      </c>
      <c r="U1" s="492">
        <v>9</v>
      </c>
      <c r="V1" s="492">
        <v>10</v>
      </c>
      <c r="W1" s="492">
        <v>11</v>
      </c>
      <c r="X1" s="492">
        <v>12</v>
      </c>
    </row>
    <row r="2" spans="1:24" ht="16.5">
      <c r="B2" s="462" t="s">
        <v>212</v>
      </c>
      <c r="C2" s="463"/>
      <c r="D2" s="463"/>
      <c r="E2" s="464"/>
      <c r="F2" s="465"/>
      <c r="G2" s="503">
        <v>19380683843</v>
      </c>
      <c r="H2" s="503">
        <v>14561484626</v>
      </c>
      <c r="I2" s="504">
        <v>15387383036.881685</v>
      </c>
      <c r="J2" s="505">
        <v>15868532274</v>
      </c>
      <c r="K2" s="506">
        <v>14112489702.89212</v>
      </c>
      <c r="M2" s="536">
        <v>15291175392.568771</v>
      </c>
      <c r="N2" s="536">
        <v>13913718107.933693</v>
      </c>
      <c r="O2" s="536">
        <v>14547848718.855263</v>
      </c>
      <c r="P2" s="536">
        <v>12744772021.829531</v>
      </c>
      <c r="Q2" s="536">
        <v>13158125530.170523</v>
      </c>
      <c r="R2" s="536">
        <v>13478321024.375692</v>
      </c>
      <c r="S2" s="536">
        <v>13891290879.870735</v>
      </c>
      <c r="T2" s="536">
        <v>14154104953.101692</v>
      </c>
      <c r="U2" s="536">
        <v>14400326439.976772</v>
      </c>
      <c r="V2" s="536">
        <v>14854488324.565624</v>
      </c>
      <c r="W2" s="536">
        <v>15114906380.334322</v>
      </c>
      <c r="X2" s="536">
        <v>14112489702.89212</v>
      </c>
    </row>
    <row r="3" spans="1:24" ht="16.5">
      <c r="B3" s="466" t="s">
        <v>213</v>
      </c>
      <c r="C3" s="463"/>
      <c r="D3" s="463"/>
      <c r="E3" s="464"/>
      <c r="F3" s="465"/>
      <c r="G3" s="503">
        <v>7453392869</v>
      </c>
      <c r="H3" s="503">
        <v>11072243110</v>
      </c>
      <c r="I3" s="504">
        <v>12088856275.795015</v>
      </c>
      <c r="J3" s="505">
        <v>12687250220</v>
      </c>
      <c r="K3" s="506">
        <v>5517919367.4326763</v>
      </c>
      <c r="M3" s="536">
        <v>10441894229.637711</v>
      </c>
      <c r="N3" s="536">
        <v>10942123564.282391</v>
      </c>
      <c r="O3" s="536">
        <v>8079985322.2326097</v>
      </c>
      <c r="P3" s="536">
        <v>4827379144.0039339</v>
      </c>
      <c r="Q3" s="536">
        <v>4916117077.3079576</v>
      </c>
      <c r="R3" s="536">
        <v>5231766907.4697647</v>
      </c>
      <c r="S3" s="536">
        <v>5319946021.8064241</v>
      </c>
      <c r="T3" s="536">
        <v>5572570050.3304968</v>
      </c>
      <c r="U3" s="536">
        <v>6134525578.0438528</v>
      </c>
      <c r="V3" s="536">
        <v>6266716464.4586353</v>
      </c>
      <c r="W3" s="536">
        <v>6842754082.4283838</v>
      </c>
      <c r="X3" s="536">
        <v>5517919367.4326763</v>
      </c>
    </row>
    <row r="4" spans="1:24" ht="16.5">
      <c r="A4">
        <v>3</v>
      </c>
      <c r="B4" s="467"/>
      <c r="C4" s="468" t="s">
        <v>213</v>
      </c>
      <c r="D4" s="468"/>
      <c r="E4" s="469"/>
      <c r="F4" s="470"/>
      <c r="G4" s="507">
        <v>7453392869</v>
      </c>
      <c r="H4" s="507">
        <v>11072243110</v>
      </c>
      <c r="I4" s="508">
        <v>12088856275.795015</v>
      </c>
      <c r="J4" s="509">
        <v>12687250220</v>
      </c>
      <c r="K4" s="510">
        <v>5517919367.4326763</v>
      </c>
      <c r="M4" s="541">
        <v>10441894229.637711</v>
      </c>
      <c r="N4" s="541">
        <v>10942123564.282391</v>
      </c>
      <c r="O4" s="541">
        <v>8079985322.2326097</v>
      </c>
      <c r="P4" s="541">
        <v>4827379144.0039339</v>
      </c>
      <c r="Q4" s="541">
        <v>4916117077.3079576</v>
      </c>
      <c r="R4" s="541">
        <v>5231766907.4697647</v>
      </c>
      <c r="S4" s="541">
        <v>5319946021.8064241</v>
      </c>
      <c r="T4" s="541">
        <v>5572570050.3304968</v>
      </c>
      <c r="U4" s="541">
        <v>6134525578.0438528</v>
      </c>
      <c r="V4" s="541">
        <v>6266716464.4586353</v>
      </c>
      <c r="W4" s="541">
        <v>6842754082.4283838</v>
      </c>
      <c r="X4" s="541">
        <v>5517919367.4326763</v>
      </c>
    </row>
    <row r="5" spans="1:24" ht="16.5">
      <c r="A5">
        <v>8</v>
      </c>
      <c r="B5" s="467"/>
      <c r="C5" s="468" t="s">
        <v>214</v>
      </c>
      <c r="D5" s="468"/>
      <c r="E5" s="469"/>
      <c r="F5" s="470"/>
      <c r="G5" s="511"/>
      <c r="H5" s="511"/>
      <c r="I5" s="508"/>
      <c r="J5" s="509"/>
      <c r="K5" s="510">
        <v>0</v>
      </c>
      <c r="M5" s="541"/>
      <c r="N5" s="541"/>
      <c r="O5" s="541"/>
      <c r="P5" s="541"/>
      <c r="Q5" s="541"/>
      <c r="R5" s="541"/>
      <c r="S5" s="541"/>
      <c r="T5" s="541"/>
      <c r="U5" s="541"/>
      <c r="V5" s="541"/>
      <c r="W5" s="541"/>
      <c r="X5" s="541"/>
    </row>
    <row r="6" spans="1:24" ht="16.5">
      <c r="B6" s="466" t="s">
        <v>215</v>
      </c>
      <c r="C6" s="463"/>
      <c r="D6" s="463"/>
      <c r="E6" s="464"/>
      <c r="F6" s="465"/>
      <c r="G6" s="503">
        <v>3160096224</v>
      </c>
      <c r="H6" s="503">
        <v>2415227946</v>
      </c>
      <c r="I6" s="504">
        <v>1594336563.4412167</v>
      </c>
      <c r="J6" s="505">
        <v>1464039070</v>
      </c>
      <c r="K6" s="506">
        <v>4037480675.1261106</v>
      </c>
      <c r="M6" s="536">
        <v>2200524835.9310608</v>
      </c>
      <c r="N6" s="536">
        <v>1322838216.6513026</v>
      </c>
      <c r="O6" s="536">
        <v>2910773736.2893195</v>
      </c>
      <c r="P6" s="536">
        <v>3693636550.8255968</v>
      </c>
      <c r="Q6" s="536">
        <v>3851585459.1959</v>
      </c>
      <c r="R6" s="536">
        <v>3856131123.2392621</v>
      </c>
      <c r="S6" s="536">
        <v>4014255197.7309771</v>
      </c>
      <c r="T6" s="536">
        <v>4024445242.437861</v>
      </c>
      <c r="U6" s="536">
        <v>3875377868.2662535</v>
      </c>
      <c r="V6" s="536">
        <v>4030682199.7736573</v>
      </c>
      <c r="W6" s="536">
        <v>3881729304.2392731</v>
      </c>
      <c r="X6" s="536">
        <v>4037480675.1261106</v>
      </c>
    </row>
    <row r="7" spans="1:24" ht="16.5">
      <c r="A7">
        <v>13</v>
      </c>
      <c r="B7" s="467"/>
      <c r="C7" s="468" t="s">
        <v>216</v>
      </c>
      <c r="D7" s="468"/>
      <c r="E7" s="469"/>
      <c r="F7" s="470"/>
      <c r="G7" s="511">
        <v>3175592088</v>
      </c>
      <c r="H7" s="511">
        <v>2171167146</v>
      </c>
      <c r="I7" s="508">
        <v>1559554048.1266427</v>
      </c>
      <c r="J7" s="509">
        <v>1352106540</v>
      </c>
      <c r="K7" s="510">
        <v>3988742333.3333335</v>
      </c>
      <c r="M7" s="541">
        <v>2198043750</v>
      </c>
      <c r="N7" s="541">
        <v>1318826250</v>
      </c>
      <c r="O7" s="541">
        <v>2903390000</v>
      </c>
      <c r="P7" s="541">
        <v>3681916000</v>
      </c>
      <c r="Q7" s="541">
        <v>3835329166.6666665</v>
      </c>
      <c r="R7" s="541">
        <v>3835329166.6666665</v>
      </c>
      <c r="S7" s="541">
        <v>3988742333.3333335</v>
      </c>
      <c r="T7" s="541">
        <v>3994232666.6666665</v>
      </c>
      <c r="U7" s="541">
        <v>3840608333.3333335</v>
      </c>
      <c r="V7" s="541">
        <v>3991206916.6666665</v>
      </c>
      <c r="W7" s="541">
        <v>3837698958.3333335</v>
      </c>
      <c r="X7" s="541">
        <v>3988742333.3333335</v>
      </c>
    </row>
    <row r="8" spans="1:24" ht="16.5">
      <c r="A8">
        <v>14</v>
      </c>
      <c r="B8" s="467"/>
      <c r="C8" s="468" t="s">
        <v>217</v>
      </c>
      <c r="D8" s="468"/>
      <c r="E8" s="469"/>
      <c r="F8" s="470"/>
      <c r="G8" s="511">
        <v>105030000</v>
      </c>
      <c r="H8" s="511">
        <v>244060800</v>
      </c>
      <c r="I8" s="508">
        <v>34782515.314573966</v>
      </c>
      <c r="J8" s="509">
        <v>111932530</v>
      </c>
      <c r="K8" s="510">
        <v>48738341.792777002</v>
      </c>
      <c r="M8" s="541">
        <v>2481085.9310605978</v>
      </c>
      <c r="N8" s="541">
        <v>4011966.651302495</v>
      </c>
      <c r="O8" s="541">
        <v>7383736.2893192824</v>
      </c>
      <c r="P8" s="541">
        <v>11720550.82559661</v>
      </c>
      <c r="Q8" s="541">
        <v>16256292.529233245</v>
      </c>
      <c r="R8" s="541">
        <v>20801956.57259547</v>
      </c>
      <c r="S8" s="541">
        <v>25512864.397643711</v>
      </c>
      <c r="T8" s="541">
        <v>30212575.771194648</v>
      </c>
      <c r="U8" s="541">
        <v>34769534.932920165</v>
      </c>
      <c r="V8" s="541">
        <v>39475283.10699071</v>
      </c>
      <c r="W8" s="541">
        <v>44030345.90593949</v>
      </c>
      <c r="X8" s="541">
        <v>48738341.792777002</v>
      </c>
    </row>
    <row r="9" spans="1:24" ht="16.5">
      <c r="A9">
        <v>17</v>
      </c>
      <c r="B9" s="467"/>
      <c r="C9" s="468" t="s">
        <v>218</v>
      </c>
      <c r="D9" s="468"/>
      <c r="E9" s="469"/>
      <c r="F9" s="470"/>
      <c r="G9" s="511">
        <v>-120525864</v>
      </c>
      <c r="H9" s="511"/>
      <c r="I9" s="508">
        <v>0</v>
      </c>
      <c r="J9" s="509">
        <v>0</v>
      </c>
      <c r="K9" s="510">
        <v>0</v>
      </c>
      <c r="M9" s="541">
        <v>0</v>
      </c>
      <c r="N9" s="541">
        <v>0</v>
      </c>
      <c r="O9" s="541">
        <v>0</v>
      </c>
      <c r="P9" s="541">
        <v>0</v>
      </c>
      <c r="Q9" s="541">
        <v>0</v>
      </c>
      <c r="R9" s="541">
        <v>0</v>
      </c>
      <c r="S9" s="541">
        <v>0</v>
      </c>
      <c r="T9" s="541">
        <v>0</v>
      </c>
      <c r="U9" s="541">
        <v>0</v>
      </c>
      <c r="V9" s="541">
        <v>0</v>
      </c>
      <c r="W9" s="541">
        <v>0</v>
      </c>
      <c r="X9" s="541">
        <v>0</v>
      </c>
    </row>
    <row r="10" spans="1:24" ht="16.5">
      <c r="B10" s="466" t="s">
        <v>219</v>
      </c>
      <c r="C10" s="463"/>
      <c r="D10" s="463"/>
      <c r="E10" s="471"/>
      <c r="F10" s="472"/>
      <c r="G10" s="503">
        <v>8670066410</v>
      </c>
      <c r="H10" s="503">
        <v>1028919593</v>
      </c>
      <c r="I10" s="504">
        <v>1659096220.6454532</v>
      </c>
      <c r="J10" s="505">
        <v>1493486657</v>
      </c>
      <c r="K10" s="506">
        <v>4333333333.333333</v>
      </c>
      <c r="M10" s="536">
        <v>2425000000</v>
      </c>
      <c r="N10" s="536">
        <v>1425000000</v>
      </c>
      <c r="O10" s="536">
        <v>3333333333.333333</v>
      </c>
      <c r="P10" s="536">
        <v>4000000000</v>
      </c>
      <c r="Q10" s="536">
        <v>4166666666.6666665</v>
      </c>
      <c r="R10" s="536">
        <v>4166666666.6666665</v>
      </c>
      <c r="S10" s="536">
        <v>4333333333.333333</v>
      </c>
      <c r="T10" s="536">
        <v>4333333333.333333</v>
      </c>
      <c r="U10" s="536">
        <v>4166666666.6666665</v>
      </c>
      <c r="V10" s="536">
        <v>4333333333.333333</v>
      </c>
      <c r="W10" s="536">
        <v>4166666666.6666665</v>
      </c>
      <c r="X10" s="536">
        <v>4333333333.333333</v>
      </c>
    </row>
    <row r="11" spans="1:24" ht="16.5">
      <c r="A11">
        <v>21</v>
      </c>
      <c r="B11" s="467"/>
      <c r="C11" s="468" t="s">
        <v>219</v>
      </c>
      <c r="D11" s="468"/>
      <c r="E11" s="469"/>
      <c r="F11" s="470"/>
      <c r="G11" s="507">
        <v>8670066410</v>
      </c>
      <c r="H11" s="507">
        <v>1028919593</v>
      </c>
      <c r="I11" s="508">
        <v>1659096220.6454532</v>
      </c>
      <c r="J11" s="509">
        <v>1493486657</v>
      </c>
      <c r="K11" s="510">
        <v>4333333333.333333</v>
      </c>
      <c r="M11" s="541">
        <v>2425000000</v>
      </c>
      <c r="N11" s="541">
        <v>1425000000</v>
      </c>
      <c r="O11" s="541">
        <v>3333333333.333333</v>
      </c>
      <c r="P11" s="541">
        <v>4000000000</v>
      </c>
      <c r="Q11" s="541">
        <v>4166666666.6666665</v>
      </c>
      <c r="R11" s="541">
        <v>4166666666.6666665</v>
      </c>
      <c r="S11" s="541">
        <v>4333333333.333333</v>
      </c>
      <c r="T11" s="541">
        <v>4333333333.333333</v>
      </c>
      <c r="U11" s="541">
        <v>4166666666.6666665</v>
      </c>
      <c r="V11" s="541">
        <v>4333333333.333333</v>
      </c>
      <c r="W11" s="541">
        <v>4166666666.6666665</v>
      </c>
      <c r="X11" s="541">
        <v>4333333333.333333</v>
      </c>
    </row>
    <row r="12" spans="1:24" ht="16.5">
      <c r="A12">
        <v>32</v>
      </c>
      <c r="B12" s="466" t="s">
        <v>220</v>
      </c>
      <c r="C12" s="463"/>
      <c r="D12" s="463"/>
      <c r="E12" s="471"/>
      <c r="F12" s="472"/>
      <c r="G12" s="503">
        <v>97128340</v>
      </c>
      <c r="H12" s="503">
        <v>45093977</v>
      </c>
      <c r="I12" s="504">
        <v>45093977</v>
      </c>
      <c r="J12" s="505">
        <v>223756327</v>
      </c>
      <c r="K12" s="506">
        <v>223756327</v>
      </c>
      <c r="M12" s="536">
        <v>223756327</v>
      </c>
      <c r="N12" s="536">
        <v>223756327</v>
      </c>
      <c r="O12" s="536">
        <v>223756327</v>
      </c>
      <c r="P12" s="536">
        <v>223756327</v>
      </c>
      <c r="Q12" s="536">
        <v>223756327</v>
      </c>
      <c r="R12" s="536">
        <v>223756327</v>
      </c>
      <c r="S12" s="536">
        <v>223756327</v>
      </c>
      <c r="T12" s="536">
        <v>223756327</v>
      </c>
      <c r="U12" s="536">
        <v>223756327</v>
      </c>
      <c r="V12" s="536">
        <v>223756327</v>
      </c>
      <c r="W12" s="536">
        <v>223756327</v>
      </c>
      <c r="X12" s="536">
        <v>223756327</v>
      </c>
    </row>
    <row r="13" spans="1:24" ht="16.5">
      <c r="B13" s="473"/>
      <c r="C13" s="468"/>
      <c r="D13" s="468"/>
      <c r="E13" s="469"/>
      <c r="F13" s="470"/>
      <c r="G13" s="512"/>
      <c r="H13" s="512"/>
      <c r="I13" s="513"/>
      <c r="J13" s="514"/>
      <c r="K13" s="515">
        <v>0</v>
      </c>
      <c r="M13" s="515"/>
      <c r="N13" s="515"/>
      <c r="O13" s="515"/>
      <c r="P13" s="515"/>
      <c r="Q13" s="515"/>
      <c r="R13" s="515"/>
      <c r="S13" s="515"/>
      <c r="T13" s="515"/>
      <c r="U13" s="515"/>
      <c r="V13" s="515"/>
      <c r="W13" s="515"/>
      <c r="X13" s="515"/>
    </row>
    <row r="14" spans="1:24" ht="16.5">
      <c r="B14" s="462" t="s">
        <v>221</v>
      </c>
      <c r="C14" s="463"/>
      <c r="D14" s="463"/>
      <c r="E14" s="464"/>
      <c r="F14" s="465"/>
      <c r="G14" s="503">
        <v>22499311030</v>
      </c>
      <c r="H14" s="503">
        <v>18990831461</v>
      </c>
      <c r="I14" s="504">
        <v>16149277097</v>
      </c>
      <c r="J14" s="505">
        <v>21148904846</v>
      </c>
      <c r="K14" s="506">
        <v>23726735826.177773</v>
      </c>
      <c r="M14" s="536">
        <v>23858569760.283333</v>
      </c>
      <c r="N14" s="536">
        <v>24691805816.788887</v>
      </c>
      <c r="O14" s="536">
        <v>24772875206.627777</v>
      </c>
      <c r="P14" s="536">
        <v>25838958485.355553</v>
      </c>
      <c r="Q14" s="536">
        <v>25581041764.083332</v>
      </c>
      <c r="R14" s="536">
        <v>25323125042.811111</v>
      </c>
      <c r="S14" s="536">
        <v>25065208321.538887</v>
      </c>
      <c r="T14" s="536">
        <v>24807291600.266663</v>
      </c>
      <c r="U14" s="536">
        <v>24549374878.994442</v>
      </c>
      <c r="V14" s="536">
        <v>24291458157.722221</v>
      </c>
      <c r="W14" s="536">
        <v>24033541436.449997</v>
      </c>
      <c r="X14" s="536">
        <v>23781735826.177773</v>
      </c>
    </row>
    <row r="15" spans="1:24" ht="16.5">
      <c r="B15" s="466" t="s">
        <v>222</v>
      </c>
      <c r="C15" s="463"/>
      <c r="D15" s="463"/>
      <c r="E15" s="464"/>
      <c r="F15" s="465"/>
      <c r="G15" s="503">
        <v>22043937047</v>
      </c>
      <c r="H15" s="503">
        <v>18645914304</v>
      </c>
      <c r="I15" s="504">
        <v>16149277097</v>
      </c>
      <c r="J15" s="505">
        <v>20428773762</v>
      </c>
      <c r="K15" s="506">
        <v>23006604742.177773</v>
      </c>
      <c r="M15" s="536">
        <v>23138438676.283333</v>
      </c>
      <c r="N15" s="536">
        <v>23971674732.788887</v>
      </c>
      <c r="O15" s="536">
        <v>24052744122.627777</v>
      </c>
      <c r="P15" s="536">
        <v>25118827401.355553</v>
      </c>
      <c r="Q15" s="536">
        <v>24860910680.083332</v>
      </c>
      <c r="R15" s="536">
        <v>24602993958.811111</v>
      </c>
      <c r="S15" s="536">
        <v>24345077237.538887</v>
      </c>
      <c r="T15" s="536">
        <v>24087160516.266663</v>
      </c>
      <c r="U15" s="536">
        <v>23829243794.994442</v>
      </c>
      <c r="V15" s="536">
        <v>23571327073.722221</v>
      </c>
      <c r="W15" s="536">
        <v>23313410352.449997</v>
      </c>
      <c r="X15" s="536">
        <v>23061604742.177773</v>
      </c>
    </row>
    <row r="16" spans="1:24" ht="16.5">
      <c r="B16" s="473"/>
      <c r="C16" s="474" t="s">
        <v>223</v>
      </c>
      <c r="D16" s="468"/>
      <c r="E16" s="469"/>
      <c r="F16" s="470"/>
      <c r="G16" s="511">
        <v>22021197811</v>
      </c>
      <c r="H16" s="511">
        <v>18637522892</v>
      </c>
      <c r="I16" s="508">
        <v>16149277097</v>
      </c>
      <c r="J16" s="509">
        <v>20428773762</v>
      </c>
      <c r="K16" s="510">
        <v>22879081617.177773</v>
      </c>
      <c r="M16" s="541">
        <v>22887645082.533333</v>
      </c>
      <c r="N16" s="541">
        <v>23727087545.288887</v>
      </c>
      <c r="O16" s="541">
        <v>23814363341.377777</v>
      </c>
      <c r="P16" s="541">
        <v>24886653026.355553</v>
      </c>
      <c r="Q16" s="541">
        <v>24634942711.333332</v>
      </c>
      <c r="R16" s="541">
        <v>24383232396.311111</v>
      </c>
      <c r="S16" s="541">
        <v>24131522081.288887</v>
      </c>
      <c r="T16" s="541">
        <v>23879811766.266663</v>
      </c>
      <c r="U16" s="541">
        <v>23628101451.244442</v>
      </c>
      <c r="V16" s="541">
        <v>23376391136.222221</v>
      </c>
      <c r="W16" s="541">
        <v>23124680821.199997</v>
      </c>
      <c r="X16" s="541">
        <v>22879081617.177773</v>
      </c>
    </row>
    <row r="17" spans="1:24" ht="16.5">
      <c r="A17">
        <v>43</v>
      </c>
      <c r="B17" s="475"/>
      <c r="C17" s="498"/>
      <c r="D17" s="499"/>
      <c r="E17" s="476" t="s">
        <v>224</v>
      </c>
      <c r="F17" s="477"/>
      <c r="G17" s="516">
        <v>27512399671</v>
      </c>
      <c r="H17" s="516">
        <v>27721540123</v>
      </c>
      <c r="I17" s="517">
        <v>43086213265</v>
      </c>
      <c r="J17" s="518">
        <v>33542698374</v>
      </c>
      <c r="K17" s="519">
        <v>38861766121</v>
      </c>
      <c r="M17" s="545">
        <v>36199766121</v>
      </c>
      <c r="N17" s="545">
        <v>37237766121</v>
      </c>
      <c r="O17" s="545">
        <v>37537766121</v>
      </c>
      <c r="P17" s="545">
        <v>38861766121</v>
      </c>
      <c r="Q17" s="545">
        <v>38861766121</v>
      </c>
      <c r="R17" s="545">
        <v>38861766121</v>
      </c>
      <c r="S17" s="545">
        <v>38861766121</v>
      </c>
      <c r="T17" s="545">
        <v>38861766121</v>
      </c>
      <c r="U17" s="545">
        <v>38861766121</v>
      </c>
      <c r="V17" s="545">
        <v>38861766121</v>
      </c>
      <c r="W17" s="545">
        <v>38861766121</v>
      </c>
      <c r="X17" s="545">
        <v>38861766121</v>
      </c>
    </row>
    <row r="18" spans="1:24" ht="16.5">
      <c r="A18">
        <v>44</v>
      </c>
      <c r="B18" s="475"/>
      <c r="C18" s="498"/>
      <c r="D18" s="499"/>
      <c r="E18" s="476" t="s">
        <v>225</v>
      </c>
      <c r="F18" s="477"/>
      <c r="G18" s="520">
        <v>-5491201860</v>
      </c>
      <c r="H18" s="520">
        <v>-9084017231</v>
      </c>
      <c r="I18" s="517">
        <v>-26936936168</v>
      </c>
      <c r="J18" s="518">
        <v>-13113924612</v>
      </c>
      <c r="K18" s="519">
        <v>-15982684503.822226</v>
      </c>
      <c r="M18" s="545">
        <v>-13312121038.466667</v>
      </c>
      <c r="N18" s="545">
        <v>-13510678575.711111</v>
      </c>
      <c r="O18" s="545">
        <v>-13723402779.622223</v>
      </c>
      <c r="P18" s="545">
        <v>-13975113094.644445</v>
      </c>
      <c r="Q18" s="545">
        <v>-14226823409.666668</v>
      </c>
      <c r="R18" s="545">
        <v>-14478533724.68889</v>
      </c>
      <c r="S18" s="545">
        <v>-14730244039.711113</v>
      </c>
      <c r="T18" s="545">
        <v>-14981954354.733335</v>
      </c>
      <c r="U18" s="545">
        <v>-15233664669.755558</v>
      </c>
      <c r="V18" s="545">
        <v>-15485374984.777781</v>
      </c>
      <c r="W18" s="545">
        <v>-15737085299.800003</v>
      </c>
      <c r="X18" s="545">
        <v>-15982684503.822226</v>
      </c>
    </row>
    <row r="19" spans="1:24" ht="16.5">
      <c r="B19" s="473"/>
      <c r="C19" s="474" t="s">
        <v>226</v>
      </c>
      <c r="D19" s="468"/>
      <c r="E19" s="469"/>
      <c r="F19" s="470"/>
      <c r="G19" s="511">
        <v>0</v>
      </c>
      <c r="H19" s="511">
        <v>0</v>
      </c>
      <c r="I19" s="508">
        <v>0</v>
      </c>
      <c r="J19" s="509">
        <v>0</v>
      </c>
      <c r="K19" s="510">
        <v>0</v>
      </c>
      <c r="M19" s="541"/>
      <c r="N19" s="541"/>
      <c r="O19" s="541"/>
      <c r="P19" s="541"/>
      <c r="Q19" s="541"/>
      <c r="R19" s="541"/>
      <c r="S19" s="541"/>
      <c r="T19" s="541"/>
      <c r="U19" s="541"/>
      <c r="V19" s="541"/>
      <c r="W19" s="541"/>
      <c r="X19" s="541"/>
    </row>
    <row r="20" spans="1:24" ht="16.5">
      <c r="A20">
        <v>46</v>
      </c>
      <c r="B20" s="475"/>
      <c r="C20" s="500"/>
      <c r="D20" s="501"/>
      <c r="E20" s="476" t="s">
        <v>224</v>
      </c>
      <c r="F20" s="477"/>
      <c r="G20" s="516"/>
      <c r="H20" s="516"/>
      <c r="I20" s="517"/>
      <c r="J20" s="518">
        <v>0</v>
      </c>
      <c r="K20" s="519">
        <v>0</v>
      </c>
      <c r="M20" s="545"/>
      <c r="N20" s="545"/>
      <c r="O20" s="545"/>
      <c r="P20" s="545"/>
      <c r="Q20" s="545"/>
      <c r="R20" s="545"/>
      <c r="S20" s="545"/>
      <c r="T20" s="545"/>
      <c r="U20" s="545"/>
      <c r="V20" s="545"/>
      <c r="W20" s="545"/>
      <c r="X20" s="545"/>
    </row>
    <row r="21" spans="1:24" ht="16.5">
      <c r="A21">
        <v>47</v>
      </c>
      <c r="B21" s="475"/>
      <c r="C21" s="500"/>
      <c r="D21" s="501"/>
      <c r="E21" s="476" t="s">
        <v>225</v>
      </c>
      <c r="F21" s="477"/>
      <c r="G21" s="516"/>
      <c r="H21" s="516"/>
      <c r="I21" s="517"/>
      <c r="J21" s="518">
        <v>0</v>
      </c>
      <c r="K21" s="519">
        <v>0</v>
      </c>
      <c r="M21" s="545"/>
      <c r="N21" s="545"/>
      <c r="O21" s="545"/>
      <c r="P21" s="545"/>
      <c r="Q21" s="545"/>
      <c r="R21" s="545"/>
      <c r="S21" s="545"/>
      <c r="T21" s="545"/>
      <c r="U21" s="545"/>
      <c r="V21" s="545"/>
      <c r="W21" s="545"/>
      <c r="X21" s="545"/>
    </row>
    <row r="22" spans="1:24" ht="16.5">
      <c r="B22" s="475"/>
      <c r="C22" s="474" t="s">
        <v>227</v>
      </c>
      <c r="D22" s="468"/>
      <c r="E22" s="476"/>
      <c r="F22" s="477"/>
      <c r="G22" s="521">
        <v>22739236</v>
      </c>
      <c r="H22" s="521">
        <v>8391412</v>
      </c>
      <c r="I22" s="508">
        <v>0</v>
      </c>
      <c r="J22" s="521">
        <v>0</v>
      </c>
      <c r="K22" s="521">
        <v>127523125</v>
      </c>
      <c r="M22" s="561">
        <v>250793593.75</v>
      </c>
      <c r="N22" s="561">
        <v>244587187.5</v>
      </c>
      <c r="O22" s="561">
        <v>238380781.25</v>
      </c>
      <c r="P22" s="561">
        <v>232174375</v>
      </c>
      <c r="Q22" s="561">
        <v>225967968.75</v>
      </c>
      <c r="R22" s="561">
        <v>219761562.5</v>
      </c>
      <c r="S22" s="561">
        <v>213555156.25</v>
      </c>
      <c r="T22" s="561">
        <v>207348750</v>
      </c>
      <c r="U22" s="561">
        <v>201142343.75</v>
      </c>
      <c r="V22" s="561">
        <v>194935937.5</v>
      </c>
      <c r="W22" s="561">
        <v>188729531.25</v>
      </c>
      <c r="X22" s="561">
        <v>182523125</v>
      </c>
    </row>
    <row r="23" spans="1:24" ht="16.5">
      <c r="A23">
        <v>49</v>
      </c>
      <c r="B23" s="475"/>
      <c r="C23" s="501"/>
      <c r="D23" s="501"/>
      <c r="E23" s="476" t="s">
        <v>224</v>
      </c>
      <c r="F23" s="477"/>
      <c r="G23" s="516">
        <v>55000000</v>
      </c>
      <c r="H23" s="521">
        <v>55000000</v>
      </c>
      <c r="I23" s="521">
        <v>55000000</v>
      </c>
      <c r="J23" s="521">
        <v>55000000</v>
      </c>
      <c r="K23" s="519">
        <v>312000000</v>
      </c>
      <c r="M23" s="545">
        <v>312000000</v>
      </c>
      <c r="N23" s="545">
        <v>312000000</v>
      </c>
      <c r="O23" s="545">
        <v>312000000</v>
      </c>
      <c r="P23" s="545">
        <v>312000000</v>
      </c>
      <c r="Q23" s="545">
        <v>312000000</v>
      </c>
      <c r="R23" s="545">
        <v>312000000</v>
      </c>
      <c r="S23" s="545">
        <v>312000000</v>
      </c>
      <c r="T23" s="545">
        <v>312000000</v>
      </c>
      <c r="U23" s="545">
        <v>312000000</v>
      </c>
      <c r="V23" s="545">
        <v>312000000</v>
      </c>
      <c r="W23" s="545">
        <v>312000000</v>
      </c>
      <c r="X23" s="545">
        <v>312000000</v>
      </c>
    </row>
    <row r="24" spans="1:24" ht="16.5">
      <c r="A24">
        <v>50</v>
      </c>
      <c r="B24" s="475"/>
      <c r="C24" s="501"/>
      <c r="D24" s="501"/>
      <c r="E24" s="476" t="s">
        <v>225</v>
      </c>
      <c r="F24" s="477"/>
      <c r="G24" s="516">
        <v>-32260764</v>
      </c>
      <c r="H24" s="516">
        <v>-46608588</v>
      </c>
      <c r="I24" s="521">
        <v>-55000000</v>
      </c>
      <c r="J24" s="521">
        <v>-55000000</v>
      </c>
      <c r="K24" s="516">
        <v>-184476875</v>
      </c>
      <c r="M24" s="545">
        <v>-61206406.25</v>
      </c>
      <c r="N24" s="545">
        <v>-67412812.5</v>
      </c>
      <c r="O24" s="545">
        <v>-73619218.75</v>
      </c>
      <c r="P24" s="545">
        <v>-79825625</v>
      </c>
      <c r="Q24" s="545">
        <v>-86032031.25</v>
      </c>
      <c r="R24" s="545">
        <v>-92238437.5</v>
      </c>
      <c r="S24" s="545">
        <v>-98444843.75</v>
      </c>
      <c r="T24" s="545">
        <v>-104651250</v>
      </c>
      <c r="U24" s="545">
        <v>-110857656.25</v>
      </c>
      <c r="V24" s="545">
        <v>-117064062.5</v>
      </c>
      <c r="W24" s="545">
        <v>-123270468.75</v>
      </c>
      <c r="X24" s="545">
        <v>-129476875</v>
      </c>
    </row>
    <row r="25" spans="1:24" ht="16.5">
      <c r="B25" s="466" t="s">
        <v>228</v>
      </c>
      <c r="C25" s="463"/>
      <c r="D25" s="463"/>
      <c r="E25" s="464"/>
      <c r="F25" s="465"/>
      <c r="G25" s="503">
        <v>0</v>
      </c>
      <c r="H25" s="503">
        <v>0</v>
      </c>
      <c r="I25" s="504">
        <v>0</v>
      </c>
      <c r="J25" s="505">
        <v>0</v>
      </c>
      <c r="K25" s="506">
        <v>0</v>
      </c>
      <c r="M25" s="536">
        <v>0</v>
      </c>
      <c r="N25" s="536">
        <v>0</v>
      </c>
      <c r="O25" s="536">
        <v>0</v>
      </c>
      <c r="P25" s="536">
        <v>0</v>
      </c>
      <c r="Q25" s="536">
        <v>0</v>
      </c>
      <c r="R25" s="536">
        <v>0</v>
      </c>
      <c r="S25" s="536">
        <v>0</v>
      </c>
      <c r="T25" s="536">
        <v>0</v>
      </c>
      <c r="U25" s="536">
        <v>0</v>
      </c>
      <c r="V25" s="536">
        <v>0</v>
      </c>
      <c r="W25" s="536">
        <v>0</v>
      </c>
      <c r="X25" s="536">
        <v>0</v>
      </c>
    </row>
    <row r="26" spans="1:24" ht="16.5">
      <c r="A26">
        <v>65</v>
      </c>
      <c r="B26" s="473"/>
      <c r="C26" s="474" t="s">
        <v>229</v>
      </c>
      <c r="D26" s="468"/>
      <c r="E26" s="469"/>
      <c r="F26" s="470"/>
      <c r="G26" s="521"/>
      <c r="H26" s="521"/>
      <c r="I26" s="508"/>
      <c r="J26" s="522">
        <v>0</v>
      </c>
      <c r="K26" s="523">
        <v>0</v>
      </c>
      <c r="M26" s="561">
        <v>0</v>
      </c>
      <c r="N26" s="561">
        <v>0</v>
      </c>
      <c r="O26" s="561">
        <v>0</v>
      </c>
      <c r="P26" s="561">
        <v>0</v>
      </c>
      <c r="Q26" s="561">
        <v>0</v>
      </c>
      <c r="R26" s="561">
        <v>0</v>
      </c>
      <c r="S26" s="561">
        <v>0</v>
      </c>
      <c r="T26" s="561">
        <v>0</v>
      </c>
      <c r="U26" s="561">
        <v>0</v>
      </c>
      <c r="V26" s="561">
        <v>0</v>
      </c>
      <c r="W26" s="561">
        <v>0</v>
      </c>
      <c r="X26" s="561">
        <v>0</v>
      </c>
    </row>
    <row r="27" spans="1:24" ht="16.5">
      <c r="A27">
        <v>77</v>
      </c>
      <c r="B27" s="466" t="s">
        <v>230</v>
      </c>
      <c r="C27" s="463"/>
      <c r="D27" s="463"/>
      <c r="E27" s="464"/>
      <c r="F27" s="465"/>
      <c r="G27" s="505">
        <v>455373983</v>
      </c>
      <c r="H27" s="505">
        <v>344917157</v>
      </c>
      <c r="I27" s="505"/>
      <c r="J27" s="505">
        <v>720131084</v>
      </c>
      <c r="K27" s="506">
        <v>720131084</v>
      </c>
      <c r="M27" s="536">
        <v>720131084</v>
      </c>
      <c r="N27" s="536">
        <v>720131084</v>
      </c>
      <c r="O27" s="536">
        <v>720131084</v>
      </c>
      <c r="P27" s="536">
        <v>720131084</v>
      </c>
      <c r="Q27" s="536">
        <v>720131084</v>
      </c>
      <c r="R27" s="536">
        <v>720131084</v>
      </c>
      <c r="S27" s="536">
        <v>720131084</v>
      </c>
      <c r="T27" s="536">
        <v>720131084</v>
      </c>
      <c r="U27" s="536">
        <v>720131084</v>
      </c>
      <c r="V27" s="536">
        <v>720131084</v>
      </c>
      <c r="W27" s="536">
        <v>720131084</v>
      </c>
      <c r="X27" s="536">
        <v>720131084</v>
      </c>
    </row>
    <row r="28" spans="1:24" ht="16.5">
      <c r="B28" s="466" t="s">
        <v>231</v>
      </c>
      <c r="C28" s="463"/>
      <c r="D28" s="463"/>
      <c r="E28" s="464"/>
      <c r="F28" s="465"/>
      <c r="G28" s="503"/>
      <c r="H28" s="503"/>
      <c r="I28" s="504"/>
      <c r="J28" s="505"/>
      <c r="K28" s="506">
        <v>0</v>
      </c>
      <c r="M28" s="536"/>
      <c r="N28" s="536"/>
      <c r="O28" s="536"/>
      <c r="P28" s="536"/>
      <c r="Q28" s="536"/>
      <c r="R28" s="536"/>
      <c r="S28" s="536"/>
      <c r="T28" s="536"/>
      <c r="U28" s="536"/>
      <c r="V28" s="536"/>
      <c r="W28" s="536"/>
      <c r="X28" s="536"/>
    </row>
    <row r="29" spans="1:24" ht="16.5">
      <c r="B29" s="466" t="s">
        <v>232</v>
      </c>
      <c r="C29" s="463"/>
      <c r="D29" s="463"/>
      <c r="E29" s="464"/>
      <c r="F29" s="465"/>
      <c r="G29" s="503">
        <v>0</v>
      </c>
      <c r="H29" s="503">
        <v>0</v>
      </c>
      <c r="I29" s="504">
        <v>0</v>
      </c>
      <c r="J29" s="505">
        <v>0</v>
      </c>
      <c r="K29" s="506">
        <v>0</v>
      </c>
      <c r="M29" s="536"/>
      <c r="N29" s="536"/>
      <c r="O29" s="536"/>
      <c r="P29" s="536"/>
      <c r="Q29" s="536"/>
      <c r="R29" s="536"/>
      <c r="S29" s="536"/>
      <c r="T29" s="536"/>
      <c r="U29" s="536"/>
      <c r="V29" s="536"/>
      <c r="W29" s="536"/>
      <c r="X29" s="536"/>
    </row>
    <row r="30" spans="1:24" ht="16.5">
      <c r="B30" s="473"/>
      <c r="C30" s="468" t="s">
        <v>233</v>
      </c>
      <c r="D30" s="468"/>
      <c r="E30" s="469"/>
      <c r="F30" s="470"/>
      <c r="G30" s="511"/>
      <c r="H30" s="511"/>
      <c r="I30" s="508"/>
      <c r="J30" s="509"/>
      <c r="K30" s="510">
        <v>0</v>
      </c>
      <c r="M30" s="541"/>
      <c r="N30" s="541"/>
      <c r="O30" s="541"/>
      <c r="P30" s="541"/>
      <c r="Q30" s="541"/>
      <c r="R30" s="541"/>
      <c r="S30" s="541"/>
      <c r="T30" s="541"/>
      <c r="U30" s="541"/>
      <c r="V30" s="541"/>
      <c r="W30" s="541"/>
      <c r="X30" s="541"/>
    </row>
    <row r="31" spans="1:24" ht="16.5">
      <c r="B31" s="473"/>
      <c r="C31" s="468" t="s">
        <v>234</v>
      </c>
      <c r="D31" s="468"/>
      <c r="E31" s="469"/>
      <c r="F31" s="470"/>
      <c r="G31" s="511"/>
      <c r="H31" s="511"/>
      <c r="I31" s="508"/>
      <c r="J31" s="509"/>
      <c r="K31" s="510">
        <v>0</v>
      </c>
      <c r="M31" s="541"/>
      <c r="N31" s="541"/>
      <c r="O31" s="541"/>
      <c r="P31" s="541"/>
      <c r="Q31" s="541"/>
      <c r="R31" s="541"/>
      <c r="S31" s="541"/>
      <c r="T31" s="541"/>
      <c r="U31" s="541"/>
      <c r="V31" s="541"/>
      <c r="W31" s="541"/>
      <c r="X31" s="541"/>
    </row>
    <row r="32" spans="1:24" ht="16.5">
      <c r="B32" s="473"/>
      <c r="C32" s="468" t="s">
        <v>235</v>
      </c>
      <c r="D32" s="468"/>
      <c r="E32" s="469"/>
      <c r="F32" s="470"/>
      <c r="G32" s="511"/>
      <c r="H32" s="511"/>
      <c r="I32" s="508"/>
      <c r="J32" s="509"/>
      <c r="K32" s="510">
        <v>0</v>
      </c>
      <c r="M32" s="541"/>
      <c r="N32" s="541"/>
      <c r="O32" s="541"/>
      <c r="P32" s="541"/>
      <c r="Q32" s="541"/>
      <c r="R32" s="541"/>
      <c r="S32" s="541"/>
      <c r="T32" s="541"/>
      <c r="U32" s="541"/>
      <c r="V32" s="541"/>
      <c r="W32" s="541"/>
      <c r="X32" s="541"/>
    </row>
    <row r="33" spans="1:24" ht="16.5">
      <c r="B33" s="473"/>
      <c r="C33" s="468"/>
      <c r="D33" s="468"/>
      <c r="E33" s="478"/>
      <c r="F33" s="479"/>
      <c r="G33" s="511"/>
      <c r="H33" s="511"/>
      <c r="I33" s="508"/>
      <c r="J33" s="509"/>
      <c r="K33" s="510">
        <v>0</v>
      </c>
      <c r="M33" s="541"/>
      <c r="N33" s="541"/>
      <c r="O33" s="541"/>
      <c r="P33" s="541"/>
      <c r="Q33" s="541"/>
      <c r="R33" s="541"/>
      <c r="S33" s="541"/>
      <c r="T33" s="541"/>
      <c r="U33" s="541"/>
      <c r="V33" s="541"/>
      <c r="W33" s="541"/>
      <c r="X33" s="541"/>
    </row>
    <row r="34" spans="1:24" ht="17" thickBot="1">
      <c r="B34" s="480" t="s">
        <v>236</v>
      </c>
      <c r="C34" s="481"/>
      <c r="D34" s="481"/>
      <c r="E34" s="482"/>
      <c r="F34" s="483"/>
      <c r="G34" s="524">
        <v>41879994873</v>
      </c>
      <c r="H34" s="524">
        <v>33552316087</v>
      </c>
      <c r="I34" s="525">
        <v>31536660133.881683</v>
      </c>
      <c r="J34" s="526">
        <v>37017437120</v>
      </c>
      <c r="K34" s="527">
        <v>37839225529.069893</v>
      </c>
      <c r="M34" s="572">
        <v>39149745152.852104</v>
      </c>
      <c r="N34" s="572">
        <v>38605523924.72258</v>
      </c>
      <c r="O34" s="572">
        <v>39320723925.48304</v>
      </c>
      <c r="P34" s="572">
        <v>38583730507.185081</v>
      </c>
      <c r="Q34" s="572">
        <v>38739167294.253853</v>
      </c>
      <c r="R34" s="572">
        <v>38801446067.186806</v>
      </c>
      <c r="S34" s="572">
        <v>38956499201.409622</v>
      </c>
      <c r="T34" s="572">
        <v>38961396553.368355</v>
      </c>
      <c r="U34" s="572">
        <v>38949701318.971214</v>
      </c>
      <c r="V34" s="572">
        <v>39145946482.287842</v>
      </c>
      <c r="W34" s="572">
        <v>39148447816.784317</v>
      </c>
      <c r="X34" s="572">
        <v>37894225529.069893</v>
      </c>
    </row>
    <row r="35" spans="1:24" ht="17" thickTop="1">
      <c r="B35" s="473"/>
      <c r="C35" s="484"/>
      <c r="D35" s="484"/>
      <c r="E35" s="469"/>
      <c r="F35" s="470"/>
      <c r="G35" s="511"/>
      <c r="H35" s="511"/>
      <c r="I35" s="511"/>
      <c r="J35" s="509"/>
      <c r="K35" s="510">
        <v>0</v>
      </c>
      <c r="M35" s="541"/>
      <c r="N35" s="541"/>
      <c r="O35" s="541"/>
      <c r="P35" s="541"/>
      <c r="Q35" s="541"/>
      <c r="R35" s="541"/>
      <c r="S35" s="541"/>
      <c r="T35" s="541"/>
      <c r="U35" s="541"/>
      <c r="V35" s="541"/>
      <c r="W35" s="541"/>
      <c r="X35" s="541"/>
    </row>
    <row r="36" spans="1:24" ht="16.5">
      <c r="B36" s="462" t="s">
        <v>237</v>
      </c>
      <c r="C36" s="463"/>
      <c r="D36" s="463"/>
      <c r="E36" s="464"/>
      <c r="F36" s="465"/>
      <c r="G36" s="503">
        <v>6838726183</v>
      </c>
      <c r="H36" s="503">
        <v>1689339379</v>
      </c>
      <c r="I36" s="504">
        <v>806922095.84829831</v>
      </c>
      <c r="J36" s="505">
        <v>1784212493</v>
      </c>
      <c r="K36" s="506">
        <v>1106294220.9131479</v>
      </c>
      <c r="M36" s="536">
        <v>583010498.11770654</v>
      </c>
      <c r="N36" s="536">
        <v>359729391.10798687</v>
      </c>
      <c r="O36" s="536">
        <v>792305123.97368252</v>
      </c>
      <c r="P36" s="536">
        <v>1019073290.2017336</v>
      </c>
      <c r="Q36" s="536">
        <v>1065817590.9449639</v>
      </c>
      <c r="R36" s="536">
        <v>1068149162.0338529</v>
      </c>
      <c r="S36" s="536">
        <v>1106978473.93537</v>
      </c>
      <c r="T36" s="536">
        <v>1104347509.5326962</v>
      </c>
      <c r="U36" s="536">
        <v>1070803311.3725926</v>
      </c>
      <c r="V36" s="536">
        <v>1105766048.9044735</v>
      </c>
      <c r="W36" s="536">
        <v>1070357700.2822074</v>
      </c>
      <c r="X36" s="536">
        <v>1106294220.9131479</v>
      </c>
    </row>
    <row r="37" spans="1:24" ht="16.5">
      <c r="B37" s="462" t="s">
        <v>238</v>
      </c>
      <c r="C37" s="463"/>
      <c r="D37" s="463"/>
      <c r="E37" s="464"/>
      <c r="F37" s="465"/>
      <c r="G37" s="503">
        <v>6838726183</v>
      </c>
      <c r="H37" s="503">
        <v>1689339379</v>
      </c>
      <c r="I37" s="504">
        <v>806922095.84829831</v>
      </c>
      <c r="J37" s="505">
        <v>1784212493</v>
      </c>
      <c r="K37" s="506">
        <v>1106294220.9131479</v>
      </c>
      <c r="M37" s="536">
        <v>583010498.11770654</v>
      </c>
      <c r="N37" s="536">
        <v>359729391.10798687</v>
      </c>
      <c r="O37" s="536">
        <v>792305123.97368252</v>
      </c>
      <c r="P37" s="536">
        <v>1019073290.2017336</v>
      </c>
      <c r="Q37" s="536">
        <v>1065817590.9449639</v>
      </c>
      <c r="R37" s="536">
        <v>1068149162.0338529</v>
      </c>
      <c r="S37" s="536">
        <v>1106978473.93537</v>
      </c>
      <c r="T37" s="536">
        <v>1104347509.5326962</v>
      </c>
      <c r="U37" s="536">
        <v>1070803311.3725926</v>
      </c>
      <c r="V37" s="536">
        <v>1105766048.9044735</v>
      </c>
      <c r="W37" s="536">
        <v>1070357700.2822074</v>
      </c>
      <c r="X37" s="536">
        <v>1106294220.9131479</v>
      </c>
    </row>
    <row r="38" spans="1:24" ht="16.5">
      <c r="A38">
        <v>91</v>
      </c>
      <c r="B38" s="473"/>
      <c r="C38" s="468" t="s">
        <v>239</v>
      </c>
      <c r="D38" s="468"/>
      <c r="E38" s="469"/>
      <c r="F38" s="470"/>
      <c r="G38" s="521"/>
      <c r="H38" s="521"/>
      <c r="I38" s="508"/>
      <c r="J38" s="522">
        <v>0</v>
      </c>
      <c r="K38" s="523">
        <v>0</v>
      </c>
      <c r="M38" s="561">
        <v>0</v>
      </c>
      <c r="N38" s="561">
        <v>0</v>
      </c>
      <c r="O38" s="561">
        <v>0</v>
      </c>
      <c r="P38" s="561">
        <v>0</v>
      </c>
      <c r="Q38" s="561">
        <v>0</v>
      </c>
      <c r="R38" s="561">
        <v>0</v>
      </c>
      <c r="S38" s="561">
        <v>0</v>
      </c>
      <c r="T38" s="561">
        <v>0</v>
      </c>
      <c r="U38" s="561">
        <v>0</v>
      </c>
      <c r="V38" s="561">
        <v>0</v>
      </c>
      <c r="W38" s="561">
        <v>0</v>
      </c>
      <c r="X38" s="561">
        <v>0</v>
      </c>
    </row>
    <row r="39" spans="1:24" ht="16.5">
      <c r="A39">
        <v>81</v>
      </c>
      <c r="B39" s="473"/>
      <c r="C39" s="468" t="s">
        <v>240</v>
      </c>
      <c r="D39" s="468"/>
      <c r="E39" s="469"/>
      <c r="F39" s="470"/>
      <c r="G39" s="528">
        <v>6838726183</v>
      </c>
      <c r="H39" s="521">
        <v>1683206539</v>
      </c>
      <c r="I39" s="508">
        <v>806922095.84829831</v>
      </c>
      <c r="J39" s="522">
        <v>1784212493</v>
      </c>
      <c r="K39" s="523">
        <v>1106294220.9131479</v>
      </c>
      <c r="M39" s="561">
        <v>583010498.11770654</v>
      </c>
      <c r="N39" s="561">
        <v>359729391.10798687</v>
      </c>
      <c r="O39" s="561">
        <v>792305123.97368252</v>
      </c>
      <c r="P39" s="561">
        <v>1019073290.2017336</v>
      </c>
      <c r="Q39" s="561">
        <v>1065817590.9449639</v>
      </c>
      <c r="R39" s="561">
        <v>1068149162.0338529</v>
      </c>
      <c r="S39" s="561">
        <v>1106978473.93537</v>
      </c>
      <c r="T39" s="561">
        <v>1104347509.5326962</v>
      </c>
      <c r="U39" s="561">
        <v>1070803311.3725926</v>
      </c>
      <c r="V39" s="561">
        <v>1105766048.9044735</v>
      </c>
      <c r="W39" s="561">
        <v>1070357700.2822074</v>
      </c>
      <c r="X39" s="561">
        <v>1106294220.9131479</v>
      </c>
    </row>
    <row r="40" spans="1:24" ht="16.5">
      <c r="A40">
        <v>90</v>
      </c>
      <c r="B40" s="473"/>
      <c r="C40" s="468" t="s">
        <v>241</v>
      </c>
      <c r="D40" s="468"/>
      <c r="E40" s="469"/>
      <c r="F40" s="470"/>
      <c r="G40" s="528"/>
      <c r="H40" s="511">
        <v>6132840</v>
      </c>
      <c r="I40" s="508"/>
      <c r="J40" s="509"/>
      <c r="K40" s="510">
        <v>0</v>
      </c>
      <c r="M40" s="541">
        <v>0</v>
      </c>
      <c r="N40" s="541">
        <v>0</v>
      </c>
      <c r="O40" s="541">
        <v>0</v>
      </c>
      <c r="P40" s="541">
        <v>0</v>
      </c>
      <c r="Q40" s="541">
        <v>0</v>
      </c>
      <c r="R40" s="541">
        <v>0</v>
      </c>
      <c r="S40" s="541">
        <v>0</v>
      </c>
      <c r="T40" s="541">
        <v>0</v>
      </c>
      <c r="U40" s="541">
        <v>0</v>
      </c>
      <c r="V40" s="541">
        <v>0</v>
      </c>
      <c r="W40" s="541">
        <v>0</v>
      </c>
      <c r="X40" s="541">
        <v>0</v>
      </c>
    </row>
    <row r="41" spans="1:24" ht="16.5">
      <c r="B41" s="473"/>
      <c r="C41" s="468"/>
      <c r="D41" s="468"/>
      <c r="E41" s="469"/>
      <c r="F41" s="470"/>
      <c r="G41" s="529"/>
      <c r="H41" s="529"/>
      <c r="I41" s="513"/>
      <c r="J41" s="514"/>
      <c r="K41" s="515">
        <v>0</v>
      </c>
      <c r="M41" s="515"/>
      <c r="N41" s="515"/>
      <c r="O41" s="515"/>
      <c r="P41" s="515"/>
      <c r="Q41" s="515"/>
      <c r="R41" s="515"/>
      <c r="S41" s="515"/>
      <c r="T41" s="515"/>
      <c r="U41" s="515"/>
      <c r="V41" s="515"/>
      <c r="W41" s="515"/>
      <c r="X41" s="515"/>
    </row>
    <row r="42" spans="1:24" ht="16.5">
      <c r="B42" s="462" t="s">
        <v>242</v>
      </c>
      <c r="C42" s="463"/>
      <c r="D42" s="463"/>
      <c r="E42" s="464"/>
      <c r="F42" s="465"/>
      <c r="G42" s="503">
        <v>0</v>
      </c>
      <c r="H42" s="503"/>
      <c r="I42" s="504">
        <v>0</v>
      </c>
      <c r="J42" s="505">
        <v>0</v>
      </c>
      <c r="K42" s="506">
        <v>0</v>
      </c>
      <c r="M42" s="536">
        <v>0</v>
      </c>
      <c r="N42" s="536">
        <v>0</v>
      </c>
      <c r="O42" s="536">
        <v>0</v>
      </c>
      <c r="P42" s="536">
        <v>0</v>
      </c>
      <c r="Q42" s="536">
        <v>0</v>
      </c>
      <c r="R42" s="536">
        <v>0</v>
      </c>
      <c r="S42" s="536">
        <v>0</v>
      </c>
      <c r="T42" s="536">
        <v>0</v>
      </c>
      <c r="U42" s="536">
        <v>0</v>
      </c>
      <c r="V42" s="536">
        <v>0</v>
      </c>
      <c r="W42" s="536">
        <v>0</v>
      </c>
      <c r="X42" s="536">
        <v>0</v>
      </c>
    </row>
    <row r="43" spans="1:24" ht="16.5">
      <c r="A43">
        <v>105</v>
      </c>
      <c r="B43" s="473"/>
      <c r="C43" s="468" t="s">
        <v>243</v>
      </c>
      <c r="D43" s="468"/>
      <c r="E43" s="469"/>
      <c r="F43" s="470"/>
      <c r="G43" s="521"/>
      <c r="H43" s="521"/>
      <c r="I43" s="508"/>
      <c r="J43" s="522">
        <v>0</v>
      </c>
      <c r="K43" s="523">
        <v>0</v>
      </c>
      <c r="M43" s="561"/>
      <c r="N43" s="561"/>
      <c r="O43" s="561"/>
      <c r="P43" s="561"/>
      <c r="Q43" s="561"/>
      <c r="R43" s="561"/>
      <c r="S43" s="561"/>
      <c r="T43" s="561"/>
      <c r="U43" s="561"/>
      <c r="V43" s="561"/>
      <c r="W43" s="561"/>
      <c r="X43" s="561"/>
    </row>
    <row r="44" spans="1:24" ht="16.5">
      <c r="A44">
        <v>104</v>
      </c>
      <c r="B44" s="473"/>
      <c r="C44" s="468" t="s">
        <v>244</v>
      </c>
      <c r="D44" s="468"/>
      <c r="E44" s="469"/>
      <c r="F44" s="470"/>
      <c r="G44" s="511"/>
      <c r="H44" s="511"/>
      <c r="I44" s="508"/>
      <c r="J44" s="509">
        <v>0</v>
      </c>
      <c r="K44" s="510">
        <v>0</v>
      </c>
      <c r="M44" s="541">
        <v>0</v>
      </c>
      <c r="N44" s="541">
        <v>0</v>
      </c>
      <c r="O44" s="541">
        <v>0</v>
      </c>
      <c r="P44" s="541">
        <v>0</v>
      </c>
      <c r="Q44" s="541">
        <v>0</v>
      </c>
      <c r="R44" s="541">
        <v>0</v>
      </c>
      <c r="S44" s="541">
        <v>0</v>
      </c>
      <c r="T44" s="541">
        <v>0</v>
      </c>
      <c r="U44" s="541">
        <v>0</v>
      </c>
      <c r="V44" s="541">
        <v>0</v>
      </c>
      <c r="W44" s="541">
        <v>0</v>
      </c>
      <c r="X44" s="541">
        <v>0</v>
      </c>
    </row>
    <row r="45" spans="1:24" ht="16.5">
      <c r="B45" s="462" t="s">
        <v>245</v>
      </c>
      <c r="C45" s="463"/>
      <c r="D45" s="463"/>
      <c r="E45" s="464"/>
      <c r="F45" s="465"/>
      <c r="G45" s="503">
        <v>35041268690</v>
      </c>
      <c r="H45" s="503">
        <v>31862976708</v>
      </c>
      <c r="I45" s="504">
        <v>29046531499.03339</v>
      </c>
      <c r="J45" s="505">
        <v>35233224627</v>
      </c>
      <c r="K45" s="506">
        <v>36732931307.156754</v>
      </c>
      <c r="M45" s="536">
        <v>35658873313.984406</v>
      </c>
      <c r="N45" s="536">
        <v>35601139599.114594</v>
      </c>
      <c r="O45" s="536">
        <v>35889970273.259361</v>
      </c>
      <c r="P45" s="536">
        <v>36042415094.983353</v>
      </c>
      <c r="Q45" s="536">
        <v>36157313987.558899</v>
      </c>
      <c r="R45" s="536">
        <v>36223467595.652954</v>
      </c>
      <c r="S45" s="536">
        <v>36345897824.224258</v>
      </c>
      <c r="T45" s="536">
        <v>36359632546.835663</v>
      </c>
      <c r="U45" s="536">
        <v>36387687916.848633</v>
      </c>
      <c r="V45" s="536">
        <v>36555176748.883377</v>
      </c>
      <c r="W45" s="536">
        <v>36599292838.252121</v>
      </c>
      <c r="X45" s="536">
        <v>36732931307.156754</v>
      </c>
    </row>
    <row r="46" spans="1:24" ht="16.5">
      <c r="A46">
        <v>113</v>
      </c>
      <c r="B46" s="473"/>
      <c r="C46" s="468" t="s">
        <v>246</v>
      </c>
      <c r="D46" s="468"/>
      <c r="E46" s="469"/>
      <c r="F46" s="470"/>
      <c r="G46" s="511">
        <v>47000000000</v>
      </c>
      <c r="H46" s="511">
        <v>47000000000</v>
      </c>
      <c r="I46" s="508">
        <v>47000000000</v>
      </c>
      <c r="J46" s="509">
        <v>47000000000</v>
      </c>
      <c r="K46" s="510">
        <v>47000000000</v>
      </c>
      <c r="M46" s="541">
        <v>47000000000</v>
      </c>
      <c r="N46" s="541">
        <v>47000000000</v>
      </c>
      <c r="O46" s="541">
        <v>47000000000</v>
      </c>
      <c r="P46" s="541">
        <v>47000000000</v>
      </c>
      <c r="Q46" s="541">
        <v>47000000000</v>
      </c>
      <c r="R46" s="541">
        <v>47000000000</v>
      </c>
      <c r="S46" s="541">
        <v>47000000000</v>
      </c>
      <c r="T46" s="541">
        <v>47000000000</v>
      </c>
      <c r="U46" s="541">
        <v>47000000000</v>
      </c>
      <c r="V46" s="541">
        <v>47000000000</v>
      </c>
      <c r="W46" s="541">
        <v>47000000000</v>
      </c>
      <c r="X46" s="541">
        <v>47000000000</v>
      </c>
    </row>
    <row r="47" spans="1:24" ht="16.5">
      <c r="B47" s="473"/>
      <c r="C47" s="468" t="s">
        <v>247</v>
      </c>
      <c r="D47" s="468"/>
      <c r="E47" s="469"/>
      <c r="F47" s="470"/>
      <c r="G47" s="511"/>
      <c r="H47" s="511"/>
      <c r="I47" s="508"/>
      <c r="J47" s="509">
        <v>0</v>
      </c>
      <c r="K47" s="510">
        <v>0</v>
      </c>
      <c r="M47" s="541">
        <v>0</v>
      </c>
      <c r="N47" s="541">
        <v>0</v>
      </c>
      <c r="O47" s="541">
        <v>0</v>
      </c>
      <c r="P47" s="541">
        <v>0</v>
      </c>
      <c r="Q47" s="541">
        <v>0</v>
      </c>
      <c r="R47" s="541">
        <v>0</v>
      </c>
      <c r="S47" s="541">
        <v>0</v>
      </c>
      <c r="T47" s="541">
        <v>0</v>
      </c>
      <c r="U47" s="541">
        <v>0</v>
      </c>
      <c r="V47" s="541">
        <v>0</v>
      </c>
      <c r="W47" s="541">
        <v>0</v>
      </c>
      <c r="X47" s="541">
        <v>0</v>
      </c>
    </row>
    <row r="48" spans="1:24" ht="16.5">
      <c r="B48" s="473"/>
      <c r="C48" s="468" t="s">
        <v>248</v>
      </c>
      <c r="D48" s="468"/>
      <c r="E48" s="469"/>
      <c r="F48" s="470"/>
      <c r="G48" s="511"/>
      <c r="H48" s="511"/>
      <c r="I48" s="508"/>
      <c r="J48" s="509"/>
      <c r="K48" s="510">
        <v>0</v>
      </c>
      <c r="M48" s="541"/>
      <c r="N48" s="541"/>
      <c r="O48" s="541"/>
      <c r="P48" s="541"/>
      <c r="Q48" s="541"/>
      <c r="R48" s="541"/>
      <c r="S48" s="541"/>
      <c r="T48" s="541"/>
      <c r="U48" s="541"/>
      <c r="V48" s="541"/>
      <c r="W48" s="541"/>
      <c r="X48" s="541"/>
    </row>
    <row r="49" spans="2:24" ht="16.5">
      <c r="B49" s="473"/>
      <c r="C49" s="468" t="s">
        <v>249</v>
      </c>
      <c r="D49" s="468"/>
      <c r="E49" s="469"/>
      <c r="F49" s="470"/>
      <c r="G49" s="507">
        <v>-11958731310</v>
      </c>
      <c r="H49" s="507">
        <v>-15137023292</v>
      </c>
      <c r="I49" s="508">
        <v>-17953468500.96661</v>
      </c>
      <c r="J49" s="509">
        <v>-11766775373</v>
      </c>
      <c r="K49" s="510">
        <v>-10267068692.843245</v>
      </c>
      <c r="M49" s="541">
        <v>-11341126686.015598</v>
      </c>
      <c r="N49" s="541">
        <v>-11398860400.885403</v>
      </c>
      <c r="O49" s="541">
        <v>-11110029726.740641</v>
      </c>
      <c r="P49" s="541">
        <v>-10957584905.016645</v>
      </c>
      <c r="Q49" s="541">
        <v>-10842686012.441105</v>
      </c>
      <c r="R49" s="541">
        <v>-10776532404.347046</v>
      </c>
      <c r="S49" s="541">
        <v>-10654102175.775743</v>
      </c>
      <c r="T49" s="541">
        <v>-10640367453.164335</v>
      </c>
      <c r="U49" s="541">
        <v>-10612312083.151371</v>
      </c>
      <c r="V49" s="541">
        <v>-10444823251.116621</v>
      </c>
      <c r="W49" s="541">
        <v>-10400707161.747879</v>
      </c>
      <c r="X49" s="541">
        <v>-10267068692.843245</v>
      </c>
    </row>
    <row r="50" spans="2:24" ht="16.5">
      <c r="B50" s="485"/>
      <c r="C50" s="486"/>
      <c r="D50" s="486"/>
      <c r="E50" s="487"/>
      <c r="F50" s="488"/>
      <c r="G50" s="530"/>
      <c r="H50" s="530"/>
      <c r="I50" s="508"/>
      <c r="J50" s="509"/>
      <c r="K50" s="510">
        <v>0</v>
      </c>
      <c r="M50" s="541"/>
      <c r="N50" s="541"/>
      <c r="O50" s="541"/>
      <c r="P50" s="541"/>
      <c r="Q50" s="541"/>
      <c r="R50" s="541"/>
      <c r="S50" s="541"/>
      <c r="T50" s="541"/>
      <c r="U50" s="541"/>
      <c r="V50" s="541"/>
      <c r="W50" s="541"/>
      <c r="X50" s="541"/>
    </row>
    <row r="51" spans="2:24" ht="17" thickBot="1">
      <c r="B51" s="489" t="s">
        <v>250</v>
      </c>
      <c r="C51" s="490"/>
      <c r="D51" s="490"/>
      <c r="E51" s="491"/>
      <c r="F51" s="491"/>
      <c r="G51" s="531">
        <v>41879994873</v>
      </c>
      <c r="H51" s="531">
        <v>33552316087</v>
      </c>
      <c r="I51" s="532">
        <v>29853453594.881687</v>
      </c>
      <c r="J51" s="533">
        <v>37017437120</v>
      </c>
      <c r="K51" s="534">
        <v>37839225528.069901</v>
      </c>
      <c r="M51" s="578">
        <v>36241883812.102112</v>
      </c>
      <c r="N51" s="578">
        <v>35960868990.22258</v>
      </c>
      <c r="O51" s="578">
        <v>36682275397.233047</v>
      </c>
      <c r="P51" s="578">
        <v>37061488385.185089</v>
      </c>
      <c r="Q51" s="578">
        <v>37223131578.50386</v>
      </c>
      <c r="R51" s="578">
        <v>37291616757.686806</v>
      </c>
      <c r="S51" s="578">
        <v>37452876298.15963</v>
      </c>
      <c r="T51" s="578">
        <v>37463980056.368362</v>
      </c>
      <c r="U51" s="578">
        <v>37458491228.221222</v>
      </c>
      <c r="V51" s="578">
        <v>37660942797.787849</v>
      </c>
      <c r="W51" s="578">
        <v>37669650538.534325</v>
      </c>
      <c r="X51" s="578">
        <v>37839225528.069901</v>
      </c>
    </row>
    <row r="52" spans="2:24" ht="15" thickTop="1"/>
    <row r="53" spans="2:24">
      <c r="M53" s="744">
        <f>M34-M51</f>
        <v>2907861340.7499924</v>
      </c>
      <c r="N53" s="744">
        <f t="shared" ref="N53:X53" si="0">N34-N51</f>
        <v>2644654934.5</v>
      </c>
      <c r="O53" s="744">
        <f t="shared" si="0"/>
        <v>2638448528.2499924</v>
      </c>
      <c r="P53" s="744">
        <f t="shared" si="0"/>
        <v>1522242121.9999924</v>
      </c>
      <c r="Q53" s="744">
        <f t="shared" si="0"/>
        <v>1516035715.7499924</v>
      </c>
      <c r="R53" s="744">
        <f t="shared" si="0"/>
        <v>1509829309.5</v>
      </c>
      <c r="S53" s="744">
        <f t="shared" si="0"/>
        <v>1503622903.2499924</v>
      </c>
      <c r="T53" s="744">
        <f t="shared" si="0"/>
        <v>1497416496.9999924</v>
      </c>
      <c r="U53" s="744">
        <f t="shared" si="0"/>
        <v>1491210090.7499924</v>
      </c>
      <c r="V53" s="744">
        <f t="shared" si="0"/>
        <v>1485003684.4999924</v>
      </c>
      <c r="W53" s="744">
        <f t="shared" si="0"/>
        <v>1478797278.2499924</v>
      </c>
      <c r="X53" s="744">
        <f t="shared" si="0"/>
        <v>55000000.999992371</v>
      </c>
    </row>
    <row r="54" spans="2:24">
      <c r="M54" s="744"/>
      <c r="N54" s="744"/>
      <c r="O54" s="744"/>
      <c r="P54" s="744"/>
      <c r="Q54" s="744"/>
      <c r="R54" s="744"/>
      <c r="S54" s="744"/>
      <c r="T54" s="744"/>
      <c r="U54" s="744"/>
      <c r="V54" s="744"/>
      <c r="W54" s="744"/>
      <c r="X54" s="74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F1FC-DE5B-4F6B-834F-7F78126EA635}">
  <dimension ref="A1:X56"/>
  <sheetViews>
    <sheetView showGridLines="0" workbookViewId="0">
      <pane xSplit="6" ySplit="1" topLeftCell="G19" activePane="bottomRight" state="frozen"/>
      <selection pane="topRight" activeCell="F1" sqref="F1"/>
      <selection pane="bottomLeft" activeCell="A2" sqref="A2"/>
      <selection pane="bottomRight" activeCell="P56" sqref="P56"/>
    </sheetView>
  </sheetViews>
  <sheetFormatPr defaultRowHeight="14.5"/>
  <cols>
    <col min="1" max="1" width="18.9140625" bestFit="1" customWidth="1"/>
    <col min="12" max="12" width="3.9140625" customWidth="1"/>
  </cols>
  <sheetData>
    <row r="1" spans="1:24" ht="16.5">
      <c r="A1" s="693" t="s">
        <v>517</v>
      </c>
      <c r="B1" s="459" t="s">
        <v>211</v>
      </c>
      <c r="C1" s="460"/>
      <c r="D1" s="460"/>
      <c r="E1" s="460"/>
      <c r="F1" s="461"/>
      <c r="G1" s="494">
        <v>2023</v>
      </c>
      <c r="H1" s="494">
        <v>2024</v>
      </c>
      <c r="I1" s="497" t="s">
        <v>253</v>
      </c>
      <c r="J1" s="502" t="s">
        <v>252</v>
      </c>
      <c r="K1" s="492" t="s">
        <v>251</v>
      </c>
      <c r="M1" s="492">
        <v>1</v>
      </c>
      <c r="N1" s="492">
        <v>2</v>
      </c>
      <c r="O1" s="492">
        <v>3</v>
      </c>
      <c r="P1" s="492">
        <v>4</v>
      </c>
      <c r="Q1" s="492">
        <v>5</v>
      </c>
      <c r="R1" s="492">
        <v>6</v>
      </c>
      <c r="S1" s="492">
        <v>7</v>
      </c>
      <c r="T1" s="492">
        <v>8</v>
      </c>
      <c r="U1" s="492">
        <v>9</v>
      </c>
      <c r="V1" s="492">
        <v>10</v>
      </c>
      <c r="W1" s="492">
        <v>11</v>
      </c>
      <c r="X1" s="492">
        <v>12</v>
      </c>
    </row>
    <row r="2" spans="1:24" ht="16.5">
      <c r="B2" s="462" t="s">
        <v>212</v>
      </c>
      <c r="C2" s="463"/>
      <c r="D2" s="463"/>
      <c r="E2" s="464"/>
      <c r="F2" s="465"/>
      <c r="G2" s="503">
        <v>11226207309.860001</v>
      </c>
      <c r="H2" s="503">
        <v>11878997128.482</v>
      </c>
      <c r="I2" s="504">
        <v>11357580755.757681</v>
      </c>
      <c r="J2" s="505">
        <v>15229289556.482</v>
      </c>
      <c r="K2" s="506">
        <v>17986824183.221123</v>
      </c>
      <c r="M2" s="536">
        <v>15213541456.628839</v>
      </c>
      <c r="N2" s="536">
        <v>14867251516.820187</v>
      </c>
      <c r="O2" s="536">
        <v>15268074266.898041</v>
      </c>
      <c r="P2" s="536">
        <v>15635796915.48032</v>
      </c>
      <c r="Q2" s="536">
        <v>15952188816.359034</v>
      </c>
      <c r="R2" s="536">
        <v>16242279023.228855</v>
      </c>
      <c r="S2" s="536">
        <v>16519957975.645344</v>
      </c>
      <c r="T2" s="536">
        <v>16785225420.97628</v>
      </c>
      <c r="U2" s="536">
        <v>17057542612.249435</v>
      </c>
      <c r="V2" s="536">
        <v>17375947667.27037</v>
      </c>
      <c r="W2" s="536">
        <v>17684223639.515747</v>
      </c>
      <c r="X2" s="536">
        <v>17986824183.221123</v>
      </c>
    </row>
    <row r="3" spans="1:24" ht="16.5">
      <c r="B3" s="466" t="s">
        <v>213</v>
      </c>
      <c r="C3" s="463"/>
      <c r="D3" s="463"/>
      <c r="E3" s="464"/>
      <c r="F3" s="465"/>
      <c r="G3" s="503">
        <v>2116625281</v>
      </c>
      <c r="H3" s="503">
        <v>6003863340</v>
      </c>
      <c r="I3" s="504">
        <v>4346737943.1918774</v>
      </c>
      <c r="J3" s="505">
        <v>8740054809</v>
      </c>
      <c r="K3" s="506">
        <v>11418790842.21102</v>
      </c>
      <c r="M3" s="536">
        <v>9319869289.4661198</v>
      </c>
      <c r="N3" s="536">
        <v>9916490121.7292595</v>
      </c>
      <c r="O3" s="536">
        <v>9062040090.0534744</v>
      </c>
      <c r="P3" s="536">
        <v>9094566620.8583336</v>
      </c>
      <c r="Q3" s="536">
        <v>9420572815.4534073</v>
      </c>
      <c r="R3" s="536">
        <v>9691640749.6547775</v>
      </c>
      <c r="S3" s="536">
        <v>9960717957.0763912</v>
      </c>
      <c r="T3" s="536">
        <v>10215879411.335247</v>
      </c>
      <c r="U3" s="536">
        <v>10487809282.765705</v>
      </c>
      <c r="V3" s="536">
        <v>10821573375.509403</v>
      </c>
      <c r="W3" s="536">
        <v>11119922419.571346</v>
      </c>
      <c r="X3" s="536">
        <v>11418790842.21102</v>
      </c>
    </row>
    <row r="4" spans="1:24" ht="16.5">
      <c r="A4">
        <v>3</v>
      </c>
      <c r="B4" s="467"/>
      <c r="C4" s="468" t="s">
        <v>213</v>
      </c>
      <c r="D4" s="468"/>
      <c r="E4" s="469"/>
      <c r="F4" s="470"/>
      <c r="G4" s="507">
        <v>2116625281</v>
      </c>
      <c r="H4" s="507">
        <v>6003863340</v>
      </c>
      <c r="I4" s="508">
        <v>4346737943.1918774</v>
      </c>
      <c r="J4" s="509">
        <v>2740054809</v>
      </c>
      <c r="K4" s="510">
        <v>11418790842.21102</v>
      </c>
      <c r="M4" s="541">
        <v>9319869289.4661198</v>
      </c>
      <c r="N4" s="541">
        <v>9916490121.7292595</v>
      </c>
      <c r="O4" s="541">
        <v>9062040090.0534744</v>
      </c>
      <c r="P4" s="541">
        <v>9094566620.8583336</v>
      </c>
      <c r="Q4" s="541">
        <v>9420572815.4534073</v>
      </c>
      <c r="R4" s="541">
        <v>9691640749.6547775</v>
      </c>
      <c r="S4" s="541">
        <v>9960717957.0763912</v>
      </c>
      <c r="T4" s="541">
        <v>10215879411.335247</v>
      </c>
      <c r="U4" s="541">
        <v>10487809282.765705</v>
      </c>
      <c r="V4" s="541">
        <v>10821573375.509403</v>
      </c>
      <c r="W4" s="541">
        <v>11119922419.571346</v>
      </c>
      <c r="X4" s="541">
        <v>11418790842.21102</v>
      </c>
    </row>
    <row r="5" spans="1:24" ht="16.5">
      <c r="A5">
        <v>8</v>
      </c>
      <c r="B5" s="467"/>
      <c r="C5" s="468" t="s">
        <v>214</v>
      </c>
      <c r="D5" s="468"/>
      <c r="E5" s="469"/>
      <c r="F5" s="470"/>
      <c r="G5" s="511"/>
      <c r="H5" s="511"/>
      <c r="I5" s="508"/>
      <c r="J5" s="509">
        <v>6000000000</v>
      </c>
      <c r="K5" s="510">
        <v>0</v>
      </c>
      <c r="M5" s="541"/>
      <c r="N5" s="541"/>
      <c r="O5" s="541"/>
      <c r="P5" s="541"/>
      <c r="Q5" s="541"/>
      <c r="R5" s="541"/>
      <c r="S5" s="541"/>
      <c r="T5" s="541"/>
      <c r="U5" s="541"/>
      <c r="V5" s="541"/>
      <c r="W5" s="541"/>
      <c r="X5" s="541"/>
    </row>
    <row r="6" spans="1:24" ht="16.5">
      <c r="B6" s="466" t="s">
        <v>215</v>
      </c>
      <c r="C6" s="463"/>
      <c r="D6" s="463"/>
      <c r="E6" s="464"/>
      <c r="F6" s="465"/>
      <c r="G6" s="503">
        <v>3904917434</v>
      </c>
      <c r="H6" s="503">
        <v>1638974810</v>
      </c>
      <c r="I6" s="504">
        <v>2237550025.4452791</v>
      </c>
      <c r="J6" s="505">
        <v>2273620186</v>
      </c>
      <c r="K6" s="506">
        <v>2385515099.7927771</v>
      </c>
      <c r="M6" s="536">
        <v>2049997595.0723708</v>
      </c>
      <c r="N6" s="536">
        <v>1617179500.2243805</v>
      </c>
      <c r="O6" s="536">
        <v>2202098453.3685055</v>
      </c>
      <c r="P6" s="536">
        <v>2351584070.226881</v>
      </c>
      <c r="Q6" s="536">
        <v>2355806798.7771864</v>
      </c>
      <c r="R6" s="536">
        <v>2360052634.6900826</v>
      </c>
      <c r="S6" s="536">
        <v>2364305271.7294025</v>
      </c>
      <c r="T6" s="536">
        <v>2368567047.9403706</v>
      </c>
      <c r="U6" s="536">
        <v>2372822774.7441788</v>
      </c>
      <c r="V6" s="536">
        <v>2377047875.9103041</v>
      </c>
      <c r="W6" s="536">
        <v>2381281879.6604056</v>
      </c>
      <c r="X6" s="536">
        <v>2385515099.7927771</v>
      </c>
    </row>
    <row r="7" spans="1:24" ht="16.5">
      <c r="A7">
        <v>13</v>
      </c>
      <c r="B7" s="467"/>
      <c r="C7" s="468" t="s">
        <v>216</v>
      </c>
      <c r="D7" s="468"/>
      <c r="E7" s="469"/>
      <c r="F7" s="470"/>
      <c r="G7" s="511">
        <v>3868305821</v>
      </c>
      <c r="H7" s="511">
        <v>1498339440</v>
      </c>
      <c r="I7" s="508">
        <v>2088100650.1307054</v>
      </c>
      <c r="J7" s="509">
        <v>1967294520</v>
      </c>
      <c r="K7" s="510">
        <v>2033377500</v>
      </c>
      <c r="M7" s="541">
        <v>1742895000</v>
      </c>
      <c r="N7" s="541">
        <v>1307171250</v>
      </c>
      <c r="O7" s="541">
        <v>1888136250</v>
      </c>
      <c r="P7" s="541">
        <v>2033377500</v>
      </c>
      <c r="Q7" s="541">
        <v>2033377500</v>
      </c>
      <c r="R7" s="541">
        <v>2033377500</v>
      </c>
      <c r="S7" s="541">
        <v>2033377500</v>
      </c>
      <c r="T7" s="541">
        <v>2033377500</v>
      </c>
      <c r="U7" s="541">
        <v>2033377500</v>
      </c>
      <c r="V7" s="541">
        <v>2033377500</v>
      </c>
      <c r="W7" s="541">
        <v>2033377500</v>
      </c>
      <c r="X7" s="541">
        <v>2033377500</v>
      </c>
    </row>
    <row r="8" spans="1:24" ht="16.5">
      <c r="A8">
        <v>14</v>
      </c>
      <c r="B8" s="467"/>
      <c r="C8" s="468" t="s">
        <v>217</v>
      </c>
      <c r="D8" s="468"/>
      <c r="E8" s="469"/>
      <c r="F8" s="470"/>
      <c r="G8" s="511">
        <v>6944753</v>
      </c>
      <c r="H8" s="511">
        <v>25968510</v>
      </c>
      <c r="I8" s="508">
        <v>34782515.314573966</v>
      </c>
      <c r="J8" s="509">
        <v>2926408</v>
      </c>
      <c r="K8" s="510">
        <v>48738341.792777009</v>
      </c>
      <c r="M8" s="541">
        <v>3703337.0723706605</v>
      </c>
      <c r="N8" s="541">
        <v>6608992.2243806124</v>
      </c>
      <c r="O8" s="541">
        <v>10562945.368505789</v>
      </c>
      <c r="P8" s="541">
        <v>14807312.226880889</v>
      </c>
      <c r="Q8" s="541">
        <v>19030040.777186524</v>
      </c>
      <c r="R8" s="541">
        <v>23275876.690082442</v>
      </c>
      <c r="S8" s="541">
        <v>27528513.729402535</v>
      </c>
      <c r="T8" s="541">
        <v>31790289.940370385</v>
      </c>
      <c r="U8" s="541">
        <v>36046016.744178995</v>
      </c>
      <c r="V8" s="541">
        <v>40271117.910304412</v>
      </c>
      <c r="W8" s="541">
        <v>44505121.660405688</v>
      </c>
      <c r="X8" s="541">
        <v>48738341.792777009</v>
      </c>
    </row>
    <row r="9" spans="1:24" ht="16.5">
      <c r="A9">
        <v>17</v>
      </c>
      <c r="B9" s="467"/>
      <c r="C9" s="468" t="s">
        <v>218</v>
      </c>
      <c r="D9" s="468"/>
      <c r="E9" s="469"/>
      <c r="F9" s="470"/>
      <c r="G9" s="511">
        <v>29666860</v>
      </c>
      <c r="H9" s="511">
        <v>114666860</v>
      </c>
      <c r="I9" s="508">
        <v>114666860</v>
      </c>
      <c r="J9" s="509">
        <v>303399258</v>
      </c>
      <c r="K9" s="510">
        <v>303399258</v>
      </c>
      <c r="M9" s="541">
        <v>303399258</v>
      </c>
      <c r="N9" s="541">
        <v>303399258</v>
      </c>
      <c r="O9" s="541">
        <v>303399258</v>
      </c>
      <c r="P9" s="541">
        <v>303399258</v>
      </c>
      <c r="Q9" s="541">
        <v>303399258</v>
      </c>
      <c r="R9" s="541">
        <v>303399258</v>
      </c>
      <c r="S9" s="541">
        <v>303399258</v>
      </c>
      <c r="T9" s="541">
        <v>303399258</v>
      </c>
      <c r="U9" s="541">
        <v>303399258</v>
      </c>
      <c r="V9" s="541">
        <v>303399258</v>
      </c>
      <c r="W9" s="541">
        <v>303399258</v>
      </c>
      <c r="X9" s="541">
        <v>303399258</v>
      </c>
    </row>
    <row r="10" spans="1:24" ht="16.5">
      <c r="B10" s="466" t="s">
        <v>219</v>
      </c>
      <c r="C10" s="463"/>
      <c r="D10" s="463"/>
      <c r="E10" s="471"/>
      <c r="F10" s="472"/>
      <c r="G10" s="503">
        <v>4604306616.8599997</v>
      </c>
      <c r="H10" s="503">
        <v>1582545526.4820001</v>
      </c>
      <c r="I10" s="504">
        <v>2119679335.1205242</v>
      </c>
      <c r="J10" s="505">
        <v>2740108395.4819999</v>
      </c>
      <c r="K10" s="506">
        <v>2707012075.2173285</v>
      </c>
      <c r="M10" s="536">
        <v>2368168406.0903487</v>
      </c>
      <c r="N10" s="536">
        <v>1858075728.8665466</v>
      </c>
      <c r="O10" s="536">
        <v>2528429557.4760609</v>
      </c>
      <c r="P10" s="536">
        <v>2714140058.3951063</v>
      </c>
      <c r="Q10" s="536">
        <v>2700303036.1284394</v>
      </c>
      <c r="R10" s="536">
        <v>2715079472.8839951</v>
      </c>
      <c r="S10" s="536">
        <v>2719428580.8395505</v>
      </c>
      <c r="T10" s="536">
        <v>2725272795.7006617</v>
      </c>
      <c r="U10" s="536">
        <v>2721404388.7395506</v>
      </c>
      <c r="V10" s="536">
        <v>2701820249.8506618</v>
      </c>
      <c r="W10" s="536">
        <v>2707513174.2839952</v>
      </c>
      <c r="X10" s="536">
        <v>2707012075.2173285</v>
      </c>
    </row>
    <row r="11" spans="1:24" ht="16.5">
      <c r="A11">
        <v>21</v>
      </c>
      <c r="B11" s="467"/>
      <c r="C11" s="468" t="s">
        <v>219</v>
      </c>
      <c r="D11" s="468"/>
      <c r="E11" s="469"/>
      <c r="F11" s="470"/>
      <c r="G11" s="507">
        <v>4604306616.8599997</v>
      </c>
      <c r="H11" s="507">
        <v>1582545526.4820001</v>
      </c>
      <c r="I11" s="508">
        <v>2119679335.1205242</v>
      </c>
      <c r="J11" s="509">
        <v>2740108395.4819999</v>
      </c>
      <c r="K11" s="510">
        <v>2707012075.2173285</v>
      </c>
      <c r="M11" s="541">
        <v>2368168406.0903487</v>
      </c>
      <c r="N11" s="541">
        <v>1858075728.8665466</v>
      </c>
      <c r="O11" s="541">
        <v>2528429557.4760609</v>
      </c>
      <c r="P11" s="541">
        <v>2714140058.3951063</v>
      </c>
      <c r="Q11" s="541">
        <v>2700303036.1284394</v>
      </c>
      <c r="R11" s="541">
        <v>2715079472.8839951</v>
      </c>
      <c r="S11" s="541">
        <v>2719428580.8395505</v>
      </c>
      <c r="T11" s="541">
        <v>2725272795.7006617</v>
      </c>
      <c r="U11" s="541">
        <v>2721404388.7395506</v>
      </c>
      <c r="V11" s="541">
        <v>2701820249.8506618</v>
      </c>
      <c r="W11" s="541">
        <v>2707513174.2839952</v>
      </c>
      <c r="X11" s="541">
        <v>2707012075.2173285</v>
      </c>
    </row>
    <row r="12" spans="1:24" ht="16.5">
      <c r="A12">
        <v>32</v>
      </c>
      <c r="B12" s="466" t="s">
        <v>220</v>
      </c>
      <c r="C12" s="463"/>
      <c r="D12" s="463"/>
      <c r="E12" s="471"/>
      <c r="F12" s="472"/>
      <c r="G12" s="503">
        <v>600357978</v>
      </c>
      <c r="H12" s="503">
        <v>2653613452</v>
      </c>
      <c r="I12" s="504">
        <v>2653613452</v>
      </c>
      <c r="J12" s="505">
        <v>1475506166</v>
      </c>
      <c r="K12" s="506">
        <v>1475506166</v>
      </c>
      <c r="M12" s="536">
        <v>1475506166</v>
      </c>
      <c r="N12" s="536">
        <v>1475506166</v>
      </c>
      <c r="O12" s="536">
        <v>1475506166</v>
      </c>
      <c r="P12" s="536">
        <v>1475506166</v>
      </c>
      <c r="Q12" s="536">
        <v>1475506166</v>
      </c>
      <c r="R12" s="536">
        <v>1475506166</v>
      </c>
      <c r="S12" s="536">
        <v>1475506166</v>
      </c>
      <c r="T12" s="536">
        <v>1475506166</v>
      </c>
      <c r="U12" s="536">
        <v>1475506166</v>
      </c>
      <c r="V12" s="536">
        <v>1475506166</v>
      </c>
      <c r="W12" s="536">
        <v>1475506166</v>
      </c>
      <c r="X12" s="536">
        <v>1475506166</v>
      </c>
    </row>
    <row r="13" spans="1:24" ht="16.5">
      <c r="B13" s="473"/>
      <c r="C13" s="468"/>
      <c r="D13" s="468"/>
      <c r="E13" s="469"/>
      <c r="F13" s="470"/>
      <c r="G13" s="512"/>
      <c r="H13" s="512"/>
      <c r="I13" s="513"/>
      <c r="J13" s="514"/>
      <c r="K13" s="515">
        <v>0</v>
      </c>
      <c r="M13" s="515"/>
      <c r="N13" s="515"/>
      <c r="O13" s="515"/>
      <c r="P13" s="515"/>
      <c r="Q13" s="515"/>
      <c r="R13" s="515"/>
      <c r="S13" s="515"/>
      <c r="T13" s="515"/>
      <c r="U13" s="515"/>
      <c r="V13" s="515"/>
      <c r="W13" s="515"/>
      <c r="X13" s="515"/>
    </row>
    <row r="14" spans="1:24" ht="16.5">
      <c r="B14" s="462" t="s">
        <v>221</v>
      </c>
      <c r="C14" s="463"/>
      <c r="D14" s="463"/>
      <c r="E14" s="464"/>
      <c r="F14" s="465"/>
      <c r="G14" s="503">
        <v>5030307875</v>
      </c>
      <c r="H14" s="503">
        <v>5920101245</v>
      </c>
      <c r="I14" s="504">
        <v>6810342506.093708</v>
      </c>
      <c r="J14" s="505">
        <v>7145209425</v>
      </c>
      <c r="K14" s="506">
        <v>7361375306.9915514</v>
      </c>
      <c r="M14" s="536">
        <v>8611850287.3513184</v>
      </c>
      <c r="N14" s="536">
        <v>8507117913.7702255</v>
      </c>
      <c r="O14" s="536">
        <v>8394351346.6407452</v>
      </c>
      <c r="P14" s="536">
        <v>8279576231.1241684</v>
      </c>
      <c r="Q14" s="536">
        <v>8164801115.6075907</v>
      </c>
      <c r="R14" s="536">
        <v>8050026000.0910139</v>
      </c>
      <c r="S14" s="536">
        <v>7935250884.5744371</v>
      </c>
      <c r="T14" s="536">
        <v>7820475769.0578594</v>
      </c>
      <c r="U14" s="536">
        <v>7705700653.5412827</v>
      </c>
      <c r="V14" s="536">
        <v>7590925538.0247059</v>
      </c>
      <c r="W14" s="536">
        <v>7476150422.5081282</v>
      </c>
      <c r="X14" s="536">
        <v>7361375306.9915514</v>
      </c>
    </row>
    <row r="15" spans="1:24" ht="16.5">
      <c r="B15" s="466" t="s">
        <v>222</v>
      </c>
      <c r="C15" s="463"/>
      <c r="D15" s="463"/>
      <c r="E15" s="464"/>
      <c r="F15" s="465"/>
      <c r="G15" s="503">
        <v>4820029021</v>
      </c>
      <c r="H15" s="503">
        <v>5649559137</v>
      </c>
      <c r="I15" s="504">
        <v>6539800398.093708</v>
      </c>
      <c r="J15" s="505">
        <v>5818128147</v>
      </c>
      <c r="K15" s="506">
        <v>6034294028.9915514</v>
      </c>
      <c r="M15" s="536">
        <v>7284769009.3513193</v>
      </c>
      <c r="N15" s="536">
        <v>7180036635.7702255</v>
      </c>
      <c r="O15" s="536">
        <v>7067270068.6407452</v>
      </c>
      <c r="P15" s="536">
        <v>6952494953.1241684</v>
      </c>
      <c r="Q15" s="536">
        <v>6837719837.6075907</v>
      </c>
      <c r="R15" s="536">
        <v>6722944722.0910139</v>
      </c>
      <c r="S15" s="536">
        <v>6608169606.5744371</v>
      </c>
      <c r="T15" s="536">
        <v>6493394491.0578594</v>
      </c>
      <c r="U15" s="536">
        <v>6378619375.5412827</v>
      </c>
      <c r="V15" s="536">
        <v>6263844260.0247059</v>
      </c>
      <c r="W15" s="536">
        <v>6149069144.5081282</v>
      </c>
      <c r="X15" s="536">
        <v>6034294028.9915514</v>
      </c>
    </row>
    <row r="16" spans="1:24" ht="16.5">
      <c r="B16" s="473"/>
      <c r="C16" s="474" t="s">
        <v>223</v>
      </c>
      <c r="D16" s="468"/>
      <c r="E16" s="469"/>
      <c r="F16" s="470"/>
      <c r="G16" s="511">
        <v>4820029021</v>
      </c>
      <c r="H16" s="511">
        <v>5649559137</v>
      </c>
      <c r="I16" s="508">
        <v>6539800398.093708</v>
      </c>
      <c r="J16" s="509">
        <v>5818128147</v>
      </c>
      <c r="K16" s="510">
        <v>5343140903.9915514</v>
      </c>
      <c r="M16" s="541">
        <v>6551378748.9346523</v>
      </c>
      <c r="N16" s="541">
        <v>6450486114.9368925</v>
      </c>
      <c r="O16" s="541">
        <v>6341559287.3907452</v>
      </c>
      <c r="P16" s="541">
        <v>6230623911.4575014</v>
      </c>
      <c r="Q16" s="541">
        <v>6119688535.5242577</v>
      </c>
      <c r="R16" s="541">
        <v>6008753159.5910139</v>
      </c>
      <c r="S16" s="541">
        <v>5897817783.6577702</v>
      </c>
      <c r="T16" s="541">
        <v>5786882407.7245264</v>
      </c>
      <c r="U16" s="541">
        <v>5675947031.7912827</v>
      </c>
      <c r="V16" s="541">
        <v>5565011655.8580389</v>
      </c>
      <c r="W16" s="541">
        <v>5454076279.9247952</v>
      </c>
      <c r="X16" s="541">
        <v>5343140903.9915514</v>
      </c>
    </row>
    <row r="17" spans="1:24" ht="16.5">
      <c r="A17">
        <v>43</v>
      </c>
      <c r="B17" s="475"/>
      <c r="C17" s="498"/>
      <c r="D17" s="499"/>
      <c r="E17" s="476" t="s">
        <v>224</v>
      </c>
      <c r="F17" s="477"/>
      <c r="G17" s="516">
        <v>6271532150</v>
      </c>
      <c r="H17" s="516">
        <v>8496860564</v>
      </c>
      <c r="I17" s="517">
        <v>12241186236</v>
      </c>
      <c r="J17" s="518">
        <v>10690249756</v>
      </c>
      <c r="K17" s="519">
        <v>11503956236</v>
      </c>
      <c r="M17" s="545">
        <v>11503956236</v>
      </c>
      <c r="N17" s="545">
        <v>11503956236</v>
      </c>
      <c r="O17" s="545">
        <v>11503956236</v>
      </c>
      <c r="P17" s="545">
        <v>11503956236</v>
      </c>
      <c r="Q17" s="545">
        <v>11503956236</v>
      </c>
      <c r="R17" s="545">
        <v>11503956236</v>
      </c>
      <c r="S17" s="545">
        <v>11503956236</v>
      </c>
      <c r="T17" s="545">
        <v>11503956236</v>
      </c>
      <c r="U17" s="545">
        <v>11503956236</v>
      </c>
      <c r="V17" s="545">
        <v>11503956236</v>
      </c>
      <c r="W17" s="545">
        <v>11503956236</v>
      </c>
      <c r="X17" s="545">
        <v>11503956236</v>
      </c>
    </row>
    <row r="18" spans="1:24" ht="16.5">
      <c r="A18">
        <v>44</v>
      </c>
      <c r="B18" s="475"/>
      <c r="C18" s="498"/>
      <c r="D18" s="499"/>
      <c r="E18" s="476" t="s">
        <v>225</v>
      </c>
      <c r="F18" s="477"/>
      <c r="G18" s="520">
        <v>-1451503129</v>
      </c>
      <c r="H18" s="520">
        <v>-2847301427</v>
      </c>
      <c r="I18" s="517">
        <v>-5701385837.906292</v>
      </c>
      <c r="J18" s="518">
        <v>-4872121609</v>
      </c>
      <c r="K18" s="519">
        <v>-6160815332.0084486</v>
      </c>
      <c r="M18" s="545">
        <v>-4952577487.0653477</v>
      </c>
      <c r="N18" s="545">
        <v>-5053470121.0631075</v>
      </c>
      <c r="O18" s="545">
        <v>-5162396948.6092548</v>
      </c>
      <c r="P18" s="545">
        <v>-5273332324.5424986</v>
      </c>
      <c r="Q18" s="545">
        <v>-5384267700.4757423</v>
      </c>
      <c r="R18" s="545">
        <v>-5495203076.4089861</v>
      </c>
      <c r="S18" s="545">
        <v>-5606138452.3422298</v>
      </c>
      <c r="T18" s="545">
        <v>-5717073828.2754736</v>
      </c>
      <c r="U18" s="545">
        <v>-5828009204.2087173</v>
      </c>
      <c r="V18" s="545">
        <v>-5938944580.1419611</v>
      </c>
      <c r="W18" s="545">
        <v>-6049879956.0752048</v>
      </c>
      <c r="X18" s="545">
        <v>-6160815332.0084486</v>
      </c>
    </row>
    <row r="19" spans="1:24" ht="16.5">
      <c r="B19" s="473"/>
      <c r="C19" s="474" t="s">
        <v>226</v>
      </c>
      <c r="D19" s="468"/>
      <c r="E19" s="469"/>
      <c r="F19" s="470"/>
      <c r="G19" s="511">
        <v>0</v>
      </c>
      <c r="H19" s="511">
        <v>0</v>
      </c>
      <c r="I19" s="508">
        <v>0</v>
      </c>
      <c r="J19" s="509">
        <v>0</v>
      </c>
      <c r="K19" s="510">
        <v>0</v>
      </c>
      <c r="M19" s="541"/>
      <c r="N19" s="541"/>
      <c r="O19" s="541"/>
      <c r="P19" s="541"/>
      <c r="Q19" s="541"/>
      <c r="R19" s="541"/>
      <c r="S19" s="541"/>
      <c r="T19" s="541"/>
      <c r="U19" s="541"/>
      <c r="V19" s="541"/>
      <c r="W19" s="541"/>
      <c r="X19" s="541"/>
    </row>
    <row r="20" spans="1:24" ht="16.5">
      <c r="A20">
        <v>46</v>
      </c>
      <c r="B20" s="475"/>
      <c r="C20" s="500"/>
      <c r="D20" s="501"/>
      <c r="E20" s="476" t="s">
        <v>224</v>
      </c>
      <c r="F20" s="477"/>
      <c r="G20" s="516"/>
      <c r="H20" s="516"/>
      <c r="I20" s="517"/>
      <c r="J20" s="518">
        <v>0</v>
      </c>
      <c r="K20" s="519">
        <v>0</v>
      </c>
      <c r="M20" s="545"/>
      <c r="N20" s="545"/>
      <c r="O20" s="545"/>
      <c r="P20" s="545"/>
      <c r="Q20" s="545"/>
      <c r="R20" s="545"/>
      <c r="S20" s="545"/>
      <c r="T20" s="545"/>
      <c r="U20" s="545"/>
      <c r="V20" s="545"/>
      <c r="W20" s="545"/>
      <c r="X20" s="545"/>
    </row>
    <row r="21" spans="1:24" ht="16.5">
      <c r="A21">
        <v>47</v>
      </c>
      <c r="B21" s="475"/>
      <c r="C21" s="500"/>
      <c r="D21" s="501"/>
      <c r="E21" s="476" t="s">
        <v>225</v>
      </c>
      <c r="F21" s="477"/>
      <c r="G21" s="516"/>
      <c r="H21" s="516"/>
      <c r="I21" s="517"/>
      <c r="J21" s="518">
        <v>0</v>
      </c>
      <c r="K21" s="519">
        <v>0</v>
      </c>
      <c r="M21" s="545"/>
      <c r="N21" s="545"/>
      <c r="O21" s="545"/>
      <c r="P21" s="545"/>
      <c r="Q21" s="545"/>
      <c r="R21" s="545"/>
      <c r="S21" s="545"/>
      <c r="T21" s="545"/>
      <c r="U21" s="545"/>
      <c r="V21" s="545"/>
      <c r="W21" s="545"/>
      <c r="X21" s="545"/>
    </row>
    <row r="22" spans="1:24" ht="16.5">
      <c r="B22" s="475"/>
      <c r="C22" s="474" t="s">
        <v>227</v>
      </c>
      <c r="D22" s="468"/>
      <c r="E22" s="476"/>
      <c r="F22" s="477"/>
      <c r="G22" s="521">
        <v>0</v>
      </c>
      <c r="H22" s="521">
        <v>0</v>
      </c>
      <c r="I22" s="508">
        <v>0</v>
      </c>
      <c r="J22" s="521">
        <v>0</v>
      </c>
      <c r="K22" s="510">
        <v>691153125</v>
      </c>
      <c r="M22" s="561">
        <v>733390260.41666663</v>
      </c>
      <c r="N22" s="561">
        <v>729550520.83333337</v>
      </c>
      <c r="O22" s="561">
        <v>725710781.25</v>
      </c>
      <c r="P22" s="561">
        <v>721871041.66666663</v>
      </c>
      <c r="Q22" s="561">
        <v>718031302.08333337</v>
      </c>
      <c r="R22" s="561">
        <v>714191562.5</v>
      </c>
      <c r="S22" s="561">
        <v>710351822.91666663</v>
      </c>
      <c r="T22" s="561">
        <v>706512083.33333337</v>
      </c>
      <c r="U22" s="561">
        <v>702672343.75</v>
      </c>
      <c r="V22" s="561">
        <v>698832604.16666663</v>
      </c>
      <c r="W22" s="561">
        <v>694992864.58333325</v>
      </c>
      <c r="X22" s="561">
        <v>691153125</v>
      </c>
    </row>
    <row r="23" spans="1:24" ht="16.5">
      <c r="A23">
        <v>49</v>
      </c>
      <c r="B23" s="475"/>
      <c r="C23" s="501"/>
      <c r="D23" s="501"/>
      <c r="E23" s="476" t="s">
        <v>224</v>
      </c>
      <c r="F23" s="477"/>
      <c r="G23" s="516"/>
      <c r="H23" s="521"/>
      <c r="I23" s="508"/>
      <c r="J23" s="521"/>
      <c r="K23" s="519">
        <v>737230000</v>
      </c>
      <c r="M23" s="545">
        <v>737230000</v>
      </c>
      <c r="N23" s="545">
        <v>737230000</v>
      </c>
      <c r="O23" s="545">
        <v>737230000</v>
      </c>
      <c r="P23" s="545">
        <v>737230000</v>
      </c>
      <c r="Q23" s="545">
        <v>737230000</v>
      </c>
      <c r="R23" s="545">
        <v>737230000</v>
      </c>
      <c r="S23" s="545">
        <v>737230000</v>
      </c>
      <c r="T23" s="545">
        <v>737230000</v>
      </c>
      <c r="U23" s="545">
        <v>737230000</v>
      </c>
      <c r="V23" s="545">
        <v>737230000</v>
      </c>
      <c r="W23" s="545">
        <v>737230000</v>
      </c>
      <c r="X23" s="545">
        <v>737230000</v>
      </c>
    </row>
    <row r="24" spans="1:24" ht="16.5">
      <c r="A24">
        <v>50</v>
      </c>
      <c r="B24" s="475"/>
      <c r="C24" s="501"/>
      <c r="D24" s="501"/>
      <c r="E24" s="476" t="s">
        <v>225</v>
      </c>
      <c r="F24" s="477"/>
      <c r="G24" s="516"/>
      <c r="H24" s="516"/>
      <c r="I24" s="517"/>
      <c r="J24" s="516"/>
      <c r="K24" s="519">
        <v>-46076875.000000022</v>
      </c>
      <c r="M24" s="545">
        <v>-3839739.5833333349</v>
      </c>
      <c r="N24" s="545">
        <v>-7679479.1666666698</v>
      </c>
      <c r="O24" s="545">
        <v>-11519218.750000004</v>
      </c>
      <c r="P24" s="545">
        <v>-15358958.33333334</v>
      </c>
      <c r="Q24" s="545">
        <v>-19198697.916666675</v>
      </c>
      <c r="R24" s="545">
        <v>-23038437.500000011</v>
      </c>
      <c r="S24" s="545">
        <v>-26878177.083333347</v>
      </c>
      <c r="T24" s="545">
        <v>-30717916.666666683</v>
      </c>
      <c r="U24" s="545">
        <v>-34557656.250000015</v>
      </c>
      <c r="V24" s="545">
        <v>-38397395.833333351</v>
      </c>
      <c r="W24" s="545">
        <v>-42237135.416666687</v>
      </c>
      <c r="X24" s="545">
        <v>-46076875.000000022</v>
      </c>
    </row>
    <row r="25" spans="1:24" ht="16.5">
      <c r="B25" s="466" t="s">
        <v>228</v>
      </c>
      <c r="C25" s="463"/>
      <c r="D25" s="463"/>
      <c r="E25" s="464"/>
      <c r="F25" s="465"/>
      <c r="G25" s="503">
        <v>0</v>
      </c>
      <c r="H25" s="503">
        <v>0</v>
      </c>
      <c r="I25" s="504">
        <v>0</v>
      </c>
      <c r="J25" s="505">
        <v>0</v>
      </c>
      <c r="K25" s="506">
        <v>0</v>
      </c>
      <c r="M25" s="536">
        <v>0</v>
      </c>
      <c r="N25" s="536">
        <v>0</v>
      </c>
      <c r="O25" s="536">
        <v>0</v>
      </c>
      <c r="P25" s="536">
        <v>0</v>
      </c>
      <c r="Q25" s="536">
        <v>0</v>
      </c>
      <c r="R25" s="536">
        <v>0</v>
      </c>
      <c r="S25" s="536">
        <v>0</v>
      </c>
      <c r="T25" s="536">
        <v>0</v>
      </c>
      <c r="U25" s="536">
        <v>0</v>
      </c>
      <c r="V25" s="536">
        <v>0</v>
      </c>
      <c r="W25" s="536">
        <v>0</v>
      </c>
      <c r="X25" s="536">
        <v>0</v>
      </c>
    </row>
    <row r="26" spans="1:24" ht="16.5">
      <c r="A26">
        <v>65</v>
      </c>
      <c r="B26" s="473"/>
      <c r="C26" s="474" t="s">
        <v>229</v>
      </c>
      <c r="D26" s="468"/>
      <c r="E26" s="469"/>
      <c r="F26" s="470"/>
      <c r="G26" s="521"/>
      <c r="H26" s="521"/>
      <c r="I26" s="508"/>
      <c r="J26" s="522">
        <v>0</v>
      </c>
      <c r="K26" s="523">
        <v>0</v>
      </c>
      <c r="M26" s="561">
        <v>0</v>
      </c>
      <c r="N26" s="561">
        <v>0</v>
      </c>
      <c r="O26" s="561">
        <v>0</v>
      </c>
      <c r="P26" s="561">
        <v>0</v>
      </c>
      <c r="Q26" s="561">
        <v>0</v>
      </c>
      <c r="R26" s="561">
        <v>0</v>
      </c>
      <c r="S26" s="561">
        <v>0</v>
      </c>
      <c r="T26" s="561">
        <v>0</v>
      </c>
      <c r="U26" s="561">
        <v>0</v>
      </c>
      <c r="V26" s="561">
        <v>0</v>
      </c>
      <c r="W26" s="561">
        <v>0</v>
      </c>
      <c r="X26" s="561">
        <v>0</v>
      </c>
    </row>
    <row r="27" spans="1:24" ht="16.5">
      <c r="A27">
        <v>77</v>
      </c>
      <c r="B27" s="466" t="s">
        <v>230</v>
      </c>
      <c r="C27" s="463"/>
      <c r="D27" s="463"/>
      <c r="E27" s="464"/>
      <c r="F27" s="465"/>
      <c r="G27" s="505">
        <v>210278854</v>
      </c>
      <c r="H27" s="505">
        <v>270542108</v>
      </c>
      <c r="I27" s="505">
        <v>270542108</v>
      </c>
      <c r="J27" s="505">
        <v>396258186</v>
      </c>
      <c r="K27" s="506">
        <v>396258186</v>
      </c>
      <c r="M27" s="536">
        <v>396258186</v>
      </c>
      <c r="N27" s="536">
        <v>396258186</v>
      </c>
      <c r="O27" s="536">
        <v>396258186</v>
      </c>
      <c r="P27" s="536">
        <v>396258186</v>
      </c>
      <c r="Q27" s="536">
        <v>396258186</v>
      </c>
      <c r="R27" s="536">
        <v>396258186</v>
      </c>
      <c r="S27" s="536">
        <v>396258186</v>
      </c>
      <c r="T27" s="536">
        <v>396258186</v>
      </c>
      <c r="U27" s="536">
        <v>396258186</v>
      </c>
      <c r="V27" s="536">
        <v>396258186</v>
      </c>
      <c r="W27" s="536">
        <v>396258186</v>
      </c>
      <c r="X27" s="536">
        <v>396258186</v>
      </c>
    </row>
    <row r="28" spans="1:24" ht="16.5">
      <c r="B28" s="466" t="s">
        <v>231</v>
      </c>
      <c r="C28" s="463"/>
      <c r="D28" s="463"/>
      <c r="E28" s="464"/>
      <c r="F28" s="465"/>
      <c r="G28" s="503"/>
      <c r="H28" s="503"/>
      <c r="I28" s="504"/>
      <c r="J28" s="505"/>
      <c r="K28" s="506">
        <v>0</v>
      </c>
      <c r="M28" s="536"/>
      <c r="N28" s="536"/>
      <c r="O28" s="536"/>
      <c r="P28" s="536"/>
      <c r="Q28" s="536"/>
      <c r="R28" s="536"/>
      <c r="S28" s="536"/>
      <c r="T28" s="536"/>
      <c r="U28" s="536"/>
      <c r="V28" s="536"/>
      <c r="W28" s="536"/>
      <c r="X28" s="536"/>
    </row>
    <row r="29" spans="1:24" ht="16.5">
      <c r="A29">
        <v>71</v>
      </c>
      <c r="B29" s="466" t="s">
        <v>232</v>
      </c>
      <c r="C29" s="463"/>
      <c r="D29" s="463"/>
      <c r="E29" s="464"/>
      <c r="F29" s="465"/>
      <c r="G29" s="503">
        <v>0</v>
      </c>
      <c r="H29" s="503">
        <v>0</v>
      </c>
      <c r="I29" s="504">
        <v>0</v>
      </c>
      <c r="J29" s="505">
        <v>930823092</v>
      </c>
      <c r="K29" s="506">
        <v>930823092</v>
      </c>
      <c r="M29" s="536">
        <v>930823092</v>
      </c>
      <c r="N29" s="536">
        <v>930823092</v>
      </c>
      <c r="O29" s="536">
        <v>930823092</v>
      </c>
      <c r="P29" s="536">
        <v>930823092</v>
      </c>
      <c r="Q29" s="536">
        <v>930823092</v>
      </c>
      <c r="R29" s="536">
        <v>930823092</v>
      </c>
      <c r="S29" s="536">
        <v>930823092</v>
      </c>
      <c r="T29" s="536">
        <v>930823092</v>
      </c>
      <c r="U29" s="536">
        <v>930823092</v>
      </c>
      <c r="V29" s="536">
        <v>930823092</v>
      </c>
      <c r="W29" s="536">
        <v>930823092</v>
      </c>
      <c r="X29" s="536">
        <v>930823092</v>
      </c>
    </row>
    <row r="30" spans="1:24" ht="16.5">
      <c r="B30" s="473"/>
      <c r="C30" s="468" t="s">
        <v>233</v>
      </c>
      <c r="D30" s="468"/>
      <c r="E30" s="469"/>
      <c r="F30" s="470"/>
      <c r="G30" s="511"/>
      <c r="H30" s="511"/>
      <c r="I30" s="508"/>
      <c r="J30" s="509"/>
      <c r="K30" s="510">
        <v>0</v>
      </c>
      <c r="M30" s="541"/>
      <c r="N30" s="541"/>
      <c r="O30" s="541"/>
      <c r="P30" s="541"/>
      <c r="Q30" s="541"/>
      <c r="R30" s="541"/>
      <c r="S30" s="541"/>
      <c r="T30" s="541"/>
      <c r="U30" s="541"/>
      <c r="V30" s="541"/>
      <c r="W30" s="541"/>
      <c r="X30" s="541"/>
    </row>
    <row r="31" spans="1:24" ht="16.5">
      <c r="B31" s="473"/>
      <c r="C31" s="468" t="s">
        <v>234</v>
      </c>
      <c r="D31" s="468"/>
      <c r="E31" s="469"/>
      <c r="F31" s="470"/>
      <c r="G31" s="511"/>
      <c r="H31" s="511"/>
      <c r="I31" s="508"/>
      <c r="J31" s="509"/>
      <c r="K31" s="510">
        <v>0</v>
      </c>
      <c r="M31" s="541"/>
      <c r="N31" s="541"/>
      <c r="O31" s="541"/>
      <c r="P31" s="541"/>
      <c r="Q31" s="541"/>
      <c r="R31" s="541"/>
      <c r="S31" s="541"/>
      <c r="T31" s="541"/>
      <c r="U31" s="541"/>
      <c r="V31" s="541"/>
      <c r="W31" s="541"/>
      <c r="X31" s="541"/>
    </row>
    <row r="32" spans="1:24" ht="16.5">
      <c r="B32" s="473"/>
      <c r="C32" s="468" t="s">
        <v>235</v>
      </c>
      <c r="D32" s="468"/>
      <c r="E32" s="469"/>
      <c r="F32" s="470"/>
      <c r="G32" s="511"/>
      <c r="H32" s="511"/>
      <c r="I32" s="508"/>
      <c r="J32" s="509"/>
      <c r="K32" s="510">
        <v>0</v>
      </c>
      <c r="M32" s="541"/>
      <c r="N32" s="541"/>
      <c r="O32" s="541"/>
      <c r="P32" s="541"/>
      <c r="Q32" s="541"/>
      <c r="R32" s="541"/>
      <c r="S32" s="541"/>
      <c r="T32" s="541"/>
      <c r="U32" s="541"/>
      <c r="V32" s="541"/>
      <c r="W32" s="541"/>
      <c r="X32" s="541"/>
    </row>
    <row r="33" spans="1:24" ht="16.5">
      <c r="B33" s="473"/>
      <c r="C33" s="468"/>
      <c r="D33" s="468"/>
      <c r="E33" s="478"/>
      <c r="F33" s="479"/>
      <c r="G33" s="511"/>
      <c r="H33" s="511"/>
      <c r="I33" s="508"/>
      <c r="J33" s="509"/>
      <c r="K33" s="510">
        <v>0</v>
      </c>
      <c r="M33" s="541"/>
      <c r="N33" s="541"/>
      <c r="O33" s="541"/>
      <c r="P33" s="541"/>
      <c r="Q33" s="541"/>
      <c r="R33" s="541"/>
      <c r="S33" s="541"/>
      <c r="T33" s="541"/>
      <c r="U33" s="541"/>
      <c r="V33" s="541"/>
      <c r="W33" s="541"/>
      <c r="X33" s="541"/>
    </row>
    <row r="34" spans="1:24" ht="17" thickBot="1">
      <c r="B34" s="480" t="s">
        <v>236</v>
      </c>
      <c r="C34" s="481"/>
      <c r="D34" s="481"/>
      <c r="E34" s="482"/>
      <c r="F34" s="483"/>
      <c r="G34" s="524">
        <v>16256515184.860001</v>
      </c>
      <c r="H34" s="524">
        <v>17799098373.482002</v>
      </c>
      <c r="I34" s="525">
        <v>18167923261.851387</v>
      </c>
      <c r="J34" s="526">
        <v>22374498981.482002</v>
      </c>
      <c r="K34" s="527">
        <v>25348199490.212673</v>
      </c>
      <c r="M34" s="572">
        <v>23825391743.980156</v>
      </c>
      <c r="N34" s="572">
        <v>23374369430.590412</v>
      </c>
      <c r="O34" s="572">
        <v>23662425613.538788</v>
      </c>
      <c r="P34" s="572">
        <v>23915373146.604488</v>
      </c>
      <c r="Q34" s="572">
        <v>24116989931.966625</v>
      </c>
      <c r="R34" s="572">
        <v>24292305023.31987</v>
      </c>
      <c r="S34" s="572">
        <v>24455208860.21978</v>
      </c>
      <c r="T34" s="572">
        <v>24605701190.034142</v>
      </c>
      <c r="U34" s="572">
        <v>24763243265.790718</v>
      </c>
      <c r="V34" s="572">
        <v>24966873205.295074</v>
      </c>
      <c r="W34" s="572">
        <v>25160374062.023876</v>
      </c>
      <c r="X34" s="572">
        <v>25348199490.212673</v>
      </c>
    </row>
    <row r="35" spans="1:24" ht="17" thickTop="1">
      <c r="B35" s="473"/>
      <c r="C35" s="484"/>
      <c r="D35" s="484"/>
      <c r="E35" s="469"/>
      <c r="F35" s="470"/>
      <c r="G35" s="511"/>
      <c r="H35" s="511"/>
      <c r="I35" s="511"/>
      <c r="J35" s="509"/>
      <c r="K35" s="510">
        <v>0</v>
      </c>
      <c r="M35" s="541"/>
      <c r="N35" s="541"/>
      <c r="O35" s="541"/>
      <c r="P35" s="541"/>
      <c r="Q35" s="541"/>
      <c r="R35" s="541"/>
      <c r="S35" s="541"/>
      <c r="T35" s="541"/>
      <c r="U35" s="541"/>
      <c r="V35" s="541"/>
      <c r="W35" s="541"/>
      <c r="X35" s="541"/>
    </row>
    <row r="36" spans="1:24" ht="16.5">
      <c r="B36" s="462" t="s">
        <v>237</v>
      </c>
      <c r="C36" s="463"/>
      <c r="D36" s="463"/>
      <c r="E36" s="464"/>
      <c r="F36" s="465"/>
      <c r="G36" s="503">
        <v>3298081647.8600001</v>
      </c>
      <c r="H36" s="503">
        <v>7125575958.4820004</v>
      </c>
      <c r="I36" s="504">
        <v>7386817671.4243374</v>
      </c>
      <c r="J36" s="505">
        <v>7495847126</v>
      </c>
      <c r="K36" s="506">
        <v>9027996160.6191616</v>
      </c>
      <c r="M36" s="536">
        <v>8960227426.7937679</v>
      </c>
      <c r="N36" s="536">
        <v>8858208891.3490124</v>
      </c>
      <c r="O36" s="536">
        <v>8992279657.070919</v>
      </c>
      <c r="P36" s="536">
        <v>9029421757.2547245</v>
      </c>
      <c r="Q36" s="536">
        <v>9026654352.8013935</v>
      </c>
      <c r="R36" s="536">
        <v>9029609640.1525021</v>
      </c>
      <c r="S36" s="536">
        <v>9030479461.7436085</v>
      </c>
      <c r="T36" s="536">
        <v>9031648304.7158394</v>
      </c>
      <c r="U36" s="536">
        <v>9030874623.3236122</v>
      </c>
      <c r="V36" s="536">
        <v>9026957795.5458317</v>
      </c>
      <c r="W36" s="536">
        <v>9028096380.4325008</v>
      </c>
      <c r="X36" s="536">
        <v>9027996160.6191616</v>
      </c>
    </row>
    <row r="37" spans="1:24" ht="16.5">
      <c r="B37" s="462" t="s">
        <v>238</v>
      </c>
      <c r="C37" s="463"/>
      <c r="D37" s="463"/>
      <c r="E37" s="464"/>
      <c r="F37" s="465"/>
      <c r="G37" s="503">
        <v>3298081647.8600001</v>
      </c>
      <c r="H37" s="503">
        <v>7125575958.4820004</v>
      </c>
      <c r="I37" s="504">
        <v>7386817671.4243374</v>
      </c>
      <c r="J37" s="505">
        <v>7495847126</v>
      </c>
      <c r="K37" s="506">
        <v>9027996160.6191616</v>
      </c>
      <c r="M37" s="536">
        <v>8960227426.7937679</v>
      </c>
      <c r="N37" s="536">
        <v>8858208891.3490124</v>
      </c>
      <c r="O37" s="536">
        <v>8992279657.070919</v>
      </c>
      <c r="P37" s="536">
        <v>9029421757.2547245</v>
      </c>
      <c r="Q37" s="536">
        <v>9026654352.8013935</v>
      </c>
      <c r="R37" s="536">
        <v>9029609640.1525021</v>
      </c>
      <c r="S37" s="536">
        <v>9030479461.7436085</v>
      </c>
      <c r="T37" s="536">
        <v>9031648304.7158394</v>
      </c>
      <c r="U37" s="536">
        <v>9030874623.3236122</v>
      </c>
      <c r="V37" s="536">
        <v>9026957795.5458317</v>
      </c>
      <c r="W37" s="536">
        <v>9028096380.4325008</v>
      </c>
      <c r="X37" s="536">
        <v>9027996160.6191616</v>
      </c>
    </row>
    <row r="38" spans="1:24" ht="16.5">
      <c r="A38">
        <v>91</v>
      </c>
      <c r="B38" s="473"/>
      <c r="C38" s="468" t="s">
        <v>239</v>
      </c>
      <c r="D38" s="468"/>
      <c r="E38" s="469"/>
      <c r="F38" s="470"/>
      <c r="G38" s="521"/>
      <c r="H38" s="521"/>
      <c r="I38" s="508"/>
      <c r="J38" s="522">
        <v>0</v>
      </c>
      <c r="K38" s="523">
        <v>0</v>
      </c>
      <c r="M38" s="561">
        <v>0</v>
      </c>
      <c r="N38" s="561">
        <v>0</v>
      </c>
      <c r="O38" s="561">
        <v>0</v>
      </c>
      <c r="P38" s="561">
        <v>0</v>
      </c>
      <c r="Q38" s="561">
        <v>0</v>
      </c>
      <c r="R38" s="561">
        <v>0</v>
      </c>
      <c r="S38" s="561">
        <v>0</v>
      </c>
      <c r="T38" s="561">
        <v>0</v>
      </c>
      <c r="U38" s="561">
        <v>0</v>
      </c>
      <c r="V38" s="561">
        <v>0</v>
      </c>
      <c r="W38" s="561">
        <v>0</v>
      </c>
      <c r="X38" s="561">
        <v>0</v>
      </c>
    </row>
    <row r="39" spans="1:24" ht="16.5">
      <c r="A39">
        <v>81</v>
      </c>
      <c r="B39" s="473"/>
      <c r="C39" s="468" t="s">
        <v>240</v>
      </c>
      <c r="D39" s="468"/>
      <c r="E39" s="469"/>
      <c r="F39" s="470"/>
      <c r="G39" s="528">
        <v>533825855</v>
      </c>
      <c r="H39" s="528">
        <v>769690713</v>
      </c>
      <c r="I39" s="508">
        <v>1030932425.9423375</v>
      </c>
      <c r="J39" s="522">
        <v>586652262</v>
      </c>
      <c r="K39" s="523">
        <v>541402415.04346573</v>
      </c>
      <c r="M39" s="561">
        <v>473633681.21806979</v>
      </c>
      <c r="N39" s="561">
        <v>371615145.77330935</v>
      </c>
      <c r="O39" s="561">
        <v>505685911.49521226</v>
      </c>
      <c r="P39" s="561">
        <v>542828011.67902124</v>
      </c>
      <c r="Q39" s="561">
        <v>540060607.22568786</v>
      </c>
      <c r="R39" s="561">
        <v>543015894.57679904</v>
      </c>
      <c r="S39" s="561">
        <v>543885716.1679101</v>
      </c>
      <c r="T39" s="561">
        <v>545054559.14013243</v>
      </c>
      <c r="U39" s="561">
        <v>544280877.74791014</v>
      </c>
      <c r="V39" s="561">
        <v>540364049.97013235</v>
      </c>
      <c r="W39" s="561">
        <v>541502634.85679901</v>
      </c>
      <c r="X39" s="561">
        <v>541402415.04346573</v>
      </c>
    </row>
    <row r="40" spans="1:24" ht="16.5">
      <c r="A40">
        <v>90</v>
      </c>
      <c r="B40" s="473"/>
      <c r="C40" s="468" t="s">
        <v>241</v>
      </c>
      <c r="D40" s="468"/>
      <c r="E40" s="469"/>
      <c r="F40" s="470"/>
      <c r="G40" s="511">
        <v>2764255792.8600001</v>
      </c>
      <c r="H40" s="511">
        <v>6355885245.4820004</v>
      </c>
      <c r="I40" s="508">
        <v>6355885245.4820004</v>
      </c>
      <c r="J40" s="509">
        <v>6909194864</v>
      </c>
      <c r="K40" s="510">
        <v>8486593745.575695</v>
      </c>
      <c r="M40" s="541">
        <v>8486593745.5756989</v>
      </c>
      <c r="N40" s="541">
        <v>8486593745.5757027</v>
      </c>
      <c r="O40" s="541">
        <v>8486593745.5757065</v>
      </c>
      <c r="P40" s="541">
        <v>8486593745.5757027</v>
      </c>
      <c r="Q40" s="541">
        <v>8486593745.5757065</v>
      </c>
      <c r="R40" s="541">
        <v>8486593745.5757027</v>
      </c>
      <c r="S40" s="541">
        <v>8486593745.5756989</v>
      </c>
      <c r="T40" s="541">
        <v>8486593745.5757065</v>
      </c>
      <c r="U40" s="541">
        <v>8486593745.5757027</v>
      </c>
      <c r="V40" s="541">
        <v>8486593745.5756989</v>
      </c>
      <c r="W40" s="541">
        <v>8486593745.5757027</v>
      </c>
      <c r="X40" s="541">
        <v>8486593745.575695</v>
      </c>
    </row>
    <row r="41" spans="1:24" ht="16.5">
      <c r="B41" s="473"/>
      <c r="C41" s="468"/>
      <c r="D41" s="468"/>
      <c r="E41" s="469"/>
      <c r="F41" s="470"/>
      <c r="G41" s="529"/>
      <c r="H41" s="529"/>
      <c r="I41" s="513"/>
      <c r="J41" s="514"/>
      <c r="K41" s="515">
        <v>0</v>
      </c>
      <c r="M41" s="515"/>
      <c r="N41" s="515"/>
      <c r="O41" s="515"/>
      <c r="P41" s="515"/>
      <c r="Q41" s="515"/>
      <c r="R41" s="515"/>
      <c r="S41" s="515"/>
      <c r="T41" s="515"/>
      <c r="U41" s="515"/>
      <c r="V41" s="515"/>
      <c r="W41" s="515"/>
      <c r="X41" s="515"/>
    </row>
    <row r="42" spans="1:24" ht="16.5">
      <c r="B42" s="462" t="s">
        <v>242</v>
      </c>
      <c r="C42" s="463"/>
      <c r="D42" s="463"/>
      <c r="E42" s="464"/>
      <c r="F42" s="465"/>
      <c r="G42" s="503">
        <v>0</v>
      </c>
      <c r="H42" s="503"/>
      <c r="I42" s="504">
        <v>0</v>
      </c>
      <c r="J42" s="505">
        <v>0</v>
      </c>
      <c r="K42" s="506">
        <v>0</v>
      </c>
      <c r="M42" s="536">
        <v>0</v>
      </c>
      <c r="N42" s="536">
        <v>0</v>
      </c>
      <c r="O42" s="536">
        <v>0</v>
      </c>
      <c r="P42" s="536">
        <v>0</v>
      </c>
      <c r="Q42" s="536">
        <v>0</v>
      </c>
      <c r="R42" s="536">
        <v>0</v>
      </c>
      <c r="S42" s="536">
        <v>0</v>
      </c>
      <c r="T42" s="536">
        <v>0</v>
      </c>
      <c r="U42" s="536">
        <v>0</v>
      </c>
      <c r="V42" s="536">
        <v>0</v>
      </c>
      <c r="W42" s="536">
        <v>0</v>
      </c>
      <c r="X42" s="536">
        <v>0</v>
      </c>
    </row>
    <row r="43" spans="1:24" ht="16.5">
      <c r="A43">
        <v>105</v>
      </c>
      <c r="B43" s="473"/>
      <c r="C43" s="468" t="s">
        <v>243</v>
      </c>
      <c r="D43" s="468"/>
      <c r="E43" s="469"/>
      <c r="F43" s="470"/>
      <c r="G43" s="521"/>
      <c r="H43" s="521"/>
      <c r="I43" s="508"/>
      <c r="J43" s="522">
        <v>0</v>
      </c>
      <c r="K43" s="523">
        <v>0</v>
      </c>
      <c r="M43" s="561"/>
      <c r="N43" s="561"/>
      <c r="O43" s="561"/>
      <c r="P43" s="561"/>
      <c r="Q43" s="561"/>
      <c r="R43" s="561"/>
      <c r="S43" s="561"/>
      <c r="T43" s="561"/>
      <c r="U43" s="561"/>
      <c r="V43" s="561"/>
      <c r="W43" s="561"/>
      <c r="X43" s="561"/>
    </row>
    <row r="44" spans="1:24" ht="16.5">
      <c r="A44">
        <v>104</v>
      </c>
      <c r="B44" s="473"/>
      <c r="C44" s="468" t="s">
        <v>244</v>
      </c>
      <c r="D44" s="468"/>
      <c r="E44" s="469"/>
      <c r="F44" s="470"/>
      <c r="G44" s="511"/>
      <c r="H44" s="511"/>
      <c r="I44" s="508"/>
      <c r="J44" s="509">
        <v>0</v>
      </c>
      <c r="K44" s="510">
        <v>0</v>
      </c>
      <c r="M44" s="541">
        <v>0</v>
      </c>
      <c r="N44" s="541">
        <v>0</v>
      </c>
      <c r="O44" s="541">
        <v>0</v>
      </c>
      <c r="P44" s="541">
        <v>0</v>
      </c>
      <c r="Q44" s="541">
        <v>0</v>
      </c>
      <c r="R44" s="541">
        <v>0</v>
      </c>
      <c r="S44" s="541">
        <v>0</v>
      </c>
      <c r="T44" s="541">
        <v>0</v>
      </c>
      <c r="U44" s="541">
        <v>0</v>
      </c>
      <c r="V44" s="541">
        <v>0</v>
      </c>
      <c r="W44" s="541">
        <v>0</v>
      </c>
      <c r="X44" s="541">
        <v>0</v>
      </c>
    </row>
    <row r="45" spans="1:24" ht="16.5">
      <c r="B45" s="462" t="s">
        <v>245</v>
      </c>
      <c r="C45" s="463"/>
      <c r="D45" s="463"/>
      <c r="E45" s="464"/>
      <c r="F45" s="465"/>
      <c r="G45" s="503">
        <v>12958433537</v>
      </c>
      <c r="H45" s="503">
        <v>10673522415</v>
      </c>
      <c r="I45" s="504">
        <v>10781105590.333344</v>
      </c>
      <c r="J45" s="505">
        <v>14878651855</v>
      </c>
      <c r="K45" s="506">
        <v>16320203329.59351</v>
      </c>
      <c r="M45" s="536">
        <v>14865164317.186386</v>
      </c>
      <c r="N45" s="536">
        <v>14516160539.2414</v>
      </c>
      <c r="O45" s="536">
        <v>14670145956.467871</v>
      </c>
      <c r="P45" s="536">
        <v>14885951389.349764</v>
      </c>
      <c r="Q45" s="536">
        <v>15090335579.165234</v>
      </c>
      <c r="R45" s="536">
        <v>15262695383.167368</v>
      </c>
      <c r="S45" s="536">
        <v>15424729398.47617</v>
      </c>
      <c r="T45" s="536">
        <v>15574052885.318304</v>
      </c>
      <c r="U45" s="536">
        <v>15732368642.467106</v>
      </c>
      <c r="V45" s="536">
        <v>15939915409.749241</v>
      </c>
      <c r="W45" s="536">
        <v>16132277681.591375</v>
      </c>
      <c r="X45" s="536">
        <v>16320203329.59351</v>
      </c>
    </row>
    <row r="46" spans="1:24" ht="16.5">
      <c r="A46">
        <v>113</v>
      </c>
      <c r="B46" s="473"/>
      <c r="C46" s="468" t="s">
        <v>246</v>
      </c>
      <c r="D46" s="468"/>
      <c r="E46" s="469"/>
      <c r="F46" s="470"/>
      <c r="G46" s="511">
        <v>15000000000</v>
      </c>
      <c r="H46" s="511">
        <v>15000000000</v>
      </c>
      <c r="I46" s="508">
        <v>15000000000</v>
      </c>
      <c r="J46" s="509">
        <v>15000000000</v>
      </c>
      <c r="K46" s="510">
        <v>15000000000</v>
      </c>
      <c r="M46" s="541">
        <v>15000000000</v>
      </c>
      <c r="N46" s="541">
        <v>15000000000</v>
      </c>
      <c r="O46" s="541">
        <v>15000000000</v>
      </c>
      <c r="P46" s="541">
        <v>15000000000</v>
      </c>
      <c r="Q46" s="541">
        <v>15000000000</v>
      </c>
      <c r="R46" s="541">
        <v>15000000000</v>
      </c>
      <c r="S46" s="541">
        <v>15000000000</v>
      </c>
      <c r="T46" s="541">
        <v>15000000000</v>
      </c>
      <c r="U46" s="541">
        <v>15000000000</v>
      </c>
      <c r="V46" s="541">
        <v>15000000000</v>
      </c>
      <c r="W46" s="541">
        <v>15000000000</v>
      </c>
      <c r="X46" s="541">
        <v>15000000000</v>
      </c>
    </row>
    <row r="47" spans="1:24" ht="16.5">
      <c r="B47" s="473"/>
      <c r="C47" s="468" t="s">
        <v>247</v>
      </c>
      <c r="D47" s="468"/>
      <c r="E47" s="469"/>
      <c r="F47" s="470"/>
      <c r="G47" s="511"/>
      <c r="H47" s="511"/>
      <c r="I47" s="508"/>
      <c r="J47" s="509">
        <v>0</v>
      </c>
      <c r="K47" s="510">
        <v>0</v>
      </c>
      <c r="M47" s="541">
        <v>0</v>
      </c>
      <c r="N47" s="541">
        <v>0</v>
      </c>
      <c r="O47" s="541">
        <v>0</v>
      </c>
      <c r="P47" s="541">
        <v>0</v>
      </c>
      <c r="Q47" s="541">
        <v>0</v>
      </c>
      <c r="R47" s="541">
        <v>0</v>
      </c>
      <c r="S47" s="541">
        <v>0</v>
      </c>
      <c r="T47" s="541">
        <v>0</v>
      </c>
      <c r="U47" s="541">
        <v>0</v>
      </c>
      <c r="V47" s="541">
        <v>0</v>
      </c>
      <c r="W47" s="541">
        <v>0</v>
      </c>
      <c r="X47" s="541">
        <v>0</v>
      </c>
    </row>
    <row r="48" spans="1:24" ht="16.5">
      <c r="B48" s="473"/>
      <c r="C48" s="468" t="s">
        <v>248</v>
      </c>
      <c r="D48" s="468"/>
      <c r="E48" s="469"/>
      <c r="F48" s="470"/>
      <c r="G48" s="511"/>
      <c r="H48" s="511"/>
      <c r="I48" s="508"/>
      <c r="J48" s="509"/>
      <c r="K48" s="510">
        <v>0</v>
      </c>
      <c r="M48" s="541"/>
      <c r="N48" s="541"/>
      <c r="O48" s="541"/>
      <c r="P48" s="541"/>
      <c r="Q48" s="541"/>
      <c r="R48" s="541"/>
      <c r="S48" s="541"/>
      <c r="T48" s="541"/>
      <c r="U48" s="541"/>
      <c r="V48" s="541"/>
      <c r="W48" s="541"/>
      <c r="X48" s="541"/>
    </row>
    <row r="49" spans="2:24" ht="16.5">
      <c r="B49" s="473"/>
      <c r="C49" s="468" t="s">
        <v>249</v>
      </c>
      <c r="D49" s="468"/>
      <c r="E49" s="469"/>
      <c r="F49" s="470"/>
      <c r="G49" s="507">
        <v>-2041566463</v>
      </c>
      <c r="H49" s="507">
        <v>-4326477585</v>
      </c>
      <c r="I49" s="508">
        <v>-4218894409.666657</v>
      </c>
      <c r="J49" s="509">
        <v>-121348145</v>
      </c>
      <c r="K49" s="510">
        <v>1320203329.5935094</v>
      </c>
      <c r="M49" s="541">
        <v>-134835682.81361455</v>
      </c>
      <c r="N49" s="541">
        <v>-483839460.75860018</v>
      </c>
      <c r="O49" s="541">
        <v>-329854043.53212947</v>
      </c>
      <c r="P49" s="541">
        <v>-114048610.65023533</v>
      </c>
      <c r="Q49" s="541">
        <v>90335579.165233076</v>
      </c>
      <c r="R49" s="541">
        <v>262695383.16736758</v>
      </c>
      <c r="S49" s="541">
        <v>424729398.47616941</v>
      </c>
      <c r="T49" s="541">
        <v>574052885.31830406</v>
      </c>
      <c r="U49" s="541">
        <v>732368642.46710527</v>
      </c>
      <c r="V49" s="541">
        <v>939915409.74924016</v>
      </c>
      <c r="W49" s="541">
        <v>1132277681.5913749</v>
      </c>
      <c r="X49" s="541">
        <v>1320203329.5935094</v>
      </c>
    </row>
    <row r="50" spans="2:24" ht="16.5">
      <c r="B50" s="485"/>
      <c r="C50" s="486"/>
      <c r="D50" s="486"/>
      <c r="E50" s="487"/>
      <c r="F50" s="488"/>
      <c r="G50" s="530"/>
      <c r="H50" s="530"/>
      <c r="I50" s="508"/>
      <c r="J50" s="509"/>
      <c r="K50" s="510">
        <v>0</v>
      </c>
      <c r="M50" s="541"/>
      <c r="N50" s="541"/>
      <c r="O50" s="541"/>
      <c r="P50" s="541"/>
      <c r="Q50" s="541"/>
      <c r="R50" s="541"/>
      <c r="S50" s="541"/>
      <c r="T50" s="541"/>
      <c r="U50" s="541"/>
      <c r="V50" s="541"/>
      <c r="W50" s="541"/>
      <c r="X50" s="541"/>
    </row>
    <row r="51" spans="2:24" ht="17" thickBot="1">
      <c r="B51" s="489" t="s">
        <v>250</v>
      </c>
      <c r="C51" s="490"/>
      <c r="D51" s="490"/>
      <c r="E51" s="491"/>
      <c r="F51" s="491"/>
      <c r="G51" s="531">
        <v>16256515184.860001</v>
      </c>
      <c r="H51" s="531">
        <v>17799098373.482002</v>
      </c>
      <c r="I51" s="532">
        <v>18167923261.757683</v>
      </c>
      <c r="J51" s="533">
        <v>22374498981</v>
      </c>
      <c r="K51" s="534">
        <v>25348199490.212669</v>
      </c>
      <c r="M51" s="578">
        <v>23825391743.980156</v>
      </c>
      <c r="N51" s="578">
        <v>23374369430.590412</v>
      </c>
      <c r="O51" s="578">
        <v>23662425613.538788</v>
      </c>
      <c r="P51" s="578">
        <v>23915373146.604488</v>
      </c>
      <c r="Q51" s="578">
        <v>24116989931.966629</v>
      </c>
      <c r="R51" s="578">
        <v>24292305023.31987</v>
      </c>
      <c r="S51" s="578">
        <v>24455208860.21978</v>
      </c>
      <c r="T51" s="578">
        <v>24605701190.034142</v>
      </c>
      <c r="U51" s="578">
        <v>24763243265.790718</v>
      </c>
      <c r="V51" s="578">
        <v>24966873205.295074</v>
      </c>
      <c r="W51" s="578">
        <v>25160374062.023876</v>
      </c>
      <c r="X51" s="578">
        <v>25348199490.212669</v>
      </c>
    </row>
    <row r="52" spans="2:24" ht="15" thickTop="1"/>
    <row r="53" spans="2:24">
      <c r="M53" s="730">
        <f t="shared" ref="M53:X53" si="0">M51-M34</f>
        <v>0</v>
      </c>
      <c r="N53" s="730">
        <f t="shared" si="0"/>
        <v>0</v>
      </c>
      <c r="O53" s="730">
        <f t="shared" si="0"/>
        <v>0</v>
      </c>
      <c r="P53" s="730">
        <f t="shared" si="0"/>
        <v>0</v>
      </c>
      <c r="Q53" s="730">
        <f t="shared" si="0"/>
        <v>0</v>
      </c>
      <c r="R53" s="730">
        <f t="shared" si="0"/>
        <v>0</v>
      </c>
      <c r="S53" s="730">
        <f t="shared" si="0"/>
        <v>0</v>
      </c>
      <c r="T53" s="730">
        <f t="shared" si="0"/>
        <v>0</v>
      </c>
      <c r="U53" s="730">
        <f t="shared" si="0"/>
        <v>0</v>
      </c>
      <c r="V53" s="730">
        <f t="shared" si="0"/>
        <v>0</v>
      </c>
      <c r="W53" s="730">
        <f t="shared" si="0"/>
        <v>0</v>
      </c>
      <c r="X53" s="730">
        <f t="shared" si="0"/>
        <v>0</v>
      </c>
    </row>
    <row r="54" spans="2:24">
      <c r="M54" s="744">
        <f>M51-'Consol BS-DTRG'!BQ81</f>
        <v>0</v>
      </c>
      <c r="N54" s="744">
        <f>N51-'Consol BS-DTRG'!BR81</f>
        <v>0</v>
      </c>
      <c r="O54" s="744">
        <f>O51-'Consol BS-DTRG'!BS81</f>
        <v>0</v>
      </c>
      <c r="P54" s="744">
        <f>P51-'Consol BS-DTRG'!BT81</f>
        <v>-1824883.5874443054</v>
      </c>
      <c r="Q54" s="744">
        <f>Q51-'Consol BS-DTRG'!BU81</f>
        <v>-52920931.041305542</v>
      </c>
      <c r="R54" s="744">
        <f>R51-'Consol BS-DTRG'!BV81</f>
        <v>-96010882.0418396</v>
      </c>
      <c r="S54" s="744">
        <f>S51-'Consol BS-DTRG'!BW81</f>
        <v>-136519385.86904144</v>
      </c>
      <c r="T54" s="744">
        <f>T51-'Consol BS-DTRG'!BX81</f>
        <v>-173850257.57957458</v>
      </c>
      <c r="U54" s="744">
        <f>U51-'Consol BS-DTRG'!BY81</f>
        <v>-213429196.86677551</v>
      </c>
      <c r="V54" s="744">
        <f>V51-'Consol BS-DTRG'!BZ81</f>
        <v>-265315888.68730927</v>
      </c>
      <c r="W54" s="744">
        <f>W51-'Consol BS-DTRG'!CA81</f>
        <v>-313406456.64784622</v>
      </c>
      <c r="X54" s="744">
        <f>X51-'Consol BS-DTRG'!CB81</f>
        <v>-360387868.64838028</v>
      </c>
    </row>
    <row r="56" spans="2:24">
      <c r="P56" s="744">
        <f>O49-P49</f>
        <v>-215805432.88189414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071E-DF15-4776-86BC-DC2AFE3DE94C}">
  <dimension ref="A1:X54"/>
  <sheetViews>
    <sheetView showGridLines="0" workbookViewId="0">
      <pane ySplit="1" topLeftCell="A19" activePane="bottomLeft" state="frozen"/>
      <selection pane="bottomLeft" activeCell="M53" sqref="M53"/>
    </sheetView>
  </sheetViews>
  <sheetFormatPr defaultRowHeight="14.5"/>
  <cols>
    <col min="1" max="1" width="18.9140625" bestFit="1" customWidth="1"/>
    <col min="12" max="12" width="1.75" customWidth="1"/>
    <col min="14" max="14" width="12.6640625" bestFit="1" customWidth="1"/>
  </cols>
  <sheetData>
    <row r="1" spans="1:24" ht="16.5">
      <c r="A1" s="693" t="s">
        <v>517</v>
      </c>
      <c r="B1" s="459" t="s">
        <v>211</v>
      </c>
      <c r="C1" s="460"/>
      <c r="D1" s="460"/>
      <c r="E1" s="460"/>
      <c r="F1" s="461"/>
      <c r="G1" s="494">
        <v>2023</v>
      </c>
      <c r="H1" s="494">
        <v>2024</v>
      </c>
      <c r="I1" s="497" t="s">
        <v>253</v>
      </c>
      <c r="J1" s="502" t="s">
        <v>252</v>
      </c>
      <c r="K1" s="492" t="s">
        <v>251</v>
      </c>
      <c r="M1" s="492">
        <v>1</v>
      </c>
      <c r="N1" s="492">
        <v>2</v>
      </c>
      <c r="O1" s="492">
        <v>3</v>
      </c>
      <c r="P1" s="492">
        <v>4</v>
      </c>
      <c r="Q1" s="492">
        <v>5</v>
      </c>
      <c r="R1" s="492">
        <v>6</v>
      </c>
      <c r="S1" s="492">
        <v>7</v>
      </c>
      <c r="T1" s="492">
        <v>8</v>
      </c>
      <c r="U1" s="492">
        <v>9</v>
      </c>
      <c r="V1" s="492">
        <v>10</v>
      </c>
      <c r="W1" s="492">
        <v>11</v>
      </c>
      <c r="X1" s="492">
        <v>12</v>
      </c>
    </row>
    <row r="2" spans="1:24" ht="16.5">
      <c r="B2" s="462" t="s">
        <v>212</v>
      </c>
      <c r="C2" s="463"/>
      <c r="D2" s="463"/>
      <c r="E2" s="464"/>
      <c r="F2" s="465"/>
      <c r="G2" s="503">
        <v>34162200480</v>
      </c>
      <c r="H2" s="503">
        <v>14234985625</v>
      </c>
      <c r="I2" s="535">
        <v>18832110090.384464</v>
      </c>
      <c r="J2" s="535">
        <v>21570700345</v>
      </c>
      <c r="K2" s="536">
        <v>20520422183.54789</v>
      </c>
      <c r="M2" s="536">
        <v>15813639140.842142</v>
      </c>
      <c r="N2" s="536">
        <v>11960673094.567337</v>
      </c>
      <c r="O2" s="536">
        <v>13817053400.052052</v>
      </c>
      <c r="P2" s="536">
        <v>15481784540.861465</v>
      </c>
      <c r="Q2" s="536">
        <v>15726777360.82247</v>
      </c>
      <c r="R2" s="536">
        <v>15780671451.742714</v>
      </c>
      <c r="S2" s="536">
        <v>15975471357.943798</v>
      </c>
      <c r="T2" s="536">
        <v>16120903896.721809</v>
      </c>
      <c r="U2" s="536">
        <v>16287611944.673323</v>
      </c>
      <c r="V2" s="536">
        <v>17433528992.927177</v>
      </c>
      <c r="W2" s="536">
        <v>17939536941.09993</v>
      </c>
      <c r="X2" s="536">
        <v>18430897354.54789</v>
      </c>
    </row>
    <row r="3" spans="1:24" ht="16.5">
      <c r="B3" s="466" t="s">
        <v>213</v>
      </c>
      <c r="C3" s="463"/>
      <c r="D3" s="463"/>
      <c r="E3" s="464"/>
      <c r="F3" s="465"/>
      <c r="G3" s="537">
        <v>1391619434</v>
      </c>
      <c r="H3" s="537">
        <v>1921447314</v>
      </c>
      <c r="I3" s="538">
        <v>2629015354.0279961</v>
      </c>
      <c r="J3" s="538">
        <v>6328662129</v>
      </c>
      <c r="K3" s="536">
        <v>3671864723.1932793</v>
      </c>
      <c r="M3" s="536">
        <v>4344788178.7292871</v>
      </c>
      <c r="N3" s="536">
        <v>2009480084.6610575</v>
      </c>
      <c r="O3" s="536">
        <v>1611055725.8910372</v>
      </c>
      <c r="P3" s="536">
        <v>1476609832.3132195</v>
      </c>
      <c r="Q3" s="536">
        <v>1711839839.7819259</v>
      </c>
      <c r="R3" s="536">
        <v>1747387639.678247</v>
      </c>
      <c r="S3" s="536">
        <v>1929671578.0095325</v>
      </c>
      <c r="T3" s="536">
        <v>2071720306.36532</v>
      </c>
      <c r="U3" s="536">
        <v>2243443386.8025889</v>
      </c>
      <c r="V3" s="536">
        <v>2689249665.5694294</v>
      </c>
      <c r="W3" s="536">
        <v>3176978930.044745</v>
      </c>
      <c r="X3" s="536">
        <v>3671864723.1932793</v>
      </c>
    </row>
    <row r="4" spans="1:24" ht="16.5">
      <c r="A4">
        <v>3</v>
      </c>
      <c r="B4" s="467"/>
      <c r="C4" s="468" t="s">
        <v>213</v>
      </c>
      <c r="D4" s="468"/>
      <c r="E4" s="469"/>
      <c r="F4" s="470"/>
      <c r="G4" s="539">
        <v>1189619434</v>
      </c>
      <c r="H4" s="539">
        <v>1719447314</v>
      </c>
      <c r="I4" s="540">
        <v>2427015354.0279961</v>
      </c>
      <c r="J4" s="540">
        <v>6126662129</v>
      </c>
      <c r="K4" s="541">
        <v>3469864723.1932793</v>
      </c>
      <c r="M4" s="541">
        <v>4142788178.7292871</v>
      </c>
      <c r="N4" s="541">
        <v>1807480084.6610575</v>
      </c>
      <c r="O4" s="541">
        <v>1409055725.8910372</v>
      </c>
      <c r="P4" s="541">
        <v>1274609832.3132195</v>
      </c>
      <c r="Q4" s="541">
        <v>1509839839.7819259</v>
      </c>
      <c r="R4" s="541">
        <v>1545387639.678247</v>
      </c>
      <c r="S4" s="541">
        <v>1727671578.0095325</v>
      </c>
      <c r="T4" s="541">
        <v>1869720306.36532</v>
      </c>
      <c r="U4" s="541">
        <v>2041443386.8025889</v>
      </c>
      <c r="V4" s="541">
        <v>2487249665.5694294</v>
      </c>
      <c r="W4" s="541">
        <v>2974978930.044745</v>
      </c>
      <c r="X4" s="541">
        <v>3469864723.1932793</v>
      </c>
    </row>
    <row r="5" spans="1:24" ht="16.5">
      <c r="A5">
        <v>8</v>
      </c>
      <c r="B5" s="467"/>
      <c r="C5" s="468" t="s">
        <v>214</v>
      </c>
      <c r="D5" s="468"/>
      <c r="E5" s="469"/>
      <c r="F5" s="470"/>
      <c r="G5" s="539">
        <v>202000000</v>
      </c>
      <c r="H5" s="539">
        <v>202000000</v>
      </c>
      <c r="I5" s="540">
        <v>202000000</v>
      </c>
      <c r="J5" s="540">
        <v>202000000</v>
      </c>
      <c r="K5" s="541">
        <v>202000000</v>
      </c>
      <c r="M5" s="541">
        <v>202000000</v>
      </c>
      <c r="N5" s="541">
        <v>202000000</v>
      </c>
      <c r="O5" s="541">
        <v>202000000</v>
      </c>
      <c r="P5" s="541">
        <v>202000000</v>
      </c>
      <c r="Q5" s="541">
        <v>202000000</v>
      </c>
      <c r="R5" s="541">
        <v>202000000</v>
      </c>
      <c r="S5" s="541">
        <v>202000000</v>
      </c>
      <c r="T5" s="541">
        <v>202000000</v>
      </c>
      <c r="U5" s="541">
        <v>202000000</v>
      </c>
      <c r="V5" s="541">
        <v>202000000</v>
      </c>
      <c r="W5" s="541">
        <v>202000000</v>
      </c>
      <c r="X5" s="541">
        <v>202000000</v>
      </c>
    </row>
    <row r="6" spans="1:24" ht="16.5">
      <c r="B6" s="466" t="s">
        <v>215</v>
      </c>
      <c r="C6" s="463"/>
      <c r="D6" s="463"/>
      <c r="E6" s="464"/>
      <c r="F6" s="465"/>
      <c r="G6" s="537">
        <v>9605663166</v>
      </c>
      <c r="H6" s="537">
        <v>5949064562</v>
      </c>
      <c r="I6" s="538">
        <v>4669773780.6301365</v>
      </c>
      <c r="J6" s="538">
        <v>6282413208</v>
      </c>
      <c r="K6" s="536">
        <v>7940197519.333333</v>
      </c>
      <c r="M6" s="536">
        <v>4880809982</v>
      </c>
      <c r="N6" s="536">
        <v>4454320398.666666</v>
      </c>
      <c r="O6" s="536">
        <v>5094054773.666666</v>
      </c>
      <c r="P6" s="536">
        <v>5623992273.666666</v>
      </c>
      <c r="Q6" s="536">
        <v>5623992273.666666</v>
      </c>
      <c r="R6" s="536">
        <v>5623992273.666666</v>
      </c>
      <c r="S6" s="536">
        <v>5623992273.666666</v>
      </c>
      <c r="T6" s="536">
        <v>5623992273.666666</v>
      </c>
      <c r="U6" s="536">
        <v>5623992273.666666</v>
      </c>
      <c r="V6" s="536">
        <v>5850672690.333333</v>
      </c>
      <c r="W6" s="536">
        <v>5850672690.333333</v>
      </c>
      <c r="X6" s="536">
        <v>5850672690.333333</v>
      </c>
    </row>
    <row r="7" spans="1:24" ht="16.5">
      <c r="A7">
        <v>13</v>
      </c>
      <c r="B7" s="467"/>
      <c r="C7" s="468" t="s">
        <v>216</v>
      </c>
      <c r="D7" s="468"/>
      <c r="E7" s="469"/>
      <c r="F7" s="470"/>
      <c r="G7" s="539">
        <v>6457008060</v>
      </c>
      <c r="H7" s="539">
        <v>3050417781</v>
      </c>
      <c r="I7" s="540">
        <v>1708166923.630137</v>
      </c>
      <c r="J7" s="540">
        <v>1936533259</v>
      </c>
      <c r="K7" s="541">
        <v>2889065833.333333</v>
      </c>
      <c r="M7" s="541">
        <v>1919203125</v>
      </c>
      <c r="N7" s="541">
        <v>1492713541.6666665</v>
      </c>
      <c r="O7" s="541">
        <v>2132447916.6666665</v>
      </c>
      <c r="P7" s="541">
        <v>2662385416.6666665</v>
      </c>
      <c r="Q7" s="541">
        <v>2662385416.6666665</v>
      </c>
      <c r="R7" s="541">
        <v>2662385416.6666665</v>
      </c>
      <c r="S7" s="541">
        <v>2662385416.6666665</v>
      </c>
      <c r="T7" s="541">
        <v>2662385416.6666665</v>
      </c>
      <c r="U7" s="541">
        <v>2662385416.6666665</v>
      </c>
      <c r="V7" s="541">
        <v>2889065833.333333</v>
      </c>
      <c r="W7" s="541">
        <v>2889065833.333333</v>
      </c>
      <c r="X7" s="541">
        <v>2889065833.333333</v>
      </c>
    </row>
    <row r="8" spans="1:24" ht="16.5">
      <c r="A8">
        <v>14</v>
      </c>
      <c r="B8" s="467"/>
      <c r="C8" s="468" t="s">
        <v>217</v>
      </c>
      <c r="D8" s="468"/>
      <c r="E8" s="469"/>
      <c r="F8" s="470"/>
      <c r="G8" s="539">
        <v>150830000</v>
      </c>
      <c r="H8" s="539">
        <v>133534800</v>
      </c>
      <c r="I8" s="540">
        <v>0</v>
      </c>
      <c r="J8" s="540">
        <v>1384273092</v>
      </c>
      <c r="K8" s="541">
        <v>2089524829</v>
      </c>
      <c r="M8" s="541">
        <v>0</v>
      </c>
      <c r="N8" s="541">
        <v>0</v>
      </c>
      <c r="O8" s="541">
        <v>0</v>
      </c>
      <c r="P8" s="541">
        <v>0</v>
      </c>
      <c r="Q8" s="541">
        <v>0</v>
      </c>
      <c r="R8" s="541">
        <v>0</v>
      </c>
      <c r="S8" s="541">
        <v>0</v>
      </c>
      <c r="T8" s="541">
        <v>0</v>
      </c>
      <c r="U8" s="541">
        <v>0</v>
      </c>
      <c r="V8" s="541">
        <v>0</v>
      </c>
      <c r="W8" s="541">
        <v>0</v>
      </c>
      <c r="X8" s="541">
        <v>0</v>
      </c>
    </row>
    <row r="9" spans="1:24" ht="16.5">
      <c r="A9">
        <v>17</v>
      </c>
      <c r="B9" s="467"/>
      <c r="C9" s="468" t="s">
        <v>218</v>
      </c>
      <c r="D9" s="468"/>
      <c r="E9" s="469"/>
      <c r="F9" s="470"/>
      <c r="G9" s="539">
        <v>2997825106</v>
      </c>
      <c r="H9" s="539">
        <v>2765111981</v>
      </c>
      <c r="I9" s="540">
        <v>2961606857</v>
      </c>
      <c r="J9" s="540">
        <v>2961606857</v>
      </c>
      <c r="K9" s="541">
        <v>2961606857</v>
      </c>
      <c r="M9" s="541">
        <v>2961606857</v>
      </c>
      <c r="N9" s="541">
        <v>2961606857</v>
      </c>
      <c r="O9" s="541">
        <v>2961606857</v>
      </c>
      <c r="P9" s="541">
        <v>2961606857</v>
      </c>
      <c r="Q9" s="541">
        <v>2961606857</v>
      </c>
      <c r="R9" s="541">
        <v>2961606857</v>
      </c>
      <c r="S9" s="541">
        <v>2961606857</v>
      </c>
      <c r="T9" s="541">
        <v>2961606857</v>
      </c>
      <c r="U9" s="541">
        <v>2961606857</v>
      </c>
      <c r="V9" s="541">
        <v>2961606857</v>
      </c>
      <c r="W9" s="541">
        <v>2961606857</v>
      </c>
      <c r="X9" s="541">
        <v>2961606857</v>
      </c>
    </row>
    <row r="10" spans="1:24" ht="16.5">
      <c r="B10" s="466" t="s">
        <v>219</v>
      </c>
      <c r="C10" s="463"/>
      <c r="D10" s="463"/>
      <c r="E10" s="471"/>
      <c r="F10" s="472"/>
      <c r="G10" s="537">
        <v>22500552497</v>
      </c>
      <c r="H10" s="537">
        <v>5867578748</v>
      </c>
      <c r="I10" s="538">
        <v>10633093111.726332</v>
      </c>
      <c r="J10" s="538">
        <v>7851723952</v>
      </c>
      <c r="K10" s="536">
        <v>7800458885.0212793</v>
      </c>
      <c r="M10" s="536">
        <v>5480139924.1128559</v>
      </c>
      <c r="N10" s="536">
        <v>4388971555.2396145</v>
      </c>
      <c r="O10" s="536">
        <v>6004041844.4943485</v>
      </c>
      <c r="P10" s="536">
        <v>7273281378.8815804</v>
      </c>
      <c r="Q10" s="536">
        <v>7283044191.3738775</v>
      </c>
      <c r="R10" s="536">
        <v>7301390482.3977995</v>
      </c>
      <c r="S10" s="536">
        <v>7313906450.2676001</v>
      </c>
      <c r="T10" s="536">
        <v>7317290260.6898232</v>
      </c>
      <c r="U10" s="536">
        <v>7312275228.2040672</v>
      </c>
      <c r="V10" s="536">
        <v>7785705581.0244141</v>
      </c>
      <c r="W10" s="536">
        <v>7803984264.7218494</v>
      </c>
      <c r="X10" s="536">
        <v>7800458885.0212793</v>
      </c>
    </row>
    <row r="11" spans="1:24" ht="16.5">
      <c r="A11">
        <v>21</v>
      </c>
      <c r="B11" s="467"/>
      <c r="C11" s="468" t="s">
        <v>219</v>
      </c>
      <c r="D11" s="468"/>
      <c r="E11" s="469"/>
      <c r="F11" s="470"/>
      <c r="G11" s="539">
        <v>22500552497</v>
      </c>
      <c r="H11" s="539">
        <v>5867578748</v>
      </c>
      <c r="I11" s="540">
        <v>10633093111.726332</v>
      </c>
      <c r="J11" s="540">
        <v>7851723952</v>
      </c>
      <c r="K11" s="541">
        <v>7800458885.0212793</v>
      </c>
      <c r="M11" s="541">
        <v>5480139924.1128559</v>
      </c>
      <c r="N11" s="541">
        <v>4388971555.2396145</v>
      </c>
      <c r="O11" s="541">
        <v>6004041844.4943485</v>
      </c>
      <c r="P11" s="541">
        <v>7273281378.8815804</v>
      </c>
      <c r="Q11" s="541">
        <v>7283044191.3738775</v>
      </c>
      <c r="R11" s="541">
        <v>7301390482.3977995</v>
      </c>
      <c r="S11" s="541">
        <v>7313906450.2676001</v>
      </c>
      <c r="T11" s="541">
        <v>7317290260.6898232</v>
      </c>
      <c r="U11" s="541">
        <v>7312275228.2040672</v>
      </c>
      <c r="V11" s="541">
        <v>7785705581.0244141</v>
      </c>
      <c r="W11" s="541">
        <v>7803984264.7218494</v>
      </c>
      <c r="X11" s="541">
        <v>7800458885.0212793</v>
      </c>
    </row>
    <row r="12" spans="1:24" ht="16.5">
      <c r="A12">
        <v>32</v>
      </c>
      <c r="B12" s="466" t="s">
        <v>220</v>
      </c>
      <c r="C12" s="463"/>
      <c r="D12" s="463"/>
      <c r="E12" s="471"/>
      <c r="F12" s="472"/>
      <c r="G12" s="537">
        <v>664365383</v>
      </c>
      <c r="H12" s="537">
        <v>496895001</v>
      </c>
      <c r="I12" s="538">
        <v>900227844</v>
      </c>
      <c r="J12" s="538">
        <v>1107901056</v>
      </c>
      <c r="K12" s="536">
        <v>1107901056</v>
      </c>
      <c r="M12" s="536">
        <v>1107901056</v>
      </c>
      <c r="N12" s="536">
        <v>1107901056</v>
      </c>
      <c r="O12" s="536">
        <v>1107901056</v>
      </c>
      <c r="P12" s="536">
        <v>1107901056</v>
      </c>
      <c r="Q12" s="536">
        <v>1107901056</v>
      </c>
      <c r="R12" s="536">
        <v>1107901056</v>
      </c>
      <c r="S12" s="536">
        <v>1107901056</v>
      </c>
      <c r="T12" s="536">
        <v>1107901056</v>
      </c>
      <c r="U12" s="536">
        <v>1107901056</v>
      </c>
      <c r="V12" s="536">
        <v>1107901056</v>
      </c>
      <c r="W12" s="536">
        <v>1107901056</v>
      </c>
      <c r="X12" s="536">
        <v>1107901056</v>
      </c>
    </row>
    <row r="13" spans="1:24" ht="16.5">
      <c r="B13" s="473"/>
      <c r="C13" s="468"/>
      <c r="D13" s="468"/>
      <c r="E13" s="469"/>
      <c r="F13" s="470"/>
      <c r="G13" s="512"/>
      <c r="H13" s="512"/>
      <c r="I13" s="542"/>
      <c r="J13" s="542"/>
      <c r="K13" s="515">
        <v>0</v>
      </c>
      <c r="M13" s="515"/>
      <c r="N13" s="515"/>
      <c r="O13" s="515"/>
      <c r="P13" s="515"/>
      <c r="Q13" s="515"/>
      <c r="R13" s="515"/>
      <c r="S13" s="515"/>
      <c r="T13" s="515"/>
      <c r="U13" s="515"/>
      <c r="V13" s="515"/>
      <c r="W13" s="515"/>
      <c r="X13" s="515"/>
    </row>
    <row r="14" spans="1:24" ht="16.5">
      <c r="B14" s="462" t="s">
        <v>221</v>
      </c>
      <c r="C14" s="463"/>
      <c r="D14" s="463"/>
      <c r="E14" s="464"/>
      <c r="F14" s="465"/>
      <c r="G14" s="537">
        <v>30563499221</v>
      </c>
      <c r="H14" s="537">
        <v>24673757974</v>
      </c>
      <c r="I14" s="538">
        <v>16722903938.333332</v>
      </c>
      <c r="J14" s="538">
        <v>24399717348</v>
      </c>
      <c r="K14" s="536">
        <v>17355340872.828026</v>
      </c>
      <c r="M14" s="536">
        <v>21563196707.245266</v>
      </c>
      <c r="N14" s="536">
        <v>21183068628.964912</v>
      </c>
      <c r="O14" s="536">
        <v>20805504186.684559</v>
      </c>
      <c r="P14" s="536">
        <v>20427939744.404205</v>
      </c>
      <c r="Q14" s="536">
        <v>20050375302.123852</v>
      </c>
      <c r="R14" s="536">
        <v>19672810859.843498</v>
      </c>
      <c r="S14" s="536">
        <v>19295246417.563145</v>
      </c>
      <c r="T14" s="536">
        <v>18917681975.282787</v>
      </c>
      <c r="U14" s="536">
        <v>18540117533.00243</v>
      </c>
      <c r="V14" s="536">
        <v>18145191979.610962</v>
      </c>
      <c r="W14" s="536">
        <v>17750266426.219494</v>
      </c>
      <c r="X14" s="536">
        <v>17355340872.828026</v>
      </c>
    </row>
    <row r="15" spans="1:24" ht="16.5">
      <c r="B15" s="466" t="s">
        <v>222</v>
      </c>
      <c r="C15" s="463"/>
      <c r="D15" s="463"/>
      <c r="E15" s="464"/>
      <c r="F15" s="465"/>
      <c r="G15" s="537">
        <v>25022102089</v>
      </c>
      <c r="H15" s="537">
        <v>23029767745</v>
      </c>
      <c r="I15" s="538">
        <v>13511542158.333332</v>
      </c>
      <c r="J15" s="538">
        <v>21188355568</v>
      </c>
      <c r="K15" s="536">
        <v>17355340872.828026</v>
      </c>
      <c r="M15" s="536">
        <v>21563196707.245266</v>
      </c>
      <c r="N15" s="536">
        <v>21183068628.964912</v>
      </c>
      <c r="O15" s="536">
        <v>20805504186.684559</v>
      </c>
      <c r="P15" s="536">
        <v>20427939744.404205</v>
      </c>
      <c r="Q15" s="536">
        <v>20050375302.123852</v>
      </c>
      <c r="R15" s="536">
        <v>19672810859.843498</v>
      </c>
      <c r="S15" s="536">
        <v>19295246417.563145</v>
      </c>
      <c r="T15" s="536">
        <v>18917681975.282787</v>
      </c>
      <c r="U15" s="536">
        <v>18540117533.00243</v>
      </c>
      <c r="V15" s="536">
        <v>18145191979.610962</v>
      </c>
      <c r="W15" s="536">
        <v>17750266426.219494</v>
      </c>
      <c r="X15" s="536">
        <v>17355340872.828026</v>
      </c>
    </row>
    <row r="16" spans="1:24" ht="16.5">
      <c r="B16" s="473"/>
      <c r="C16" s="474" t="s">
        <v>223</v>
      </c>
      <c r="D16" s="468"/>
      <c r="E16" s="469"/>
      <c r="F16" s="470"/>
      <c r="G16" s="539">
        <v>24699221591</v>
      </c>
      <c r="H16" s="539">
        <v>22792988713</v>
      </c>
      <c r="I16" s="540">
        <v>13360864595.333332</v>
      </c>
      <c r="J16" s="540">
        <v>21016152636</v>
      </c>
      <c r="K16" s="541">
        <v>17214859540.038551</v>
      </c>
      <c r="M16" s="541">
        <v>21393637248.26281</v>
      </c>
      <c r="N16" s="541">
        <v>21016152636</v>
      </c>
      <c r="O16" s="541">
        <v>20641231659.73719</v>
      </c>
      <c r="P16" s="541">
        <v>20266310683.47438</v>
      </c>
      <c r="Q16" s="541">
        <v>19891389707.211571</v>
      </c>
      <c r="R16" s="541">
        <v>19516468730.948761</v>
      </c>
      <c r="S16" s="541">
        <v>19141547754.685951</v>
      </c>
      <c r="T16" s="541">
        <v>18766626778.423138</v>
      </c>
      <c r="U16" s="541">
        <v>18391705802.160324</v>
      </c>
      <c r="V16" s="541">
        <v>17999423714.7864</v>
      </c>
      <c r="W16" s="541">
        <v>17607141627.412476</v>
      </c>
      <c r="X16" s="541">
        <v>17214859540.038551</v>
      </c>
    </row>
    <row r="17" spans="1:24" ht="16.5">
      <c r="A17">
        <v>43</v>
      </c>
      <c r="B17" s="475"/>
      <c r="C17" s="498"/>
      <c r="D17" s="499"/>
      <c r="E17" s="476" t="s">
        <v>224</v>
      </c>
      <c r="F17" s="477"/>
      <c r="G17" s="543">
        <v>28611384570</v>
      </c>
      <c r="H17" s="543">
        <v>33184332773</v>
      </c>
      <c r="I17" s="544">
        <v>36032931529</v>
      </c>
      <c r="J17" s="544">
        <v>36032931529</v>
      </c>
      <c r="K17" s="545">
        <v>36032931529</v>
      </c>
      <c r="M17" s="659">
        <v>36032931529</v>
      </c>
      <c r="N17" s="545">
        <v>36032931529</v>
      </c>
      <c r="O17" s="545">
        <v>36032931529</v>
      </c>
      <c r="P17" s="545">
        <v>36032931529</v>
      </c>
      <c r="Q17" s="545">
        <v>36032931529</v>
      </c>
      <c r="R17" s="545">
        <v>36032931529</v>
      </c>
      <c r="S17" s="545">
        <v>36032931529</v>
      </c>
      <c r="T17" s="545">
        <v>36032931529</v>
      </c>
      <c r="U17" s="545">
        <v>36032931529</v>
      </c>
      <c r="V17" s="545">
        <v>36032931529</v>
      </c>
      <c r="W17" s="545">
        <v>36032931529</v>
      </c>
      <c r="X17" s="545">
        <v>36032931529</v>
      </c>
    </row>
    <row r="18" spans="1:24" ht="16.5">
      <c r="A18">
        <v>44</v>
      </c>
      <c r="B18" s="475"/>
      <c r="C18" s="498"/>
      <c r="D18" s="499"/>
      <c r="E18" s="476" t="s">
        <v>225</v>
      </c>
      <c r="F18" s="477"/>
      <c r="G18" s="543">
        <v>-3912162979</v>
      </c>
      <c r="H18" s="543">
        <v>-10391344060</v>
      </c>
      <c r="I18" s="544">
        <v>-22672066933.666668</v>
      </c>
      <c r="J18" s="544">
        <v>-15016778893</v>
      </c>
      <c r="K18" s="545">
        <v>-18818071988.961449</v>
      </c>
      <c r="M18" s="659">
        <v>-14639294280.73719</v>
      </c>
      <c r="N18" s="545">
        <v>-15016778893</v>
      </c>
      <c r="O18" s="545">
        <v>-15391699869.26281</v>
      </c>
      <c r="P18" s="545">
        <v>-15766620845.52562</v>
      </c>
      <c r="Q18" s="545">
        <v>-16141541821.788429</v>
      </c>
      <c r="R18" s="545">
        <v>-16516462798.051239</v>
      </c>
      <c r="S18" s="545">
        <v>-16891383774.314049</v>
      </c>
      <c r="T18" s="545">
        <v>-17266304750.576862</v>
      </c>
      <c r="U18" s="545">
        <v>-17641225726.839676</v>
      </c>
      <c r="V18" s="545">
        <v>-18033507814.2136</v>
      </c>
      <c r="W18" s="545">
        <v>-18425789901.587524</v>
      </c>
      <c r="X18" s="545">
        <v>-18818071988.961449</v>
      </c>
    </row>
    <row r="19" spans="1:24" ht="16.5">
      <c r="B19" s="473"/>
      <c r="C19" s="474" t="s">
        <v>226</v>
      </c>
      <c r="D19" s="468"/>
      <c r="E19" s="469"/>
      <c r="F19" s="470"/>
      <c r="G19" s="539">
        <v>0</v>
      </c>
      <c r="H19" s="539">
        <v>0</v>
      </c>
      <c r="I19" s="540">
        <v>0</v>
      </c>
      <c r="J19" s="540"/>
      <c r="K19" s="541">
        <v>0</v>
      </c>
      <c r="M19" s="541"/>
      <c r="N19" s="541"/>
      <c r="O19" s="541"/>
      <c r="P19" s="541"/>
      <c r="Q19" s="541"/>
      <c r="R19" s="541"/>
      <c r="S19" s="541"/>
      <c r="T19" s="541"/>
      <c r="U19" s="541"/>
      <c r="V19" s="541"/>
      <c r="W19" s="541"/>
      <c r="X19" s="541"/>
    </row>
    <row r="20" spans="1:24" ht="16.5">
      <c r="A20">
        <v>46</v>
      </c>
      <c r="B20" s="473"/>
      <c r="C20" s="474"/>
      <c r="D20" s="468"/>
      <c r="E20" s="549" t="s">
        <v>224</v>
      </c>
      <c r="F20" s="470"/>
      <c r="G20" s="539"/>
      <c r="H20" s="539"/>
      <c r="I20" s="540"/>
      <c r="J20" s="540"/>
      <c r="K20" s="541"/>
      <c r="M20" s="541"/>
      <c r="N20" s="541"/>
      <c r="O20" s="541"/>
      <c r="P20" s="541"/>
      <c r="Q20" s="541"/>
      <c r="R20" s="541"/>
      <c r="S20" s="541"/>
      <c r="T20" s="541"/>
      <c r="U20" s="541"/>
      <c r="V20" s="541"/>
      <c r="W20" s="541"/>
      <c r="X20" s="541"/>
    </row>
    <row r="21" spans="1:24" ht="16.5">
      <c r="A21">
        <v>47</v>
      </c>
      <c r="B21" s="473"/>
      <c r="C21" s="474"/>
      <c r="D21" s="468"/>
      <c r="E21" s="549" t="s">
        <v>225</v>
      </c>
      <c r="F21" s="470"/>
      <c r="G21" s="539"/>
      <c r="H21" s="539"/>
      <c r="I21" s="540"/>
      <c r="J21" s="540"/>
      <c r="K21" s="541"/>
      <c r="M21" s="541"/>
      <c r="N21" s="541"/>
      <c r="O21" s="541"/>
      <c r="P21" s="541"/>
      <c r="Q21" s="541"/>
      <c r="R21" s="541"/>
      <c r="S21" s="541"/>
      <c r="T21" s="541"/>
      <c r="U21" s="541"/>
      <c r="V21" s="541"/>
      <c r="W21" s="541"/>
      <c r="X21" s="541"/>
    </row>
    <row r="22" spans="1:24" ht="16.5">
      <c r="B22" s="546"/>
      <c r="C22" s="547" t="s">
        <v>227</v>
      </c>
      <c r="D22" s="548"/>
      <c r="E22" s="549"/>
      <c r="F22" s="550"/>
      <c r="G22" s="559">
        <v>322880498</v>
      </c>
      <c r="H22" s="559">
        <v>236779032</v>
      </c>
      <c r="I22" s="560">
        <v>150677563</v>
      </c>
      <c r="J22" s="560">
        <v>172202932</v>
      </c>
      <c r="K22" s="561">
        <v>140481332.78947377</v>
      </c>
      <c r="M22" s="541">
        <v>169559458.98245615</v>
      </c>
      <c r="N22" s="561">
        <v>166915992.9649123</v>
      </c>
      <c r="O22" s="561">
        <v>164272526.94736844</v>
      </c>
      <c r="P22" s="561">
        <v>161629060.92982459</v>
      </c>
      <c r="Q22" s="561">
        <v>158985594.91228074</v>
      </c>
      <c r="R22" s="561">
        <v>156342128.89473689</v>
      </c>
      <c r="S22" s="561">
        <v>153698662.87719303</v>
      </c>
      <c r="T22" s="561">
        <v>151055196.85964918</v>
      </c>
      <c r="U22" s="561">
        <v>148411730.84210533</v>
      </c>
      <c r="V22" s="561">
        <v>145768264.82456148</v>
      </c>
      <c r="W22" s="561">
        <v>143124798.80701762</v>
      </c>
      <c r="X22" s="561">
        <v>140481332.78947377</v>
      </c>
    </row>
    <row r="23" spans="1:24" ht="16.5">
      <c r="A23">
        <v>49</v>
      </c>
      <c r="B23" s="546"/>
      <c r="C23" s="551"/>
      <c r="D23" s="551"/>
      <c r="E23" s="549" t="s">
        <v>224</v>
      </c>
      <c r="F23" s="550"/>
      <c r="G23" s="543">
        <v>430507331</v>
      </c>
      <c r="H23" s="543">
        <v>430507331</v>
      </c>
      <c r="I23" s="544">
        <v>430507331</v>
      </c>
      <c r="J23" s="544">
        <v>430507331</v>
      </c>
      <c r="K23" s="545">
        <v>430507331</v>
      </c>
      <c r="M23" s="659">
        <v>430507331</v>
      </c>
      <c r="N23" s="545">
        <v>430507331</v>
      </c>
      <c r="O23" s="545">
        <v>430507331</v>
      </c>
      <c r="P23" s="545">
        <v>430507331</v>
      </c>
      <c r="Q23" s="545">
        <v>430507331</v>
      </c>
      <c r="R23" s="545">
        <v>430507331</v>
      </c>
      <c r="S23" s="545">
        <v>430507331</v>
      </c>
      <c r="T23" s="545">
        <v>430507331</v>
      </c>
      <c r="U23" s="545">
        <v>430507331</v>
      </c>
      <c r="V23" s="545">
        <v>430507331</v>
      </c>
      <c r="W23" s="545">
        <v>430507331</v>
      </c>
      <c r="X23" s="545">
        <v>430507331</v>
      </c>
    </row>
    <row r="24" spans="1:24" ht="16.5">
      <c r="A24">
        <v>50</v>
      </c>
      <c r="B24" s="546"/>
      <c r="C24" s="551"/>
      <c r="D24" s="551"/>
      <c r="E24" s="549" t="s">
        <v>225</v>
      </c>
      <c r="F24" s="550"/>
      <c r="G24" s="543">
        <v>-107626833</v>
      </c>
      <c r="H24" s="543">
        <v>-193728299</v>
      </c>
      <c r="I24" s="544">
        <v>-279829768</v>
      </c>
      <c r="J24" s="544">
        <v>-258304399</v>
      </c>
      <c r="K24" s="545">
        <v>-290025998.21052623</v>
      </c>
      <c r="M24" s="659">
        <v>-260947872.01754385</v>
      </c>
      <c r="N24" s="545">
        <v>-263591338.0350877</v>
      </c>
      <c r="O24" s="545">
        <v>-266234804.05263156</v>
      </c>
      <c r="P24" s="545">
        <v>-268878270.07017541</v>
      </c>
      <c r="Q24" s="545">
        <v>-271521736.08771926</v>
      </c>
      <c r="R24" s="545">
        <v>-274165202.10526311</v>
      </c>
      <c r="S24" s="545">
        <v>-276808668.12280697</v>
      </c>
      <c r="T24" s="545">
        <v>-279452134.14035082</v>
      </c>
      <c r="U24" s="545">
        <v>-282095600.15789467</v>
      </c>
      <c r="V24" s="545">
        <v>-284739066.17543852</v>
      </c>
      <c r="W24" s="545">
        <v>-287382532.19298238</v>
      </c>
      <c r="X24" s="545">
        <v>-290025998.21052623</v>
      </c>
    </row>
    <row r="25" spans="1:24" ht="16.5">
      <c r="B25" s="552" t="s">
        <v>228</v>
      </c>
      <c r="C25" s="553"/>
      <c r="D25" s="553"/>
      <c r="E25" s="554"/>
      <c r="F25" s="555"/>
      <c r="G25" s="537">
        <v>4904362054</v>
      </c>
      <c r="H25" s="537">
        <v>1177211000</v>
      </c>
      <c r="I25" s="538">
        <v>1178581000</v>
      </c>
      <c r="J25" s="538">
        <v>1178581000</v>
      </c>
      <c r="K25" s="536">
        <v>0</v>
      </c>
      <c r="M25" s="536">
        <v>0</v>
      </c>
      <c r="N25" s="536">
        <v>0</v>
      </c>
      <c r="O25" s="536">
        <v>0</v>
      </c>
      <c r="P25" s="536">
        <v>0</v>
      </c>
      <c r="Q25" s="536">
        <v>0</v>
      </c>
      <c r="R25" s="536">
        <v>0</v>
      </c>
      <c r="S25" s="536">
        <v>0</v>
      </c>
      <c r="T25" s="536">
        <v>0</v>
      </c>
      <c r="U25" s="536">
        <v>0</v>
      </c>
      <c r="V25" s="536">
        <v>0</v>
      </c>
      <c r="W25" s="536">
        <v>0</v>
      </c>
      <c r="X25" s="536">
        <v>0</v>
      </c>
    </row>
    <row r="26" spans="1:24" ht="16.5">
      <c r="A26">
        <v>65</v>
      </c>
      <c r="B26" s="556"/>
      <c r="C26" s="547" t="s">
        <v>229</v>
      </c>
      <c r="D26" s="548"/>
      <c r="E26" s="557"/>
      <c r="F26" s="558"/>
      <c r="G26" s="559">
        <v>4904362054</v>
      </c>
      <c r="H26" s="559">
        <v>1177211000</v>
      </c>
      <c r="I26" s="560">
        <v>1178581000</v>
      </c>
      <c r="J26" s="560">
        <v>1178581000</v>
      </c>
      <c r="K26" s="561">
        <v>0</v>
      </c>
      <c r="M26" s="561">
        <v>0</v>
      </c>
      <c r="N26" s="561">
        <v>0</v>
      </c>
      <c r="O26" s="561">
        <v>0</v>
      </c>
      <c r="P26" s="561">
        <v>0</v>
      </c>
      <c r="Q26" s="561">
        <v>0</v>
      </c>
      <c r="R26" s="561">
        <v>0</v>
      </c>
      <c r="S26" s="561">
        <v>0</v>
      </c>
      <c r="T26" s="561">
        <v>0</v>
      </c>
      <c r="U26" s="561">
        <v>0</v>
      </c>
      <c r="V26" s="561">
        <v>0</v>
      </c>
      <c r="W26" s="561">
        <v>0</v>
      </c>
      <c r="X26" s="561">
        <v>0</v>
      </c>
    </row>
    <row r="27" spans="1:24" ht="16.5">
      <c r="A27">
        <v>77</v>
      </c>
      <c r="B27" s="552" t="s">
        <v>230</v>
      </c>
      <c r="C27" s="553"/>
      <c r="D27" s="553"/>
      <c r="E27" s="554"/>
      <c r="F27" s="555"/>
      <c r="G27" s="537">
        <v>637035078</v>
      </c>
      <c r="H27" s="537">
        <v>466779229</v>
      </c>
      <c r="I27" s="538">
        <v>2032780780</v>
      </c>
      <c r="J27" s="538">
        <v>2032780780</v>
      </c>
      <c r="K27" s="536">
        <v>0</v>
      </c>
      <c r="M27" s="536">
        <v>0</v>
      </c>
      <c r="N27" s="536">
        <v>0</v>
      </c>
      <c r="O27" s="536">
        <v>0</v>
      </c>
      <c r="P27" s="536">
        <v>0</v>
      </c>
      <c r="Q27" s="536">
        <v>0</v>
      </c>
      <c r="R27" s="536">
        <v>0</v>
      </c>
      <c r="S27" s="536">
        <v>0</v>
      </c>
      <c r="T27" s="536">
        <v>0</v>
      </c>
      <c r="U27" s="536">
        <v>0</v>
      </c>
      <c r="V27" s="536">
        <v>0</v>
      </c>
      <c r="W27" s="536">
        <v>0</v>
      </c>
      <c r="X27" s="536">
        <v>0</v>
      </c>
    </row>
    <row r="28" spans="1:24" ht="16.5">
      <c r="B28" s="552" t="s">
        <v>231</v>
      </c>
      <c r="C28" s="553"/>
      <c r="D28" s="553"/>
      <c r="E28" s="554"/>
      <c r="F28" s="555"/>
      <c r="G28" s="537"/>
      <c r="H28" s="537"/>
      <c r="I28" s="538"/>
      <c r="J28" s="538"/>
      <c r="K28" s="536">
        <v>0</v>
      </c>
      <c r="M28" s="536"/>
      <c r="N28" s="536"/>
      <c r="O28" s="536"/>
      <c r="P28" s="536"/>
      <c r="Q28" s="536"/>
      <c r="R28" s="536"/>
      <c r="S28" s="536"/>
      <c r="T28" s="536"/>
      <c r="U28" s="536"/>
      <c r="V28" s="536"/>
      <c r="W28" s="536"/>
      <c r="X28" s="536"/>
    </row>
    <row r="29" spans="1:24" ht="16.5">
      <c r="B29" s="552" t="s">
        <v>232</v>
      </c>
      <c r="C29" s="553"/>
      <c r="D29" s="553"/>
      <c r="E29" s="554"/>
      <c r="F29" s="555"/>
      <c r="G29" s="537">
        <v>0</v>
      </c>
      <c r="H29" s="537">
        <v>0</v>
      </c>
      <c r="I29" s="538">
        <v>0</v>
      </c>
      <c r="J29" s="538">
        <v>0</v>
      </c>
      <c r="K29" s="536">
        <v>0</v>
      </c>
      <c r="M29" s="536"/>
      <c r="N29" s="536"/>
      <c r="O29" s="536"/>
      <c r="P29" s="536"/>
      <c r="Q29" s="536"/>
      <c r="R29" s="536"/>
      <c r="S29" s="536"/>
      <c r="T29" s="536"/>
      <c r="U29" s="536"/>
      <c r="V29" s="536"/>
      <c r="W29" s="536"/>
      <c r="X29" s="536"/>
    </row>
    <row r="30" spans="1:24" ht="16.5">
      <c r="A30">
        <v>67</v>
      </c>
      <c r="B30" s="556"/>
      <c r="C30" s="468" t="s">
        <v>233</v>
      </c>
      <c r="D30" s="548"/>
      <c r="E30" s="557"/>
      <c r="F30" s="558"/>
      <c r="G30" s="539"/>
      <c r="H30" s="539"/>
      <c r="I30" s="540"/>
      <c r="J30" s="540"/>
      <c r="K30" s="541">
        <v>0</v>
      </c>
      <c r="M30" s="541"/>
      <c r="N30" s="541"/>
      <c r="O30" s="541"/>
      <c r="P30" s="541"/>
      <c r="Q30" s="541"/>
      <c r="R30" s="541"/>
      <c r="S30" s="541"/>
      <c r="T30" s="541"/>
      <c r="U30" s="541"/>
      <c r="V30" s="541"/>
      <c r="W30" s="541"/>
      <c r="X30" s="541"/>
    </row>
    <row r="31" spans="1:24" ht="16.5">
      <c r="A31">
        <v>68</v>
      </c>
      <c r="B31" s="556"/>
      <c r="C31" s="468" t="s">
        <v>234</v>
      </c>
      <c r="D31" s="548"/>
      <c r="E31" s="557"/>
      <c r="F31" s="558"/>
      <c r="G31" s="539"/>
      <c r="H31" s="539"/>
      <c r="I31" s="540"/>
      <c r="J31" s="540"/>
      <c r="K31" s="541">
        <v>0</v>
      </c>
      <c r="M31" s="541"/>
      <c r="N31" s="541"/>
      <c r="O31" s="541"/>
      <c r="P31" s="541"/>
      <c r="Q31" s="541"/>
      <c r="R31" s="541"/>
      <c r="S31" s="541"/>
      <c r="T31" s="541"/>
      <c r="U31" s="541"/>
      <c r="V31" s="541"/>
      <c r="W31" s="541"/>
      <c r="X31" s="541"/>
    </row>
    <row r="32" spans="1:24" ht="16.5">
      <c r="A32">
        <v>69</v>
      </c>
      <c r="B32" s="556"/>
      <c r="C32" s="468" t="s">
        <v>235</v>
      </c>
      <c r="D32" s="548"/>
      <c r="E32" s="557"/>
      <c r="F32" s="558"/>
      <c r="G32" s="539"/>
      <c r="H32" s="539"/>
      <c r="I32" s="540"/>
      <c r="J32" s="540"/>
      <c r="K32" s="541"/>
      <c r="M32" s="541"/>
      <c r="N32" s="541"/>
      <c r="O32" s="541"/>
      <c r="P32" s="541"/>
      <c r="Q32" s="541"/>
      <c r="R32" s="541"/>
      <c r="S32" s="541"/>
      <c r="T32" s="541"/>
      <c r="U32" s="541"/>
      <c r="V32" s="541"/>
      <c r="W32" s="541"/>
      <c r="X32" s="541"/>
    </row>
    <row r="33" spans="1:24" ht="16.5">
      <c r="B33" s="556"/>
      <c r="C33" s="548"/>
      <c r="D33" s="548"/>
      <c r="E33" s="562"/>
      <c r="F33" s="563"/>
      <c r="G33" s="539"/>
      <c r="H33" s="539"/>
      <c r="I33" s="540"/>
      <c r="J33" s="540"/>
      <c r="K33" s="541">
        <v>0</v>
      </c>
      <c r="M33" s="541"/>
      <c r="N33" s="541"/>
      <c r="O33" s="541"/>
      <c r="P33" s="541"/>
      <c r="Q33" s="541"/>
      <c r="R33" s="541"/>
      <c r="S33" s="541"/>
      <c r="T33" s="541"/>
      <c r="U33" s="541"/>
      <c r="V33" s="541"/>
      <c r="W33" s="541"/>
      <c r="X33" s="541"/>
    </row>
    <row r="34" spans="1:24" ht="17" thickBot="1">
      <c r="B34" s="564" t="s">
        <v>236</v>
      </c>
      <c r="C34" s="565"/>
      <c r="D34" s="565"/>
      <c r="E34" s="566"/>
      <c r="F34" s="567"/>
      <c r="G34" s="570">
        <v>64725699701</v>
      </c>
      <c r="H34" s="570">
        <v>38908743599</v>
      </c>
      <c r="I34" s="571">
        <v>35555014028.717796</v>
      </c>
      <c r="J34" s="571">
        <v>45970417693</v>
      </c>
      <c r="K34" s="572">
        <v>37875763056.375916</v>
      </c>
      <c r="M34" s="572">
        <v>37376835848.08741</v>
      </c>
      <c r="N34" s="572">
        <v>33143741723.532249</v>
      </c>
      <c r="O34" s="572">
        <v>34622557586.73661</v>
      </c>
      <c r="P34" s="572">
        <v>35909724285.265671</v>
      </c>
      <c r="Q34" s="572">
        <v>35777152662.94632</v>
      </c>
      <c r="R34" s="572">
        <v>35453482311.586212</v>
      </c>
      <c r="S34" s="572">
        <v>35270717775.506943</v>
      </c>
      <c r="T34" s="572">
        <v>35038585872.004593</v>
      </c>
      <c r="U34" s="572">
        <v>34827729477.675751</v>
      </c>
      <c r="V34" s="572">
        <v>35578720972.538139</v>
      </c>
      <c r="W34" s="572">
        <v>35689803367.319427</v>
      </c>
      <c r="X34" s="572">
        <v>35786238227.375916</v>
      </c>
    </row>
    <row r="35" spans="1:24" ht="17" thickTop="1">
      <c r="B35" s="556"/>
      <c r="C35" s="568"/>
      <c r="D35" s="568"/>
      <c r="E35" s="557"/>
      <c r="F35" s="558"/>
      <c r="G35" s="539"/>
      <c r="H35" s="539"/>
      <c r="I35" s="540"/>
      <c r="J35" s="540"/>
      <c r="K35" s="541">
        <v>0</v>
      </c>
      <c r="M35" s="541"/>
      <c r="N35" s="541"/>
      <c r="O35" s="541"/>
      <c r="P35" s="541"/>
      <c r="Q35" s="541"/>
      <c r="R35" s="541"/>
      <c r="S35" s="541"/>
      <c r="T35" s="541"/>
      <c r="U35" s="541"/>
      <c r="V35" s="541"/>
      <c r="W35" s="541"/>
      <c r="X35" s="541"/>
    </row>
    <row r="36" spans="1:24" ht="16.5">
      <c r="B36" s="569" t="s">
        <v>237</v>
      </c>
      <c r="C36" s="553"/>
      <c r="D36" s="553"/>
      <c r="E36" s="554"/>
      <c r="F36" s="555"/>
      <c r="G36" s="537">
        <v>57393245458</v>
      </c>
      <c r="H36" s="537">
        <v>44111589494</v>
      </c>
      <c r="I36" s="538">
        <v>68808477779.466415</v>
      </c>
      <c r="J36" s="538">
        <v>56194065653</v>
      </c>
      <c r="K36" s="536">
        <v>58060582011.598785</v>
      </c>
      <c r="M36" s="536">
        <v>55077314776.145096</v>
      </c>
      <c r="N36" s="536">
        <v>53674384016.165222</v>
      </c>
      <c r="O36" s="536">
        <v>55750902959.492737</v>
      </c>
      <c r="P36" s="536">
        <v>57382782360.847748</v>
      </c>
      <c r="Q36" s="536">
        <v>57395334548.337845</v>
      </c>
      <c r="R36" s="536">
        <v>57418922636.797173</v>
      </c>
      <c r="S36" s="536">
        <v>57435014595.486916</v>
      </c>
      <c r="T36" s="536">
        <v>57439365208.886917</v>
      </c>
      <c r="U36" s="536">
        <v>57432917309.976654</v>
      </c>
      <c r="V36" s="536">
        <v>58041613477.888535</v>
      </c>
      <c r="W36" s="536">
        <v>58065114642.64238</v>
      </c>
      <c r="X36" s="536">
        <v>58060582011.598785</v>
      </c>
    </row>
    <row r="37" spans="1:24" ht="16.5">
      <c r="B37" s="569" t="s">
        <v>238</v>
      </c>
      <c r="C37" s="553"/>
      <c r="D37" s="553"/>
      <c r="E37" s="554"/>
      <c r="F37" s="555"/>
      <c r="G37" s="537">
        <v>24623245458</v>
      </c>
      <c r="H37" s="537">
        <v>11341589494</v>
      </c>
      <c r="I37" s="538">
        <v>36038477779.466415</v>
      </c>
      <c r="J37" s="538">
        <v>23424065653</v>
      </c>
      <c r="K37" s="536">
        <v>25290582011.598785</v>
      </c>
      <c r="M37" s="536">
        <v>22307314776.1451</v>
      </c>
      <c r="N37" s="536">
        <v>20904384016.165218</v>
      </c>
      <c r="O37" s="536">
        <v>22980902959.492733</v>
      </c>
      <c r="P37" s="536">
        <v>24612782360.847748</v>
      </c>
      <c r="Q37" s="536">
        <v>24625334548.337845</v>
      </c>
      <c r="R37" s="536">
        <v>24648922636.797173</v>
      </c>
      <c r="S37" s="536">
        <v>24665014595.486916</v>
      </c>
      <c r="T37" s="536">
        <v>24669365208.886917</v>
      </c>
      <c r="U37" s="536">
        <v>24662917309.976658</v>
      </c>
      <c r="V37" s="536">
        <v>25271613477.888531</v>
      </c>
      <c r="W37" s="536">
        <v>25295114642.64238</v>
      </c>
      <c r="X37" s="536">
        <v>25290582011.598785</v>
      </c>
    </row>
    <row r="38" spans="1:24" ht="16.5">
      <c r="A38">
        <v>91</v>
      </c>
      <c r="B38" s="556"/>
      <c r="C38" s="548" t="s">
        <v>239</v>
      </c>
      <c r="D38" s="548"/>
      <c r="E38" s="557"/>
      <c r="F38" s="558"/>
      <c r="G38" s="559"/>
      <c r="H38" s="559"/>
      <c r="I38" s="560">
        <v>18373342323.534836</v>
      </c>
      <c r="J38" s="560">
        <v>0</v>
      </c>
      <c r="K38" s="561">
        <v>0</v>
      </c>
      <c r="M38" s="561">
        <v>0</v>
      </c>
      <c r="N38" s="561">
        <v>0</v>
      </c>
      <c r="O38" s="561">
        <v>0</v>
      </c>
      <c r="P38" s="561">
        <v>0</v>
      </c>
      <c r="Q38" s="561">
        <v>0</v>
      </c>
      <c r="R38" s="561">
        <v>0</v>
      </c>
      <c r="S38" s="561">
        <v>0</v>
      </c>
      <c r="T38" s="561">
        <v>0</v>
      </c>
      <c r="U38" s="561">
        <v>0</v>
      </c>
      <c r="V38" s="561">
        <v>0</v>
      </c>
      <c r="W38" s="561">
        <v>0</v>
      </c>
      <c r="X38" s="561">
        <v>0</v>
      </c>
    </row>
    <row r="39" spans="1:24" ht="16.5">
      <c r="A39">
        <v>81</v>
      </c>
      <c r="B39" s="556"/>
      <c r="C39" s="548" t="s">
        <v>240</v>
      </c>
      <c r="D39" s="548"/>
      <c r="E39" s="557"/>
      <c r="F39" s="558"/>
      <c r="G39" s="559">
        <v>22827967224</v>
      </c>
      <c r="H39" s="559">
        <v>9348738447</v>
      </c>
      <c r="I39" s="560">
        <v>2658273277.9315829</v>
      </c>
      <c r="J39" s="560">
        <v>8417203475</v>
      </c>
      <c r="K39" s="561">
        <v>10029161423.598787</v>
      </c>
      <c r="M39" s="561">
        <v>7045894188.1451006</v>
      </c>
      <c r="N39" s="561">
        <v>5642963428.1652193</v>
      </c>
      <c r="O39" s="561">
        <v>7719482371.492734</v>
      </c>
      <c r="P39" s="561">
        <v>9351361772.8477459</v>
      </c>
      <c r="Q39" s="561">
        <v>9363913960.3378429</v>
      </c>
      <c r="R39" s="561">
        <v>9387502048.7971706</v>
      </c>
      <c r="S39" s="561">
        <v>9403594007.4869137</v>
      </c>
      <c r="T39" s="561">
        <v>9407944620.8869152</v>
      </c>
      <c r="U39" s="561">
        <v>9401496721.9766579</v>
      </c>
      <c r="V39" s="561">
        <v>10010192889.888531</v>
      </c>
      <c r="W39" s="561">
        <v>10033694054.642378</v>
      </c>
      <c r="X39" s="561">
        <v>10029161423.598787</v>
      </c>
    </row>
    <row r="40" spans="1:24" ht="16.5">
      <c r="A40">
        <v>90</v>
      </c>
      <c r="B40" s="556"/>
      <c r="C40" s="548" t="s">
        <v>241</v>
      </c>
      <c r="D40" s="548"/>
      <c r="E40" s="557"/>
      <c r="F40" s="558"/>
      <c r="G40" s="539">
        <v>1795278234</v>
      </c>
      <c r="H40" s="539">
        <v>1992851047</v>
      </c>
      <c r="I40" s="540">
        <v>15006862178</v>
      </c>
      <c r="J40" s="540">
        <v>15006862178</v>
      </c>
      <c r="K40" s="541">
        <v>15261420588</v>
      </c>
      <c r="M40" s="541">
        <v>15261420588</v>
      </c>
      <c r="N40" s="541">
        <v>15261420588</v>
      </c>
      <c r="O40" s="541">
        <v>15261420588</v>
      </c>
      <c r="P40" s="541">
        <v>15261420588</v>
      </c>
      <c r="Q40" s="541">
        <v>15261420588</v>
      </c>
      <c r="R40" s="541">
        <v>15261420588</v>
      </c>
      <c r="S40" s="541">
        <v>15261420588</v>
      </c>
      <c r="T40" s="541">
        <v>15261420588</v>
      </c>
      <c r="U40" s="541">
        <v>15261420588</v>
      </c>
      <c r="V40" s="541">
        <v>15261420588</v>
      </c>
      <c r="W40" s="541">
        <v>15261420588</v>
      </c>
      <c r="X40" s="541">
        <v>15261420588</v>
      </c>
    </row>
    <row r="41" spans="1:24" ht="16.5">
      <c r="B41" s="556"/>
      <c r="C41" s="548"/>
      <c r="D41" s="548"/>
      <c r="E41" s="557"/>
      <c r="F41" s="558"/>
      <c r="G41" s="529"/>
      <c r="H41" s="529"/>
      <c r="I41" s="542"/>
      <c r="J41" s="542"/>
      <c r="K41" s="515">
        <v>0</v>
      </c>
      <c r="M41" s="515"/>
      <c r="N41" s="515"/>
      <c r="O41" s="515"/>
      <c r="P41" s="515"/>
      <c r="Q41" s="515"/>
      <c r="R41" s="515"/>
      <c r="S41" s="515"/>
      <c r="T41" s="515"/>
      <c r="U41" s="515"/>
      <c r="V41" s="515"/>
      <c r="W41" s="515"/>
      <c r="X41" s="515"/>
    </row>
    <row r="42" spans="1:24" ht="16.5">
      <c r="B42" s="569" t="s">
        <v>242</v>
      </c>
      <c r="C42" s="553"/>
      <c r="D42" s="553"/>
      <c r="E42" s="554"/>
      <c r="F42" s="555"/>
      <c r="G42" s="537">
        <v>32770000000</v>
      </c>
      <c r="H42" s="537">
        <v>32770000000</v>
      </c>
      <c r="I42" s="538">
        <v>32770000000</v>
      </c>
      <c r="J42" s="538">
        <v>32770000000</v>
      </c>
      <c r="K42" s="536">
        <v>32770000000</v>
      </c>
      <c r="M42" s="536">
        <v>32770000000</v>
      </c>
      <c r="N42" s="536">
        <v>32770000000</v>
      </c>
      <c r="O42" s="536">
        <v>32770000000</v>
      </c>
      <c r="P42" s="536">
        <v>32770000000</v>
      </c>
      <c r="Q42" s="536">
        <v>32770000000</v>
      </c>
      <c r="R42" s="536">
        <v>32770000000</v>
      </c>
      <c r="S42" s="536">
        <v>32770000000</v>
      </c>
      <c r="T42" s="536">
        <v>32770000000</v>
      </c>
      <c r="U42" s="536">
        <v>32770000000</v>
      </c>
      <c r="V42" s="536">
        <v>32770000000</v>
      </c>
      <c r="W42" s="536">
        <v>32770000000</v>
      </c>
      <c r="X42" s="536">
        <v>32770000000</v>
      </c>
    </row>
    <row r="43" spans="1:24" ht="16.5">
      <c r="A43">
        <v>105</v>
      </c>
      <c r="B43" s="556"/>
      <c r="C43" s="548" t="s">
        <v>243</v>
      </c>
      <c r="D43" s="548"/>
      <c r="E43" s="557"/>
      <c r="F43" s="558"/>
      <c r="G43" s="539">
        <v>32770000000</v>
      </c>
      <c r="H43" s="539">
        <v>32770000000</v>
      </c>
      <c r="I43" s="560">
        <v>32770000000</v>
      </c>
      <c r="J43" s="560">
        <v>32770000000</v>
      </c>
      <c r="K43" s="561">
        <v>32770000000</v>
      </c>
      <c r="M43" s="561">
        <v>32770000000</v>
      </c>
      <c r="N43" s="561">
        <v>32770000000</v>
      </c>
      <c r="O43" s="561">
        <v>32770000000</v>
      </c>
      <c r="P43" s="561">
        <v>32770000000</v>
      </c>
      <c r="Q43" s="561">
        <v>32770000000</v>
      </c>
      <c r="R43" s="561">
        <v>32770000000</v>
      </c>
      <c r="S43" s="561">
        <v>32770000000</v>
      </c>
      <c r="T43" s="561">
        <v>32770000000</v>
      </c>
      <c r="U43" s="561">
        <v>32770000000</v>
      </c>
      <c r="V43" s="561">
        <v>32770000000</v>
      </c>
      <c r="W43" s="561">
        <v>32770000000</v>
      </c>
      <c r="X43" s="561">
        <v>32770000000</v>
      </c>
    </row>
    <row r="44" spans="1:24" ht="16.5">
      <c r="A44">
        <v>104</v>
      </c>
      <c r="B44" s="556"/>
      <c r="C44" s="548" t="s">
        <v>244</v>
      </c>
      <c r="D44" s="548"/>
      <c r="E44" s="557"/>
      <c r="F44" s="558"/>
      <c r="G44" s="539"/>
      <c r="H44" s="539"/>
      <c r="I44" s="540">
        <v>0</v>
      </c>
      <c r="J44" s="540">
        <v>0</v>
      </c>
      <c r="K44" s="541">
        <v>0</v>
      </c>
      <c r="M44" s="541">
        <v>0</v>
      </c>
      <c r="N44" s="541">
        <v>0</v>
      </c>
      <c r="O44" s="541">
        <v>0</v>
      </c>
      <c r="P44" s="541">
        <v>0</v>
      </c>
      <c r="Q44" s="541">
        <v>0</v>
      </c>
      <c r="R44" s="541">
        <v>0</v>
      </c>
      <c r="S44" s="541">
        <v>0</v>
      </c>
      <c r="T44" s="541">
        <v>0</v>
      </c>
      <c r="U44" s="541">
        <v>0</v>
      </c>
      <c r="V44" s="541">
        <v>0</v>
      </c>
      <c r="W44" s="541">
        <v>0</v>
      </c>
      <c r="X44" s="541">
        <v>0</v>
      </c>
    </row>
    <row r="45" spans="1:24" ht="16.5">
      <c r="B45" s="569" t="s">
        <v>245</v>
      </c>
      <c r="C45" s="553"/>
      <c r="D45" s="553"/>
      <c r="E45" s="554"/>
      <c r="F45" s="555"/>
      <c r="G45" s="537">
        <v>7332454243</v>
      </c>
      <c r="H45" s="537">
        <v>-5202845895</v>
      </c>
      <c r="I45" s="538">
        <v>-17112295184.83889</v>
      </c>
      <c r="J45" s="538">
        <v>-10223647960</v>
      </c>
      <c r="K45" s="536">
        <v>-20184818955.549858</v>
      </c>
      <c r="M45" s="536">
        <v>-17890860830.049324</v>
      </c>
      <c r="N45" s="536">
        <v>-18823968880.626625</v>
      </c>
      <c r="O45" s="536">
        <v>-19408795152.416451</v>
      </c>
      <c r="P45" s="536">
        <v>-19538631046.909073</v>
      </c>
      <c r="Q45" s="536">
        <v>-19670878048.385185</v>
      </c>
      <c r="R45" s="536">
        <v>-20005259679.871292</v>
      </c>
      <c r="S45" s="536">
        <v>-20191239366.306969</v>
      </c>
      <c r="T45" s="536">
        <v>-20414845074.875984</v>
      </c>
      <c r="U45" s="536">
        <v>-20606376761.961235</v>
      </c>
      <c r="V45" s="536">
        <v>-20433843515.566277</v>
      </c>
      <c r="W45" s="536">
        <v>-20316024366.094391</v>
      </c>
      <c r="X45" s="536">
        <v>-20184818955.549858</v>
      </c>
    </row>
    <row r="46" spans="1:24" ht="16.5">
      <c r="A46">
        <v>113</v>
      </c>
      <c r="B46" s="556"/>
      <c r="C46" s="548" t="s">
        <v>246</v>
      </c>
      <c r="D46" s="548"/>
      <c r="E46" s="557"/>
      <c r="F46" s="558"/>
      <c r="G46" s="539">
        <v>40000000000</v>
      </c>
      <c r="H46" s="539">
        <v>40000000000</v>
      </c>
      <c r="I46" s="540">
        <v>40000000000</v>
      </c>
      <c r="J46" s="540">
        <v>40000000000</v>
      </c>
      <c r="K46" s="541">
        <v>40000000000</v>
      </c>
      <c r="M46" s="541">
        <v>40000000000</v>
      </c>
      <c r="N46" s="541">
        <v>40000000000</v>
      </c>
      <c r="O46" s="541">
        <v>40000000000</v>
      </c>
      <c r="P46" s="541">
        <v>40000000000</v>
      </c>
      <c r="Q46" s="541">
        <v>40000000000</v>
      </c>
      <c r="R46" s="541">
        <v>40000000000</v>
      </c>
      <c r="S46" s="541">
        <v>40000000000</v>
      </c>
      <c r="T46" s="541">
        <v>40000000000</v>
      </c>
      <c r="U46" s="541">
        <v>40000000000</v>
      </c>
      <c r="V46" s="541">
        <v>40000000000</v>
      </c>
      <c r="W46" s="541">
        <v>40000000000</v>
      </c>
      <c r="X46" s="541">
        <v>40000000000</v>
      </c>
    </row>
    <row r="47" spans="1:24" ht="16.5">
      <c r="B47" s="556"/>
      <c r="C47" s="548" t="s">
        <v>247</v>
      </c>
      <c r="D47" s="548"/>
      <c r="E47" s="557"/>
      <c r="F47" s="558"/>
      <c r="G47" s="539"/>
      <c r="H47" s="539"/>
      <c r="I47" s="540">
        <v>0</v>
      </c>
      <c r="J47" s="540">
        <v>0</v>
      </c>
      <c r="K47" s="541">
        <v>0</v>
      </c>
      <c r="M47" s="541">
        <v>0</v>
      </c>
      <c r="N47" s="541">
        <v>0</v>
      </c>
      <c r="O47" s="541">
        <v>0</v>
      </c>
      <c r="P47" s="541">
        <v>0</v>
      </c>
      <c r="Q47" s="541">
        <v>0</v>
      </c>
      <c r="R47" s="541">
        <v>0</v>
      </c>
      <c r="S47" s="541">
        <v>0</v>
      </c>
      <c r="T47" s="541">
        <v>0</v>
      </c>
      <c r="U47" s="541">
        <v>0</v>
      </c>
      <c r="V47" s="541">
        <v>0</v>
      </c>
      <c r="W47" s="541">
        <v>0</v>
      </c>
      <c r="X47" s="541">
        <v>0</v>
      </c>
    </row>
    <row r="48" spans="1:24" ht="16.5">
      <c r="B48" s="556"/>
      <c r="C48" s="548" t="s">
        <v>248</v>
      </c>
      <c r="D48" s="548"/>
      <c r="E48" s="557"/>
      <c r="F48" s="558"/>
      <c r="G48" s="539"/>
      <c r="H48" s="539"/>
      <c r="I48" s="540"/>
      <c r="J48" s="540"/>
      <c r="K48" s="541"/>
      <c r="M48" s="541"/>
      <c r="N48" s="541"/>
      <c r="O48" s="541"/>
      <c r="P48" s="541"/>
      <c r="Q48" s="541"/>
      <c r="R48" s="541"/>
      <c r="S48" s="541"/>
      <c r="T48" s="541"/>
      <c r="U48" s="541"/>
      <c r="V48" s="541"/>
      <c r="W48" s="541"/>
      <c r="X48" s="541"/>
    </row>
    <row r="49" spans="2:24" ht="16.5">
      <c r="B49" s="556"/>
      <c r="C49" s="548" t="s">
        <v>249</v>
      </c>
      <c r="D49" s="548"/>
      <c r="E49" s="557"/>
      <c r="F49" s="558"/>
      <c r="G49" s="539">
        <v>-32667545757</v>
      </c>
      <c r="H49" s="539">
        <v>-45202845895</v>
      </c>
      <c r="I49" s="540">
        <v>-57112295184.83889</v>
      </c>
      <c r="J49" s="540">
        <v>-50223647960</v>
      </c>
      <c r="K49" s="541">
        <v>-53301963615.710915</v>
      </c>
      <c r="M49" s="541">
        <v>-57890860830.049324</v>
      </c>
      <c r="N49" s="541">
        <v>-58823968880.626625</v>
      </c>
      <c r="O49" s="541">
        <v>-59408795152.416451</v>
      </c>
      <c r="P49" s="541">
        <v>-59538631046.909073</v>
      </c>
      <c r="Q49" s="541">
        <v>-59670878048.385185</v>
      </c>
      <c r="R49" s="541">
        <v>-60005259679.871292</v>
      </c>
      <c r="S49" s="541">
        <v>-60191239366.306969</v>
      </c>
      <c r="T49" s="541">
        <v>-60414845074.875984</v>
      </c>
      <c r="U49" s="541">
        <v>-60606376761.961235</v>
      </c>
      <c r="V49" s="541">
        <v>-60433843515.566277</v>
      </c>
      <c r="W49" s="541">
        <v>-60316024366.094391</v>
      </c>
      <c r="X49" s="541">
        <v>-60184818955.549858</v>
      </c>
    </row>
    <row r="50" spans="2:24" ht="17" thickBot="1">
      <c r="B50" s="573" t="s">
        <v>250</v>
      </c>
      <c r="C50" s="574"/>
      <c r="D50" s="574"/>
      <c r="E50" s="575"/>
      <c r="F50" s="575"/>
      <c r="G50" s="576">
        <v>64725699701</v>
      </c>
      <c r="H50" s="576">
        <v>38908743599</v>
      </c>
      <c r="I50" s="577">
        <v>51696182594.627525</v>
      </c>
      <c r="J50" s="577">
        <v>45970417693</v>
      </c>
      <c r="K50" s="578">
        <v>37875763056.048927</v>
      </c>
      <c r="M50" s="578">
        <v>37186453946.095772</v>
      </c>
      <c r="N50" s="578">
        <v>34850415135.538597</v>
      </c>
      <c r="O50" s="578">
        <v>36342107807.076286</v>
      </c>
      <c r="P50" s="578">
        <v>37844151313.938675</v>
      </c>
      <c r="Q50" s="578">
        <v>37724456499.95266</v>
      </c>
      <c r="R50" s="578">
        <v>37413662956.92588</v>
      </c>
      <c r="S50" s="578">
        <v>37243775229.179947</v>
      </c>
      <c r="T50" s="578">
        <v>37024520134.010933</v>
      </c>
      <c r="U50" s="578">
        <v>36826540548.015419</v>
      </c>
      <c r="V50" s="578">
        <v>37607769962.322258</v>
      </c>
      <c r="W50" s="578">
        <v>37749090276.547989</v>
      </c>
      <c r="X50" s="578">
        <v>37875763056.048927</v>
      </c>
    </row>
    <row r="51" spans="2:24" ht="15" thickTop="1"/>
    <row r="52" spans="2:24">
      <c r="M52" s="744">
        <f>M34-M50</f>
        <v>190381901.99163818</v>
      </c>
      <c r="N52" s="744">
        <f t="shared" ref="N52:X52" si="0">N34-N50</f>
        <v>-1706673412.0063477</v>
      </c>
      <c r="O52" s="744">
        <f t="shared" si="0"/>
        <v>-1719550220.3396759</v>
      </c>
      <c r="P52" s="744">
        <f t="shared" si="0"/>
        <v>-1934427028.6730042</v>
      </c>
      <c r="Q52" s="744">
        <f t="shared" si="0"/>
        <v>-1947303837.00634</v>
      </c>
      <c r="R52" s="744">
        <f t="shared" si="0"/>
        <v>-1960180645.3396683</v>
      </c>
      <c r="S52" s="744">
        <f t="shared" si="0"/>
        <v>-1973057453.6730042</v>
      </c>
      <c r="T52" s="744">
        <f t="shared" si="0"/>
        <v>-1985934262.00634</v>
      </c>
      <c r="U52" s="744">
        <f t="shared" si="0"/>
        <v>-1998811070.3396683</v>
      </c>
      <c r="V52" s="744">
        <f t="shared" si="0"/>
        <v>-2029048989.7841187</v>
      </c>
      <c r="W52" s="744">
        <f t="shared" si="0"/>
        <v>-2059286909.2285614</v>
      </c>
      <c r="X52" s="744">
        <f t="shared" si="0"/>
        <v>-2089524828.6730118</v>
      </c>
    </row>
    <row r="53" spans="2:24">
      <c r="M53" s="744">
        <f>-('Consol BS-DTRG'!CD129-'BS-KH26-DaiLoc'!M50)</f>
        <v>861811</v>
      </c>
      <c r="N53" s="744">
        <f>-('Consol BS-DTRG'!CE129-'BS-KH26-DaiLoc'!N50)</f>
        <v>1756333</v>
      </c>
      <c r="O53" s="744">
        <f>-('Consol BS-DTRG'!CF129-'BS-KH26-DaiLoc'!O50)</f>
        <v>2605925.9999923706</v>
      </c>
      <c r="P53" s="744">
        <f>-('Consol BS-DTRG'!CG129-'BS-KH26-DaiLoc'!P50)</f>
        <v>3451738.9999923706</v>
      </c>
      <c r="Q53" s="744">
        <f>-('Consol BS-DTRG'!CH129-'BS-KH26-DaiLoc'!Q50)</f>
        <v>4331794.9999923706</v>
      </c>
      <c r="R53" s="744">
        <f>-('Consol BS-DTRG'!CI129-'BS-KH26-DaiLoc'!R50)</f>
        <v>5177607.9999923706</v>
      </c>
      <c r="S53" s="744">
        <f>-('Consol BS-DTRG'!CJ129-'BS-KH26-DaiLoc'!S50)</f>
        <v>6018434.9999923706</v>
      </c>
      <c r="T53" s="744">
        <f>-('Consol BS-DTRG'!CK129-'BS-KH26-DaiLoc'!T50)</f>
        <v>6859261.9999923706</v>
      </c>
      <c r="U53" s="744">
        <f>-('Consol BS-DTRG'!CL129-'BS-KH26-DaiLoc'!U50)</f>
        <v>7717813.9999923706</v>
      </c>
      <c r="V53" s="744">
        <f>-('Consol BS-DTRG'!CM129-'BS-KH26-DaiLoc'!V50)</f>
        <v>8572392.454536438</v>
      </c>
      <c r="W53" s="744">
        <f>-('Consol BS-DTRG'!CN129-'BS-KH26-DaiLoc'!W50)</f>
        <v>9418205.9090881348</v>
      </c>
      <c r="X53" s="744">
        <f>-('Consol BS-DTRG'!CO129-'BS-KH26-DaiLoc'!X50)</f>
        <v>5791886.3636322021</v>
      </c>
    </row>
    <row r="54" spans="2:24">
      <c r="N54" s="744"/>
      <c r="O54" s="744"/>
      <c r="P54" s="744"/>
      <c r="Q54" s="744"/>
      <c r="R54" s="744"/>
      <c r="S54" s="744"/>
      <c r="T54" s="744"/>
      <c r="U54" s="744"/>
      <c r="V54" s="744"/>
      <c r="W54" s="744"/>
      <c r="X54" s="7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Chỉ tiêu</vt:lpstr>
      <vt:lpstr>PL</vt:lpstr>
      <vt:lpstr>BS</vt:lpstr>
      <vt:lpstr>&gt;&gt;&gt;PL</vt:lpstr>
      <vt:lpstr>SO SÁNH PL</vt:lpstr>
      <vt:lpstr>Consol PL-DTRG</vt:lpstr>
      <vt:lpstr>PL-KH26-DTR</vt:lpstr>
      <vt:lpstr>PL-KH26-DongLam</vt:lpstr>
      <vt:lpstr>PL-KH26-KhanhNga</vt:lpstr>
      <vt:lpstr>PL-KH26-DaiLoc</vt:lpstr>
      <vt:lpstr>PL-KH26-TanDaiPhat</vt:lpstr>
      <vt:lpstr>Consol PL-DTRG-Cũ</vt:lpstr>
      <vt:lpstr>&gt;&gt;&gt;BS</vt:lpstr>
      <vt:lpstr>Consol BS-DTRG</vt:lpstr>
      <vt:lpstr>BS-KH26-DTR-cũ</vt:lpstr>
      <vt:lpstr>BS-KH26-DTR</vt:lpstr>
      <vt:lpstr>BS-KH26-DongLam</vt:lpstr>
      <vt:lpstr>BS-KH26-KhanhNga</vt:lpstr>
      <vt:lpstr>BS-KH26-DaiLoc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2026-03-02T01:13:57Z</dcterms:created>
  <dcterms:modified xsi:type="dcterms:W3CDTF">2026-06-02T16:41:46Z</dcterms:modified>
</cp:coreProperties>
</file>